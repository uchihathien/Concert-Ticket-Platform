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ết quả theo module" sheetId="2" state="visible" r:id="rId2"/>
    <sheet name="Coverage backend" sheetId="3" state="visible" r:id="rId3"/>
    <sheet name="Coverage frontend" sheetId="4" state="visible" r:id="rId4"/>
    <sheet name="Test case chức năng" sheetId="5" state="visible" r:id="rId5"/>
    <sheet name="Ma trận API" sheetId="6" state="visible" r:id="rId6"/>
    <sheet name="Lỗi đã sửa" sheetId="7" state="visible" r:id="rId7"/>
    <sheet name="Khoảng trống" sheetId="8" state="visible" r:id="rId8"/>
    <sheet name="Hướng dẫn chạy" sheetId="9" state="visible" r:id="rId9"/>
    <sheet name="Danh mục test tự động" sheetId="10" state="visible" r:id="rId10"/>
  </sheets>
  <definedNames>
    <definedName name="_xlnm._FilterDatabase" localSheetId="4" hidden="1">'Test case chức năng'!$A$4:$J$79</definedName>
    <definedName name="_xlnm._FilterDatabase" localSheetId="5" hidden="1">'Ma trận API'!$A$4:$F$185</definedName>
    <definedName name="_xlnm._FilterDatabase" localSheetId="9" hidden="1">'Danh mục test tự động'!$A$4:$J$4102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0" borderId="0" pivotButton="0" quotePrefix="0" xfId="0"/>
    <xf numFmtId="3" fontId="4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NexaTicket — Báo cáo kiểm thử</t>
        </is>
      </c>
    </row>
    <row r="2">
      <c r="A2" s="2" t="inlineStr">
        <is>
          <t>Sinh tự động ngày 23/10/2026 00:54 từ kết quả chạy thật. Các tổng bên dưới là công thức.</t>
        </is>
      </c>
    </row>
    <row r="4">
      <c r="A4" s="3" t="inlineStr">
        <is>
          <t>1. Kết quả thực thi theo tầng</t>
        </is>
      </c>
    </row>
    <row r="5" ht="30" customHeight="1">
      <c r="A5" s="4" t="inlineStr">
        <is>
          <t>Hệ / Tầng</t>
        </is>
      </c>
      <c r="B5" s="4" t="inlineStr">
        <is>
          <t>Tổng</t>
        </is>
      </c>
      <c r="C5" s="4" t="inlineStr">
        <is>
          <t>Đạt</t>
        </is>
      </c>
      <c r="D5" s="4" t="inlineStr">
        <is>
          <t>Đỏ</t>
        </is>
      </c>
      <c r="E5" s="4" t="inlineStr">
        <is>
          <t>Bỏ qua</t>
        </is>
      </c>
      <c r="F5" s="4" t="inlineStr">
        <is>
          <t>Tỉ lệ đạt</t>
        </is>
      </c>
    </row>
    <row r="6">
      <c r="A6" s="5" t="inlineStr">
        <is>
          <t>Backend — Unit</t>
        </is>
      </c>
      <c r="B6" s="6">
        <f>COUNTIFS('Danh mục test tự động'!$B$5:$B$4102,"Backend",'Danh mục test tự động'!$D$5:$D$4102,"Unit")</f>
        <v/>
      </c>
      <c r="C6" s="6">
        <f>COUNTIFS('Danh mục test tự động'!$B$5:$B$4102,"Backend",'Danh mục test tự động'!$D$5:$D$4102,"Unit",'Danh mục test tự động'!$I$5:$I$4102,"Đạt")</f>
        <v/>
      </c>
      <c r="D6" s="6">
        <f>COUNTIFS('Danh mục test tự động'!$B$5:$B$4102,"Backend",'Danh mục test tự động'!$D$5:$D$4102,"Unit",'Danh mục test tự động'!$I$5:$I$4102,"Đỏ")</f>
        <v/>
      </c>
      <c r="E6" s="6">
        <f>COUNTIFS('Danh mục test tự động'!$B$5:$B$4102,"Backend",'Danh mục test tự động'!$D$5:$D$4102,"Unit",'Danh mục test tự động'!$I$5:$I$4102,"Bỏ qua")</f>
        <v/>
      </c>
      <c r="F6" s="7">
        <f>IF(B6=0,"-",C6/B6)</f>
        <v/>
      </c>
    </row>
    <row r="7">
      <c r="A7" s="5" t="inlineStr">
        <is>
          <t>Backend — API slice</t>
        </is>
      </c>
      <c r="B7" s="6">
        <f>COUNTIFS('Danh mục test tự động'!$B$5:$B$4102,"Backend",'Danh mục test tự động'!$D$5:$D$4102,"API slice")</f>
        <v/>
      </c>
      <c r="C7" s="6">
        <f>COUNTIFS('Danh mục test tự động'!$B$5:$B$4102,"Backend",'Danh mục test tự động'!$D$5:$D$4102,"API slice",'Danh mục test tự động'!$I$5:$I$4102,"Đạt")</f>
        <v/>
      </c>
      <c r="D7" s="6">
        <f>COUNTIFS('Danh mục test tự động'!$B$5:$B$4102,"Backend",'Danh mục test tự động'!$D$5:$D$4102,"API slice",'Danh mục test tự động'!$I$5:$I$4102,"Đỏ")</f>
        <v/>
      </c>
      <c r="E7" s="6">
        <f>COUNTIFS('Danh mục test tự động'!$B$5:$B$4102,"Backend",'Danh mục test tự động'!$D$5:$D$4102,"API slice",'Danh mục test tự động'!$I$5:$I$4102,"Bỏ qua")</f>
        <v/>
      </c>
      <c r="F7" s="7">
        <f>IF(B7=0,"-",C7/B7)</f>
        <v/>
      </c>
    </row>
    <row r="8">
      <c r="A8" s="5" t="inlineStr">
        <is>
          <t>Backend — ArchUnit</t>
        </is>
      </c>
      <c r="B8" s="6">
        <f>COUNTIFS('Danh mục test tự động'!$B$5:$B$4102,"Backend",'Danh mục test tự động'!$D$5:$D$4102,"ArchUnit")</f>
        <v/>
      </c>
      <c r="C8" s="6">
        <f>COUNTIFS('Danh mục test tự động'!$B$5:$B$4102,"Backend",'Danh mục test tự động'!$D$5:$D$4102,"ArchUnit",'Danh mục test tự động'!$I$5:$I$4102,"Đạt")</f>
        <v/>
      </c>
      <c r="D8" s="6">
        <f>COUNTIFS('Danh mục test tự động'!$B$5:$B$4102,"Backend",'Danh mục test tự động'!$D$5:$D$4102,"ArchUnit",'Danh mục test tự động'!$I$5:$I$4102,"Đỏ")</f>
        <v/>
      </c>
      <c r="E8" s="6">
        <f>COUNTIFS('Danh mục test tự động'!$B$5:$B$4102,"Backend",'Danh mục test tự động'!$D$5:$D$4102,"ArchUnit",'Danh mục test tự động'!$I$5:$I$4102,"Bỏ qua")</f>
        <v/>
      </c>
      <c r="F8" s="7">
        <f>IF(B8=0,"-",C8/B8)</f>
        <v/>
      </c>
    </row>
    <row r="9">
      <c r="A9" s="5" t="inlineStr">
        <is>
          <t>Backend — Integration</t>
        </is>
      </c>
      <c r="B9" s="6">
        <f>COUNTIFS('Danh mục test tự động'!$B$5:$B$4102,"Backend",'Danh mục test tự động'!$D$5:$D$4102,"Integration")</f>
        <v/>
      </c>
      <c r="C9" s="6">
        <f>COUNTIFS('Danh mục test tự động'!$B$5:$B$4102,"Backend",'Danh mục test tự động'!$D$5:$D$4102,"Integration",'Danh mục test tự động'!$I$5:$I$4102,"Đạt")</f>
        <v/>
      </c>
      <c r="D9" s="6">
        <f>COUNTIFS('Danh mục test tự động'!$B$5:$B$4102,"Backend",'Danh mục test tự động'!$D$5:$D$4102,"Integration",'Danh mục test tự động'!$I$5:$I$4102,"Đỏ")</f>
        <v/>
      </c>
      <c r="E9" s="6">
        <f>COUNTIFS('Danh mục test tự động'!$B$5:$B$4102,"Backend",'Danh mục test tự động'!$D$5:$D$4102,"Integration",'Danh mục test tự động'!$I$5:$I$4102,"Bỏ qua")</f>
        <v/>
      </c>
      <c r="F9" s="7">
        <f>IF(B9=0,"-",C9/B9)</f>
        <v/>
      </c>
    </row>
    <row r="10">
      <c r="A10" s="5" t="inlineStr">
        <is>
          <t>Frontend — Unit</t>
        </is>
      </c>
      <c r="B10" s="6">
        <f>COUNTIFS('Danh mục test tự động'!$B$5:$B$4102,"Frontend",'Danh mục test tự động'!$D$5:$D$4102,"Unit")</f>
        <v/>
      </c>
      <c r="C10" s="6">
        <f>COUNTIFS('Danh mục test tự động'!$B$5:$B$4102,"Frontend",'Danh mục test tự động'!$D$5:$D$4102,"Unit",'Danh mục test tự động'!$I$5:$I$4102,"Đạt")</f>
        <v/>
      </c>
      <c r="D10" s="6">
        <f>COUNTIFS('Danh mục test tự động'!$B$5:$B$4102,"Frontend",'Danh mục test tự động'!$D$5:$D$4102,"Unit",'Danh mục test tự động'!$I$5:$I$4102,"Đỏ")</f>
        <v/>
      </c>
      <c r="E10" s="6">
        <f>COUNTIFS('Danh mục test tự động'!$B$5:$B$4102,"Frontend",'Danh mục test tự động'!$D$5:$D$4102,"Unit",'Danh mục test tự động'!$I$5:$I$4102,"Bỏ qua")</f>
        <v/>
      </c>
      <c r="F10" s="7">
        <f>IF(B10=0,"-",C10/B10)</f>
        <v/>
      </c>
    </row>
    <row r="11">
      <c r="A11" s="5" t="inlineStr">
        <is>
          <t>Frontend — E2E</t>
        </is>
      </c>
      <c r="B11" s="6">
        <f>COUNTIFS('Danh mục test tự động'!$B$5:$B$4102,"Frontend",'Danh mục test tự động'!$D$5:$D$4102,"E2E")</f>
        <v/>
      </c>
      <c r="C11" s="6">
        <f>COUNTIFS('Danh mục test tự động'!$B$5:$B$4102,"Frontend",'Danh mục test tự động'!$D$5:$D$4102,"E2E",'Danh mục test tự động'!$I$5:$I$4102,"Đạt")</f>
        <v/>
      </c>
      <c r="D11" s="6">
        <f>COUNTIFS('Danh mục test tự động'!$B$5:$B$4102,"Frontend",'Danh mục test tự động'!$D$5:$D$4102,"E2E",'Danh mục test tự động'!$I$5:$I$4102,"Đỏ")</f>
        <v/>
      </c>
      <c r="E11" s="6">
        <f>COUNTIFS('Danh mục test tự động'!$B$5:$B$4102,"Frontend",'Danh mục test tự động'!$D$5:$D$4102,"E2E",'Danh mục test tự động'!$I$5:$I$4102,"Bỏ qua")</f>
        <v/>
      </c>
      <c r="F11" s="7">
        <f>IF(B11=0,"-",C11/B11)</f>
        <v/>
      </c>
    </row>
    <row r="12">
      <c r="A12" s="8" t="inlineStr">
        <is>
          <t>TỔNG</t>
        </is>
      </c>
      <c r="B12" s="9">
        <f>SUM(B6:B11)</f>
        <v/>
      </c>
      <c r="C12" s="9">
        <f>SUM(C6:C11)</f>
        <v/>
      </c>
      <c r="D12" s="9">
        <f>SUM(D6:D11)</f>
        <v/>
      </c>
      <c r="E12" s="9">
        <f>SUM(E6:E11)</f>
        <v/>
      </c>
      <c r="F12" s="10">
        <f>IF(B12=0,"-",C12/B12)</f>
        <v/>
      </c>
    </row>
    <row r="14">
      <c r="A14" s="3" t="inlineStr">
        <is>
          <t>2. Coverage backend (JaCoCo, unit + integration gộp)</t>
        </is>
      </c>
    </row>
    <row r="15" ht="30" customHeight="1">
      <c r="A15" s="4" t="inlineStr">
        <is>
          <t>Chỉ số</t>
        </is>
      </c>
      <c r="B15" s="4" t="inlineStr">
        <is>
          <t>Hiện tại</t>
        </is>
      </c>
      <c r="C15" s="4" t="inlineStr">
        <is>
          <t>Mục tiêu</t>
        </is>
      </c>
      <c r="D15" s="4" t="inlineStr">
        <is>
          <t>Đạt mục tiêu?</t>
        </is>
      </c>
    </row>
    <row r="16">
      <c r="A16" s="5" t="inlineStr">
        <is>
          <t>Dòng (line)</t>
        </is>
      </c>
      <c r="B16" s="7">
        <f>'Coverage backend'!J23</f>
        <v/>
      </c>
      <c r="C16" s="11" t="n">
        <v>0.8</v>
      </c>
      <c r="D16" s="6">
        <f>IF(B16&gt;=C16,"Đạt","Chưa đạt")</f>
        <v/>
      </c>
    </row>
    <row r="17">
      <c r="A17" s="5" t="inlineStr">
        <is>
          <t>Nhánh (branch)</t>
        </is>
      </c>
      <c r="B17" s="7">
        <f>'Coverage backend'!G23</f>
        <v/>
      </c>
      <c r="C17" s="11" t="n">
        <v>0.8</v>
      </c>
      <c r="D17" s="6">
        <f>IF(B17&gt;=C17,"Đạt","Chưa đạt")</f>
        <v/>
      </c>
    </row>
    <row r="18">
      <c r="A18" s="5" t="inlineStr">
        <is>
          <t>Câu lệnh (instruction)</t>
        </is>
      </c>
      <c r="B18" s="7">
        <f>'Coverage backend'!D23</f>
        <v/>
      </c>
      <c r="C18" s="11" t="n">
        <v>0.8</v>
      </c>
      <c r="D18" s="6">
        <f>IF(B18&gt;=C18,"Đạt","Chưa đạt")</f>
        <v/>
      </c>
    </row>
    <row r="19">
      <c r="A19" s="5" t="inlineStr">
        <is>
          <t>Phương thức (method)</t>
        </is>
      </c>
      <c r="B19" s="7">
        <f>'Coverage backend'!M23</f>
        <v/>
      </c>
      <c r="C19" s="11" t="n">
        <v>0.8</v>
      </c>
      <c r="D19" s="6">
        <f>IF(B19&gt;=C19,"Đạt","Chưa đạt")</f>
        <v/>
      </c>
    </row>
    <row r="20">
      <c r="A20" s="2" t="inlineStr">
        <is>
          <t>Mục tiêu 80% là ngưỡng của đề bài (ô xanh có thể sửa); các tỉ lệ là công thức từ sheet 'Coverage backend'.</t>
        </is>
      </c>
    </row>
    <row r="22">
      <c r="A22" s="3" t="inlineStr">
        <is>
          <t>3. Tài sản kiểm thử</t>
        </is>
      </c>
    </row>
    <row r="23">
      <c r="A23" s="5" t="inlineStr">
        <is>
          <t>Ca kiểm thử chức năng (sheet 'Test case chức năng')</t>
        </is>
      </c>
      <c r="B23" s="12">
        <f>COUNTA('Test case chức năng'!A5:A79)</f>
        <v/>
      </c>
    </row>
    <row r="24">
      <c r="A24" s="5" t="inlineStr">
        <is>
          <t>Endpoint API đã ánh xạ tới test (sheet 'Ma trận API')</t>
        </is>
      </c>
      <c r="B24" s="12">
        <f>COUNTA('Ma trận API'!A5:A185)</f>
        <v/>
      </c>
    </row>
    <row r="25">
      <c r="A25" s="5" t="inlineStr">
        <is>
          <t>Endpoint API CHƯA có test nào</t>
        </is>
      </c>
      <c r="B25" s="12">
        <f>COUNTIF('Ma trận API'!F5:F185,"")</f>
        <v/>
      </c>
    </row>
    <row r="26">
      <c r="A26" s="5" t="inlineStr">
        <is>
          <t>Test tự động (sheet 'Danh mục test tự động')</t>
        </is>
      </c>
      <c r="B26" s="12">
        <f>COUNTA('Danh mục test tự động'!$A$5:$A$4102)</f>
        <v/>
      </c>
    </row>
    <row r="28">
      <c r="A28" s="3" t="inlineStr">
        <is>
          <t>4. Phạm vi và giới hạn (trung thực)</t>
        </is>
      </c>
    </row>
    <row r="29">
      <c r="A29" s="13" t="inlineStr">
        <is>
          <t>• k6: hold-contention đạt 4/4 lần (đúng 1 người thắng trong 4 người tranh một nhóm ghế); discovery chạy ổn nhưng vượt ba ngưỡng độ trễ và làm inventory hết bộ nhớ ở heap 384 MB (docs/03-seat-checkout/load-test-report.md). checkout.js chạy với payOS giả (load-tests/fake-payos) đạt 68 vòng, 279/279 checks; payOS thật chưa kiểm.</t>
        </is>
      </c>
    </row>
    <row r="30">
      <c r="A30" s="13" t="inlineStr">
        <is>
          <t>• App mobile (4 app React Native) nằm ngoài phạm vi đợt này.</t>
        </is>
      </c>
    </row>
    <row r="31">
      <c r="A31" s="13" t="inlineStr">
        <is>
          <t>• E2E dùng nhà phát hành OIDC giả; đăng nhập Keycloak thật, trang payOS (không có sandbox), realtime chưa kiểm được.</t>
        </is>
      </c>
    </row>
    <row r="32">
      <c r="A32" s="13" t="inlineStr">
        <is>
          <t>• Coverage frontend thấp ở app web-customer / web-admin vì Vitest tính mọi tệp, kể cả trang chưa test (xem sheet 'Coverage frontend').</t>
        </is>
      </c>
    </row>
    <row r="33">
      <c r="A33" s="13" t="inlineStr">
        <is>
          <t>• Chi tiết lỗi đã sửa và khoảng trống: sheet 'Lỗi đã sửa', 'Khoảng trống'.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20" customWidth="1" min="8" max="8"/>
  </cols>
  <sheetData>
    <row r="1">
      <c r="A1" s="1" t="inlineStr">
        <is>
          <t>Kết quả theo module</t>
        </is>
      </c>
    </row>
    <row r="2">
      <c r="A2" s="2" t="inlineStr">
        <is>
          <t>Đếm bằng công thức COUNTIFS trên sheet 'Danh mục test tự động'.</t>
        </is>
      </c>
    </row>
    <row r="4" ht="30" customHeight="1">
      <c r="A4" s="4" t="inlineStr">
        <is>
          <t>Hệ</t>
        </is>
      </c>
      <c r="B4" s="4" t="inlineStr">
        <is>
          <t>Module</t>
        </is>
      </c>
      <c r="C4" s="4" t="inlineStr">
        <is>
          <t>Tổng</t>
        </is>
      </c>
      <c r="D4" s="4" t="inlineStr">
        <is>
          <t>Đạt</t>
        </is>
      </c>
      <c r="E4" s="4" t="inlineStr">
        <is>
          <t>Đỏ</t>
        </is>
      </c>
      <c r="F4" s="4" t="inlineStr">
        <is>
          <t>Bỏ qua</t>
        </is>
      </c>
      <c r="G4" s="4" t="inlineStr">
        <is>
          <t>Unit + slice + ArchUnit</t>
        </is>
      </c>
      <c r="H4" s="4" t="inlineStr">
        <is>
          <t>Integration / E2E</t>
        </is>
      </c>
    </row>
    <row r="5">
      <c r="A5" s="5" t="inlineStr">
        <is>
          <t>Backend</t>
        </is>
      </c>
      <c r="B5" s="5" t="inlineStr">
        <is>
          <t>ai-chatbox-service</t>
        </is>
      </c>
      <c r="C5" s="6">
        <f>COUNTIFS('Danh mục test tự động'!$B$5:$B$4102,$A5,'Danh mục test tự động'!$C$5:$C$4102,$B5)</f>
        <v/>
      </c>
      <c r="D5" s="6">
        <f>COUNTIFS('Danh mục test tự động'!$B$5:$B$4102,$A5,'Danh mục test tự động'!$C$5:$C$4102,$B5,'Danh mục test tự động'!$I$5:$I$4102,"Đạt")</f>
        <v/>
      </c>
      <c r="E5" s="6">
        <f>COUNTIFS('Danh mục test tự động'!$B$5:$B$4102,$A5,'Danh mục test tự động'!$C$5:$C$4102,$B5,'Danh mục test tự động'!$I$5:$I$4102,"Đỏ")</f>
        <v/>
      </c>
      <c r="F5" s="6">
        <f>COUNTIFS('Danh mục test tự động'!$B$5:$B$4102,$A5,'Danh mục test tự động'!$C$5:$C$4102,$B5,'Danh mục test tự động'!$I$5:$I$4102,"Bỏ qua")</f>
        <v/>
      </c>
      <c r="G5" s="6">
        <f>COUNTIFS('Danh mục test tự động'!$B$5:$B$4102,$A5,'Danh mục test tự động'!$C$5:$C$4102,$B5,'Danh mục test tự động'!$D$5:$D$4102,"Unit")+COUNTIFS('Danh mục test tự động'!$B$5:$B$4102,$A5,'Danh mục test tự động'!$C$5:$C$4102,$B5,'Danh mục test tự động'!$D$5:$D$4102,"API slice")+COUNTIFS('Danh mục test tự động'!$B$5:$B$4102,$A5,'Danh mục test tự động'!$C$5:$C$4102,$B5,'Danh mục test tự động'!$D$5:$D$4102,"ArchUnit")</f>
        <v/>
      </c>
      <c r="H5" s="6">
        <f>COUNTIFS('Danh mục test tự động'!$B$5:$B$4102,$A5,'Danh mục test tự động'!$C$5:$C$4102,$B5,'Danh mục test tự động'!$D$5:$D$4102,"Integration")+COUNTIFS('Danh mục test tự động'!$B$5:$B$4102,$A5,'Danh mục test tự động'!$C$5:$C$4102,$B5,'Danh mục test tự động'!$D$5:$D$4102,"E2E")</f>
        <v/>
      </c>
    </row>
    <row r="6">
      <c r="A6" s="5" t="inlineStr">
        <is>
          <t>Backend</t>
        </is>
      </c>
      <c r="B6" s="5" t="inlineStr">
        <is>
          <t>analytics-service</t>
        </is>
      </c>
      <c r="C6" s="6">
        <f>COUNTIFS('Danh mục test tự động'!$B$5:$B$4102,$A6,'Danh mục test tự động'!$C$5:$C$4102,$B6)</f>
        <v/>
      </c>
      <c r="D6" s="6">
        <f>COUNTIFS('Danh mục test tự động'!$B$5:$B$4102,$A6,'Danh mục test tự động'!$C$5:$C$4102,$B6,'Danh mục test tự động'!$I$5:$I$4102,"Đạt")</f>
        <v/>
      </c>
      <c r="E6" s="6">
        <f>COUNTIFS('Danh mục test tự động'!$B$5:$B$4102,$A6,'Danh mục test tự động'!$C$5:$C$4102,$B6,'Danh mục test tự động'!$I$5:$I$4102,"Đỏ")</f>
        <v/>
      </c>
      <c r="F6" s="6">
        <f>COUNTIFS('Danh mục test tự động'!$B$5:$B$4102,$A6,'Danh mục test tự động'!$C$5:$C$4102,$B6,'Danh mục test tự động'!$I$5:$I$4102,"Bỏ qua")</f>
        <v/>
      </c>
      <c r="G6" s="6">
        <f>COUNTIFS('Danh mục test tự động'!$B$5:$B$4102,$A6,'Danh mục test tự động'!$C$5:$C$4102,$B6,'Danh mục test tự động'!$D$5:$D$4102,"Unit")+COUNTIFS('Danh mục test tự động'!$B$5:$B$4102,$A6,'Danh mục test tự động'!$C$5:$C$4102,$B6,'Danh mục test tự động'!$D$5:$D$4102,"API slice")+COUNTIFS('Danh mục test tự động'!$B$5:$B$4102,$A6,'Danh mục test tự động'!$C$5:$C$4102,$B6,'Danh mục test tự động'!$D$5:$D$4102,"ArchUnit")</f>
        <v/>
      </c>
      <c r="H6" s="6">
        <f>COUNTIFS('Danh mục test tự động'!$B$5:$B$4102,$A6,'Danh mục test tự động'!$C$5:$C$4102,$B6,'Danh mục test tự động'!$D$5:$D$4102,"Integration")+COUNTIFS('Danh mục test tự động'!$B$5:$B$4102,$A6,'Danh mục test tự động'!$C$5:$C$4102,$B6,'Danh mục test tự động'!$D$5:$D$4102,"E2E")</f>
        <v/>
      </c>
    </row>
    <row r="7">
      <c r="A7" s="5" t="inlineStr">
        <is>
          <t>Backend</t>
        </is>
      </c>
      <c r="B7" s="5" t="inlineStr">
        <is>
          <t>api-gateway</t>
        </is>
      </c>
      <c r="C7" s="6">
        <f>COUNTIFS('Danh mục test tự động'!$B$5:$B$4102,$A7,'Danh mục test tự động'!$C$5:$C$4102,$B7)</f>
        <v/>
      </c>
      <c r="D7" s="6">
        <f>COUNTIFS('Danh mục test tự động'!$B$5:$B$4102,$A7,'Danh mục test tự động'!$C$5:$C$4102,$B7,'Danh mục test tự động'!$I$5:$I$4102,"Đạt")</f>
        <v/>
      </c>
      <c r="E7" s="6">
        <f>COUNTIFS('Danh mục test tự động'!$B$5:$B$4102,$A7,'Danh mục test tự động'!$C$5:$C$4102,$B7,'Danh mục test tự động'!$I$5:$I$4102,"Đỏ")</f>
        <v/>
      </c>
      <c r="F7" s="6">
        <f>COUNTIFS('Danh mục test tự động'!$B$5:$B$4102,$A7,'Danh mục test tự động'!$C$5:$C$4102,$B7,'Danh mục test tự động'!$I$5:$I$4102,"Bỏ qua")</f>
        <v/>
      </c>
      <c r="G7" s="6">
        <f>COUNTIFS('Danh mục test tự động'!$B$5:$B$4102,$A7,'Danh mục test tự động'!$C$5:$C$4102,$B7,'Danh mục test tự động'!$D$5:$D$4102,"Unit")+COUNTIFS('Danh mục test tự động'!$B$5:$B$4102,$A7,'Danh mục test tự động'!$C$5:$C$4102,$B7,'Danh mục test tự động'!$D$5:$D$4102,"API slice")+COUNTIFS('Danh mục test tự động'!$B$5:$B$4102,$A7,'Danh mục test tự động'!$C$5:$C$4102,$B7,'Danh mục test tự động'!$D$5:$D$4102,"ArchUnit")</f>
        <v/>
      </c>
      <c r="H7" s="6">
        <f>COUNTIFS('Danh mục test tự động'!$B$5:$B$4102,$A7,'Danh mục test tự động'!$C$5:$C$4102,$B7,'Danh mục test tự động'!$D$5:$D$4102,"Integration")+COUNTIFS('Danh mục test tự động'!$B$5:$B$4102,$A7,'Danh mục test tự động'!$C$5:$C$4102,$B7,'Danh mục test tự động'!$D$5:$D$4102,"E2E")</f>
        <v/>
      </c>
    </row>
    <row r="8">
      <c r="A8" s="5" t="inlineStr">
        <is>
          <t>Backend</t>
        </is>
      </c>
      <c r="B8" s="5" t="inlineStr">
        <is>
          <t>catalog-service</t>
        </is>
      </c>
      <c r="C8" s="6">
        <f>COUNTIFS('Danh mục test tự động'!$B$5:$B$4102,$A8,'Danh mục test tự động'!$C$5:$C$4102,$B8)</f>
        <v/>
      </c>
      <c r="D8" s="6">
        <f>COUNTIFS('Danh mục test tự động'!$B$5:$B$4102,$A8,'Danh mục test tự động'!$C$5:$C$4102,$B8,'Danh mục test tự động'!$I$5:$I$4102,"Đạt")</f>
        <v/>
      </c>
      <c r="E8" s="6">
        <f>COUNTIFS('Danh mục test tự động'!$B$5:$B$4102,$A8,'Danh mục test tự động'!$C$5:$C$4102,$B8,'Danh mục test tự động'!$I$5:$I$4102,"Đỏ")</f>
        <v/>
      </c>
      <c r="F8" s="6">
        <f>COUNTIFS('Danh mục test tự động'!$B$5:$B$4102,$A8,'Danh mục test tự động'!$C$5:$C$4102,$B8,'Danh mục test tự động'!$I$5:$I$4102,"Bỏ qua")</f>
        <v/>
      </c>
      <c r="G8" s="6">
        <f>COUNTIFS('Danh mục test tự động'!$B$5:$B$4102,$A8,'Danh mục test tự động'!$C$5:$C$4102,$B8,'Danh mục test tự động'!$D$5:$D$4102,"Unit")+COUNTIFS('Danh mục test tự động'!$B$5:$B$4102,$A8,'Danh mục test tự động'!$C$5:$C$4102,$B8,'Danh mục test tự động'!$D$5:$D$4102,"API slice")+COUNTIFS('Danh mục test tự động'!$B$5:$B$4102,$A8,'Danh mục test tự động'!$C$5:$C$4102,$B8,'Danh mục test tự động'!$D$5:$D$4102,"ArchUnit")</f>
        <v/>
      </c>
      <c r="H8" s="6">
        <f>COUNTIFS('Danh mục test tự động'!$B$5:$B$4102,$A8,'Danh mục test tự động'!$C$5:$C$4102,$B8,'Danh mục test tự động'!$D$5:$D$4102,"Integration")+COUNTIFS('Danh mục test tự động'!$B$5:$B$4102,$A8,'Danh mục test tự động'!$C$5:$C$4102,$B8,'Danh mục test tự động'!$D$5:$D$4102,"E2E")</f>
        <v/>
      </c>
    </row>
    <row r="9">
      <c r="A9" s="5" t="inlineStr">
        <is>
          <t>Backend</t>
        </is>
      </c>
      <c r="B9" s="5" t="inlineStr">
        <is>
          <t>identity-service</t>
        </is>
      </c>
      <c r="C9" s="6">
        <f>COUNTIFS('Danh mục test tự động'!$B$5:$B$4102,$A9,'Danh mục test tự động'!$C$5:$C$4102,$B9)</f>
        <v/>
      </c>
      <c r="D9" s="6">
        <f>COUNTIFS('Danh mục test tự động'!$B$5:$B$4102,$A9,'Danh mục test tự động'!$C$5:$C$4102,$B9,'Danh mục test tự động'!$I$5:$I$4102,"Đạt")</f>
        <v/>
      </c>
      <c r="E9" s="6">
        <f>COUNTIFS('Danh mục test tự động'!$B$5:$B$4102,$A9,'Danh mục test tự động'!$C$5:$C$4102,$B9,'Danh mục test tự động'!$I$5:$I$4102,"Đỏ")</f>
        <v/>
      </c>
      <c r="F9" s="6">
        <f>COUNTIFS('Danh mục test tự động'!$B$5:$B$4102,$A9,'Danh mục test tự động'!$C$5:$C$4102,$B9,'Danh mục test tự động'!$I$5:$I$4102,"Bỏ qua")</f>
        <v/>
      </c>
      <c r="G9" s="6">
        <f>COUNTIFS('Danh mục test tự động'!$B$5:$B$4102,$A9,'Danh mục test tự động'!$C$5:$C$4102,$B9,'Danh mục test tự động'!$D$5:$D$4102,"Unit")+COUNTIFS('Danh mục test tự động'!$B$5:$B$4102,$A9,'Danh mục test tự động'!$C$5:$C$4102,$B9,'Danh mục test tự động'!$D$5:$D$4102,"API slice")+COUNTIFS('Danh mục test tự động'!$B$5:$B$4102,$A9,'Danh mục test tự động'!$C$5:$C$4102,$B9,'Danh mục test tự động'!$D$5:$D$4102,"ArchUnit")</f>
        <v/>
      </c>
      <c r="H9" s="6">
        <f>COUNTIFS('Danh mục test tự động'!$B$5:$B$4102,$A9,'Danh mục test tự động'!$C$5:$C$4102,$B9,'Danh mục test tự động'!$D$5:$D$4102,"Integration")+COUNTIFS('Danh mục test tự động'!$B$5:$B$4102,$A9,'Danh mục test tự động'!$C$5:$C$4102,$B9,'Danh mục test tự động'!$D$5:$D$4102,"E2E")</f>
        <v/>
      </c>
    </row>
    <row r="10">
      <c r="A10" s="5" t="inlineStr">
        <is>
          <t>Backend</t>
        </is>
      </c>
      <c r="B10" s="5" t="inlineStr">
        <is>
          <t>inventory-service</t>
        </is>
      </c>
      <c r="C10" s="6">
        <f>COUNTIFS('Danh mục test tự động'!$B$5:$B$4102,$A10,'Danh mục test tự động'!$C$5:$C$4102,$B10)</f>
        <v/>
      </c>
      <c r="D10" s="6">
        <f>COUNTIFS('Danh mục test tự động'!$B$5:$B$4102,$A10,'Danh mục test tự động'!$C$5:$C$4102,$B10,'Danh mục test tự động'!$I$5:$I$4102,"Đạt")</f>
        <v/>
      </c>
      <c r="E10" s="6">
        <f>COUNTIFS('Danh mục test tự động'!$B$5:$B$4102,$A10,'Danh mục test tự động'!$C$5:$C$4102,$B10,'Danh mục test tự động'!$I$5:$I$4102,"Đỏ")</f>
        <v/>
      </c>
      <c r="F10" s="6">
        <f>COUNTIFS('Danh mục test tự động'!$B$5:$B$4102,$A10,'Danh mục test tự động'!$C$5:$C$4102,$B10,'Danh mục test tự động'!$I$5:$I$4102,"Bỏ qua")</f>
        <v/>
      </c>
      <c r="G10" s="6">
        <f>COUNTIFS('Danh mục test tự động'!$B$5:$B$4102,$A10,'Danh mục test tự động'!$C$5:$C$4102,$B10,'Danh mục test tự động'!$D$5:$D$4102,"Unit")+COUNTIFS('Danh mục test tự động'!$B$5:$B$4102,$A10,'Danh mục test tự động'!$C$5:$C$4102,$B10,'Danh mục test tự động'!$D$5:$D$4102,"API slice")+COUNTIFS('Danh mục test tự động'!$B$5:$B$4102,$A10,'Danh mục test tự động'!$C$5:$C$4102,$B10,'Danh mục test tự động'!$D$5:$D$4102,"ArchUnit")</f>
        <v/>
      </c>
      <c r="H10" s="6">
        <f>COUNTIFS('Danh mục test tự động'!$B$5:$B$4102,$A10,'Danh mục test tự động'!$C$5:$C$4102,$B10,'Danh mục test tự động'!$D$5:$D$4102,"Integration")+COUNTIFS('Danh mục test tự động'!$B$5:$B$4102,$A10,'Danh mục test tự động'!$C$5:$C$4102,$B10,'Danh mục test tự động'!$D$5:$D$4102,"E2E")</f>
        <v/>
      </c>
    </row>
    <row r="11">
      <c r="A11" s="5" t="inlineStr">
        <is>
          <t>Backend</t>
        </is>
      </c>
      <c r="B11" s="5" t="inlineStr">
        <is>
          <t>ledger-service</t>
        </is>
      </c>
      <c r="C11" s="6">
        <f>COUNTIFS('Danh mục test tự động'!$B$5:$B$4102,$A11,'Danh mục test tự động'!$C$5:$C$4102,$B11)</f>
        <v/>
      </c>
      <c r="D11" s="6">
        <f>COUNTIFS('Danh mục test tự động'!$B$5:$B$4102,$A11,'Danh mục test tự động'!$C$5:$C$4102,$B11,'Danh mục test tự động'!$I$5:$I$4102,"Đạt")</f>
        <v/>
      </c>
      <c r="E11" s="6">
        <f>COUNTIFS('Danh mục test tự động'!$B$5:$B$4102,$A11,'Danh mục test tự động'!$C$5:$C$4102,$B11,'Danh mục test tự động'!$I$5:$I$4102,"Đỏ")</f>
        <v/>
      </c>
      <c r="F11" s="6">
        <f>COUNTIFS('Danh mục test tự động'!$B$5:$B$4102,$A11,'Danh mục test tự động'!$C$5:$C$4102,$B11,'Danh mục test tự động'!$I$5:$I$4102,"Bỏ qua")</f>
        <v/>
      </c>
      <c r="G11" s="6">
        <f>COUNTIFS('Danh mục test tự động'!$B$5:$B$4102,$A11,'Danh mục test tự động'!$C$5:$C$4102,$B11,'Danh mục test tự động'!$D$5:$D$4102,"Unit")+COUNTIFS('Danh mục test tự động'!$B$5:$B$4102,$A11,'Danh mục test tự động'!$C$5:$C$4102,$B11,'Danh mục test tự động'!$D$5:$D$4102,"API slice")+COUNTIFS('Danh mục test tự động'!$B$5:$B$4102,$A11,'Danh mục test tự động'!$C$5:$C$4102,$B11,'Danh mục test tự động'!$D$5:$D$4102,"ArchUnit")</f>
        <v/>
      </c>
      <c r="H11" s="6">
        <f>COUNTIFS('Danh mục test tự động'!$B$5:$B$4102,$A11,'Danh mục test tự động'!$C$5:$C$4102,$B11,'Danh mục test tự động'!$D$5:$D$4102,"Integration")+COUNTIFS('Danh mục test tự động'!$B$5:$B$4102,$A11,'Danh mục test tự động'!$C$5:$C$4102,$B11,'Danh mục test tự động'!$D$5:$D$4102,"E2E")</f>
        <v/>
      </c>
    </row>
    <row r="12">
      <c r="A12" s="5" t="inlineStr">
        <is>
          <t>Backend</t>
        </is>
      </c>
      <c r="B12" s="5" t="inlineStr">
        <is>
          <t>notification-service</t>
        </is>
      </c>
      <c r="C12" s="6">
        <f>COUNTIFS('Danh mục test tự động'!$B$5:$B$4102,$A12,'Danh mục test tự động'!$C$5:$C$4102,$B12)</f>
        <v/>
      </c>
      <c r="D12" s="6">
        <f>COUNTIFS('Danh mục test tự động'!$B$5:$B$4102,$A12,'Danh mục test tự động'!$C$5:$C$4102,$B12,'Danh mục test tự động'!$I$5:$I$4102,"Đạt")</f>
        <v/>
      </c>
      <c r="E12" s="6">
        <f>COUNTIFS('Danh mục test tự động'!$B$5:$B$4102,$A12,'Danh mục test tự động'!$C$5:$C$4102,$B12,'Danh mục test tự động'!$I$5:$I$4102,"Đỏ")</f>
        <v/>
      </c>
      <c r="F12" s="6">
        <f>COUNTIFS('Danh mục test tự động'!$B$5:$B$4102,$A12,'Danh mục test tự động'!$C$5:$C$4102,$B12,'Danh mục test tự động'!$I$5:$I$4102,"Bỏ qua")</f>
        <v/>
      </c>
      <c r="G12" s="6">
        <f>COUNTIFS('Danh mục test tự động'!$B$5:$B$4102,$A12,'Danh mục test tự động'!$C$5:$C$4102,$B12,'Danh mục test tự động'!$D$5:$D$4102,"Unit")+COUNTIFS('Danh mục test tự động'!$B$5:$B$4102,$A12,'Danh mục test tự động'!$C$5:$C$4102,$B12,'Danh mục test tự động'!$D$5:$D$4102,"API slice")+COUNTIFS('Danh mục test tự động'!$B$5:$B$4102,$A12,'Danh mục test tự động'!$C$5:$C$4102,$B12,'Danh mục test tự động'!$D$5:$D$4102,"ArchUnit")</f>
        <v/>
      </c>
      <c r="H12" s="6">
        <f>COUNTIFS('Danh mục test tự động'!$B$5:$B$4102,$A12,'Danh mục test tự động'!$C$5:$C$4102,$B12,'Danh mục test tự động'!$D$5:$D$4102,"Integration")+COUNTIFS('Danh mục test tự động'!$B$5:$B$4102,$A12,'Danh mục test tự động'!$C$5:$C$4102,$B12,'Danh mục test tự động'!$D$5:$D$4102,"E2E")</f>
        <v/>
      </c>
    </row>
    <row r="13">
      <c r="A13" s="5" t="inlineStr">
        <is>
          <t>Backend</t>
        </is>
      </c>
      <c r="B13" s="5" t="inlineStr">
        <is>
          <t>ordering-service</t>
        </is>
      </c>
      <c r="C13" s="6">
        <f>COUNTIFS('Danh mục test tự động'!$B$5:$B$4102,$A13,'Danh mục test tự động'!$C$5:$C$4102,$B13)</f>
        <v/>
      </c>
      <c r="D13" s="6">
        <f>COUNTIFS('Danh mục test tự động'!$B$5:$B$4102,$A13,'Danh mục test tự động'!$C$5:$C$4102,$B13,'Danh mục test tự động'!$I$5:$I$4102,"Đạt")</f>
        <v/>
      </c>
      <c r="E13" s="6">
        <f>COUNTIFS('Danh mục test tự động'!$B$5:$B$4102,$A13,'Danh mục test tự động'!$C$5:$C$4102,$B13,'Danh mục test tự động'!$I$5:$I$4102,"Đỏ")</f>
        <v/>
      </c>
      <c r="F13" s="6">
        <f>COUNTIFS('Danh mục test tự động'!$B$5:$B$4102,$A13,'Danh mục test tự động'!$C$5:$C$4102,$B13,'Danh mục test tự động'!$I$5:$I$4102,"Bỏ qua")</f>
        <v/>
      </c>
      <c r="G13" s="6">
        <f>COUNTIFS('Danh mục test tự động'!$B$5:$B$4102,$A13,'Danh mục test tự động'!$C$5:$C$4102,$B13,'Danh mục test tự động'!$D$5:$D$4102,"Unit")+COUNTIFS('Danh mục test tự động'!$B$5:$B$4102,$A13,'Danh mục test tự động'!$C$5:$C$4102,$B13,'Danh mục test tự động'!$D$5:$D$4102,"API slice")+COUNTIFS('Danh mục test tự động'!$B$5:$B$4102,$A13,'Danh mục test tự động'!$C$5:$C$4102,$B13,'Danh mục test tự động'!$D$5:$D$4102,"ArchUnit")</f>
        <v/>
      </c>
      <c r="H13" s="6">
        <f>COUNTIFS('Danh mục test tự động'!$B$5:$B$4102,$A13,'Danh mục test tự động'!$C$5:$C$4102,$B13,'Danh mục test tự động'!$D$5:$D$4102,"Integration")+COUNTIFS('Danh mục test tự động'!$B$5:$B$4102,$A13,'Danh mục test tự động'!$C$5:$C$4102,$B13,'Danh mục test tự động'!$D$5:$D$4102,"E2E")</f>
        <v/>
      </c>
    </row>
    <row r="14">
      <c r="A14" s="5" t="inlineStr">
        <is>
          <t>Backend</t>
        </is>
      </c>
      <c r="B14" s="5" t="inlineStr">
        <is>
          <t>payment-service</t>
        </is>
      </c>
      <c r="C14" s="6">
        <f>COUNTIFS('Danh mục test tự động'!$B$5:$B$4102,$A14,'Danh mục test tự động'!$C$5:$C$4102,$B14)</f>
        <v/>
      </c>
      <c r="D14" s="6">
        <f>COUNTIFS('Danh mục test tự động'!$B$5:$B$4102,$A14,'Danh mục test tự động'!$C$5:$C$4102,$B14,'Danh mục test tự động'!$I$5:$I$4102,"Đạt")</f>
        <v/>
      </c>
      <c r="E14" s="6">
        <f>COUNTIFS('Danh mục test tự động'!$B$5:$B$4102,$A14,'Danh mục test tự động'!$C$5:$C$4102,$B14,'Danh mục test tự động'!$I$5:$I$4102,"Đỏ")</f>
        <v/>
      </c>
      <c r="F14" s="6">
        <f>COUNTIFS('Danh mục test tự động'!$B$5:$B$4102,$A14,'Danh mục test tự động'!$C$5:$C$4102,$B14,'Danh mục test tự động'!$I$5:$I$4102,"Bỏ qua")</f>
        <v/>
      </c>
      <c r="G14" s="6">
        <f>COUNTIFS('Danh mục test tự động'!$B$5:$B$4102,$A14,'Danh mục test tự động'!$C$5:$C$4102,$B14,'Danh mục test tự động'!$D$5:$D$4102,"Unit")+COUNTIFS('Danh mục test tự động'!$B$5:$B$4102,$A14,'Danh mục test tự động'!$C$5:$C$4102,$B14,'Danh mục test tự động'!$D$5:$D$4102,"API slice")+COUNTIFS('Danh mục test tự động'!$B$5:$B$4102,$A14,'Danh mục test tự động'!$C$5:$C$4102,$B14,'Danh mục test tự động'!$D$5:$D$4102,"ArchUnit")</f>
        <v/>
      </c>
      <c r="H14" s="6">
        <f>COUNTIFS('Danh mục test tự động'!$B$5:$B$4102,$A14,'Danh mục test tự động'!$C$5:$C$4102,$B14,'Danh mục test tự động'!$D$5:$D$4102,"Integration")+COUNTIFS('Danh mục test tự động'!$B$5:$B$4102,$A14,'Danh mục test tự động'!$C$5:$C$4102,$B14,'Danh mục test tự động'!$D$5:$D$4102,"E2E")</f>
        <v/>
      </c>
    </row>
    <row r="15">
      <c r="A15" s="5" t="inlineStr">
        <is>
          <t>Backend</t>
        </is>
      </c>
      <c r="B15" s="5" t="inlineStr">
        <is>
          <t>payout-service</t>
        </is>
      </c>
      <c r="C15" s="6">
        <f>COUNTIFS('Danh mục test tự động'!$B$5:$B$4102,$A15,'Danh mục test tự động'!$C$5:$C$4102,$B15)</f>
        <v/>
      </c>
      <c r="D15" s="6">
        <f>COUNTIFS('Danh mục test tự động'!$B$5:$B$4102,$A15,'Danh mục test tự động'!$C$5:$C$4102,$B15,'Danh mục test tự động'!$I$5:$I$4102,"Đạt")</f>
        <v/>
      </c>
      <c r="E15" s="6">
        <f>COUNTIFS('Danh mục test tự động'!$B$5:$B$4102,$A15,'Danh mục test tự động'!$C$5:$C$4102,$B15,'Danh mục test tự động'!$I$5:$I$4102,"Đỏ")</f>
        <v/>
      </c>
      <c r="F15" s="6">
        <f>COUNTIFS('Danh mục test tự động'!$B$5:$B$4102,$A15,'Danh mục test tự động'!$C$5:$C$4102,$B15,'Danh mục test tự động'!$I$5:$I$4102,"Bỏ qua")</f>
        <v/>
      </c>
      <c r="G15" s="6">
        <f>COUNTIFS('Danh mục test tự động'!$B$5:$B$4102,$A15,'Danh mục test tự động'!$C$5:$C$4102,$B15,'Danh mục test tự động'!$D$5:$D$4102,"Unit")+COUNTIFS('Danh mục test tự động'!$B$5:$B$4102,$A15,'Danh mục test tự động'!$C$5:$C$4102,$B15,'Danh mục test tự động'!$D$5:$D$4102,"API slice")+COUNTIFS('Danh mục test tự động'!$B$5:$B$4102,$A15,'Danh mục test tự động'!$C$5:$C$4102,$B15,'Danh mục test tự động'!$D$5:$D$4102,"ArchUnit")</f>
        <v/>
      </c>
      <c r="H15" s="6">
        <f>COUNTIFS('Danh mục test tự động'!$B$5:$B$4102,$A15,'Danh mục test tự động'!$C$5:$C$4102,$B15,'Danh mục test tự động'!$D$5:$D$4102,"Integration")+COUNTIFS('Danh mục test tự động'!$B$5:$B$4102,$A15,'Danh mục test tự động'!$C$5:$C$4102,$B15,'Danh mục test tự động'!$D$5:$D$4102,"E2E")</f>
        <v/>
      </c>
    </row>
    <row r="16">
      <c r="A16" s="5" t="inlineStr">
        <is>
          <t>Backend</t>
        </is>
      </c>
      <c r="B16" s="5" t="inlineStr">
        <is>
          <t>realtime-gateway</t>
        </is>
      </c>
      <c r="C16" s="6">
        <f>COUNTIFS('Danh mục test tự động'!$B$5:$B$4102,$A16,'Danh mục test tự động'!$C$5:$C$4102,$B16)</f>
        <v/>
      </c>
      <c r="D16" s="6">
        <f>COUNTIFS('Danh mục test tự động'!$B$5:$B$4102,$A16,'Danh mục test tự động'!$C$5:$C$4102,$B16,'Danh mục test tự động'!$I$5:$I$4102,"Đạt")</f>
        <v/>
      </c>
      <c r="E16" s="6">
        <f>COUNTIFS('Danh mục test tự động'!$B$5:$B$4102,$A16,'Danh mục test tự động'!$C$5:$C$4102,$B16,'Danh mục test tự động'!$I$5:$I$4102,"Đỏ")</f>
        <v/>
      </c>
      <c r="F16" s="6">
        <f>COUNTIFS('Danh mục test tự động'!$B$5:$B$4102,$A16,'Danh mục test tự động'!$C$5:$C$4102,$B16,'Danh mục test tự động'!$I$5:$I$4102,"Bỏ qua")</f>
        <v/>
      </c>
      <c r="G16" s="6">
        <f>COUNTIFS('Danh mục test tự động'!$B$5:$B$4102,$A16,'Danh mục test tự động'!$C$5:$C$4102,$B16,'Danh mục test tự động'!$D$5:$D$4102,"Unit")+COUNTIFS('Danh mục test tự động'!$B$5:$B$4102,$A16,'Danh mục test tự động'!$C$5:$C$4102,$B16,'Danh mục test tự động'!$D$5:$D$4102,"API slice")+COUNTIFS('Danh mục test tự động'!$B$5:$B$4102,$A16,'Danh mục test tự động'!$C$5:$C$4102,$B16,'Danh mục test tự động'!$D$5:$D$4102,"ArchUnit")</f>
        <v/>
      </c>
      <c r="H16" s="6">
        <f>COUNTIFS('Danh mục test tự động'!$B$5:$B$4102,$A16,'Danh mục test tự động'!$C$5:$C$4102,$B16,'Danh mục test tự động'!$D$5:$D$4102,"Integration")+COUNTIFS('Danh mục test tự động'!$B$5:$B$4102,$A16,'Danh mục test tự động'!$C$5:$C$4102,$B16,'Danh mục test tự động'!$D$5:$D$4102,"E2E")</f>
        <v/>
      </c>
    </row>
    <row r="17">
      <c r="A17" s="5" t="inlineStr">
        <is>
          <t>Backend</t>
        </is>
      </c>
      <c r="B17" s="5" t="inlineStr">
        <is>
          <t>shared-kernel</t>
        </is>
      </c>
      <c r="C17" s="6">
        <f>COUNTIFS('Danh mục test tự động'!$B$5:$B$4102,$A17,'Danh mục test tự động'!$C$5:$C$4102,$B17)</f>
        <v/>
      </c>
      <c r="D17" s="6">
        <f>COUNTIFS('Danh mục test tự động'!$B$5:$B$4102,$A17,'Danh mục test tự động'!$C$5:$C$4102,$B17,'Danh mục test tự động'!$I$5:$I$4102,"Đạt")</f>
        <v/>
      </c>
      <c r="E17" s="6">
        <f>COUNTIFS('Danh mục test tự động'!$B$5:$B$4102,$A17,'Danh mục test tự động'!$C$5:$C$4102,$B17,'Danh mục test tự động'!$I$5:$I$4102,"Đỏ")</f>
        <v/>
      </c>
      <c r="F17" s="6">
        <f>COUNTIFS('Danh mục test tự động'!$B$5:$B$4102,$A17,'Danh mục test tự động'!$C$5:$C$4102,$B17,'Danh mục test tự động'!$I$5:$I$4102,"Bỏ qua")</f>
        <v/>
      </c>
      <c r="G17" s="6">
        <f>COUNTIFS('Danh mục test tự động'!$B$5:$B$4102,$A17,'Danh mục test tự động'!$C$5:$C$4102,$B17,'Danh mục test tự động'!$D$5:$D$4102,"Unit")+COUNTIFS('Danh mục test tự động'!$B$5:$B$4102,$A17,'Danh mục test tự động'!$C$5:$C$4102,$B17,'Danh mục test tự động'!$D$5:$D$4102,"API slice")+COUNTIFS('Danh mục test tự động'!$B$5:$B$4102,$A17,'Danh mục test tự động'!$C$5:$C$4102,$B17,'Danh mục test tự động'!$D$5:$D$4102,"ArchUnit")</f>
        <v/>
      </c>
      <c r="H17" s="6">
        <f>COUNTIFS('Danh mục test tự động'!$B$5:$B$4102,$A17,'Danh mục test tự động'!$C$5:$C$4102,$B17,'Danh mục test tự động'!$D$5:$D$4102,"Integration")+COUNTIFS('Danh mục test tự động'!$B$5:$B$4102,$A17,'Danh mục test tự động'!$C$5:$C$4102,$B17,'Danh mục test tự động'!$D$5:$D$4102,"E2E")</f>
        <v/>
      </c>
    </row>
    <row r="18">
      <c r="A18" s="5" t="inlineStr">
        <is>
          <t>Backend</t>
        </is>
      </c>
      <c r="B18" s="5" t="inlineStr">
        <is>
          <t>starter-idempotency</t>
        </is>
      </c>
      <c r="C18" s="6">
        <f>COUNTIFS('Danh mục test tự động'!$B$5:$B$4102,$A18,'Danh mục test tự động'!$C$5:$C$4102,$B18)</f>
        <v/>
      </c>
      <c r="D18" s="6">
        <f>COUNTIFS('Danh mục test tự động'!$B$5:$B$4102,$A18,'Danh mục test tự động'!$C$5:$C$4102,$B18,'Danh mục test tự động'!$I$5:$I$4102,"Đạt")</f>
        <v/>
      </c>
      <c r="E18" s="6">
        <f>COUNTIFS('Danh mục test tự động'!$B$5:$B$4102,$A18,'Danh mục test tự động'!$C$5:$C$4102,$B18,'Danh mục test tự động'!$I$5:$I$4102,"Đỏ")</f>
        <v/>
      </c>
      <c r="F18" s="6">
        <f>COUNTIFS('Danh mục test tự động'!$B$5:$B$4102,$A18,'Danh mục test tự động'!$C$5:$C$4102,$B18,'Danh mục test tự động'!$I$5:$I$4102,"Bỏ qua")</f>
        <v/>
      </c>
      <c r="G18" s="6">
        <f>COUNTIFS('Danh mục test tự động'!$B$5:$B$4102,$A18,'Danh mục test tự động'!$C$5:$C$4102,$B18,'Danh mục test tự động'!$D$5:$D$4102,"Unit")+COUNTIFS('Danh mục test tự động'!$B$5:$B$4102,$A18,'Danh mục test tự động'!$C$5:$C$4102,$B18,'Danh mục test tự động'!$D$5:$D$4102,"API slice")+COUNTIFS('Danh mục test tự động'!$B$5:$B$4102,$A18,'Danh mục test tự động'!$C$5:$C$4102,$B18,'Danh mục test tự động'!$D$5:$D$4102,"ArchUnit")</f>
        <v/>
      </c>
      <c r="H18" s="6">
        <f>COUNTIFS('Danh mục test tự động'!$B$5:$B$4102,$A18,'Danh mục test tự động'!$C$5:$C$4102,$B18,'Danh mục test tự động'!$D$5:$D$4102,"Integration")+COUNTIFS('Danh mục test tự động'!$B$5:$B$4102,$A18,'Danh mục test tự động'!$C$5:$C$4102,$B18,'Danh mục test tự động'!$D$5:$D$4102,"E2E")</f>
        <v/>
      </c>
    </row>
    <row r="19">
      <c r="A19" s="5" t="inlineStr">
        <is>
          <t>Backend</t>
        </is>
      </c>
      <c r="B19" s="5" t="inlineStr">
        <is>
          <t>starter-outbox</t>
        </is>
      </c>
      <c r="C19" s="6">
        <f>COUNTIFS('Danh mục test tự động'!$B$5:$B$4102,$A19,'Danh mục test tự động'!$C$5:$C$4102,$B19)</f>
        <v/>
      </c>
      <c r="D19" s="6">
        <f>COUNTIFS('Danh mục test tự động'!$B$5:$B$4102,$A19,'Danh mục test tự động'!$C$5:$C$4102,$B19,'Danh mục test tự động'!$I$5:$I$4102,"Đạt")</f>
        <v/>
      </c>
      <c r="E19" s="6">
        <f>COUNTIFS('Danh mục test tự động'!$B$5:$B$4102,$A19,'Danh mục test tự động'!$C$5:$C$4102,$B19,'Danh mục test tự động'!$I$5:$I$4102,"Đỏ")</f>
        <v/>
      </c>
      <c r="F19" s="6">
        <f>COUNTIFS('Danh mục test tự động'!$B$5:$B$4102,$A19,'Danh mục test tự động'!$C$5:$C$4102,$B19,'Danh mục test tự động'!$I$5:$I$4102,"Bỏ qua")</f>
        <v/>
      </c>
      <c r="G19" s="6">
        <f>COUNTIFS('Danh mục test tự động'!$B$5:$B$4102,$A19,'Danh mục test tự động'!$C$5:$C$4102,$B19,'Danh mục test tự động'!$D$5:$D$4102,"Unit")+COUNTIFS('Danh mục test tự động'!$B$5:$B$4102,$A19,'Danh mục test tự động'!$C$5:$C$4102,$B19,'Danh mục test tự động'!$D$5:$D$4102,"API slice")+COUNTIFS('Danh mục test tự động'!$B$5:$B$4102,$A19,'Danh mục test tự động'!$C$5:$C$4102,$B19,'Danh mục test tự động'!$D$5:$D$4102,"ArchUnit")</f>
        <v/>
      </c>
      <c r="H19" s="6">
        <f>COUNTIFS('Danh mục test tự động'!$B$5:$B$4102,$A19,'Danh mục test tự động'!$C$5:$C$4102,$B19,'Danh mục test tự động'!$D$5:$D$4102,"Integration")+COUNTIFS('Danh mục test tự động'!$B$5:$B$4102,$A19,'Danh mục test tự động'!$C$5:$C$4102,$B19,'Danh mục test tự động'!$D$5:$D$4102,"E2E")</f>
        <v/>
      </c>
    </row>
    <row r="20">
      <c r="A20" s="5" t="inlineStr">
        <is>
          <t>Backend</t>
        </is>
      </c>
      <c r="B20" s="5" t="inlineStr">
        <is>
          <t>starter-security</t>
        </is>
      </c>
      <c r="C20" s="6">
        <f>COUNTIFS('Danh mục test tự động'!$B$5:$B$4102,$A20,'Danh mục test tự động'!$C$5:$C$4102,$B20)</f>
        <v/>
      </c>
      <c r="D20" s="6">
        <f>COUNTIFS('Danh mục test tự động'!$B$5:$B$4102,$A20,'Danh mục test tự động'!$C$5:$C$4102,$B20,'Danh mục test tự động'!$I$5:$I$4102,"Đạt")</f>
        <v/>
      </c>
      <c r="E20" s="6">
        <f>COUNTIFS('Danh mục test tự động'!$B$5:$B$4102,$A20,'Danh mục test tự động'!$C$5:$C$4102,$B20,'Danh mục test tự động'!$I$5:$I$4102,"Đỏ")</f>
        <v/>
      </c>
      <c r="F20" s="6">
        <f>COUNTIFS('Danh mục test tự động'!$B$5:$B$4102,$A20,'Danh mục test tự động'!$C$5:$C$4102,$B20,'Danh mục test tự động'!$I$5:$I$4102,"Bỏ qua")</f>
        <v/>
      </c>
      <c r="G20" s="6">
        <f>COUNTIFS('Danh mục test tự động'!$B$5:$B$4102,$A20,'Danh mục test tự động'!$C$5:$C$4102,$B20,'Danh mục test tự động'!$D$5:$D$4102,"Unit")+COUNTIFS('Danh mục test tự động'!$B$5:$B$4102,$A20,'Danh mục test tự động'!$C$5:$C$4102,$B20,'Danh mục test tự động'!$D$5:$D$4102,"API slice")+COUNTIFS('Danh mục test tự động'!$B$5:$B$4102,$A20,'Danh mục test tự động'!$C$5:$C$4102,$B20,'Danh mục test tự động'!$D$5:$D$4102,"ArchUnit")</f>
        <v/>
      </c>
      <c r="H20" s="6">
        <f>COUNTIFS('Danh mục test tự động'!$B$5:$B$4102,$A20,'Danh mục test tự động'!$C$5:$C$4102,$B20,'Danh mục test tự động'!$D$5:$D$4102,"Integration")+COUNTIFS('Danh mục test tự động'!$B$5:$B$4102,$A20,'Danh mục test tự động'!$C$5:$C$4102,$B20,'Danh mục test tự động'!$D$5:$D$4102,"E2E")</f>
        <v/>
      </c>
    </row>
    <row r="21">
      <c r="A21" s="5" t="inlineStr">
        <is>
          <t>Backend</t>
        </is>
      </c>
      <c r="B21" s="5" t="inlineStr">
        <is>
          <t>starter-web</t>
        </is>
      </c>
      <c r="C21" s="6">
        <f>COUNTIFS('Danh mục test tự động'!$B$5:$B$4102,$A21,'Danh mục test tự động'!$C$5:$C$4102,$B21)</f>
        <v/>
      </c>
      <c r="D21" s="6">
        <f>COUNTIFS('Danh mục test tự động'!$B$5:$B$4102,$A21,'Danh mục test tự động'!$C$5:$C$4102,$B21,'Danh mục test tự động'!$I$5:$I$4102,"Đạt")</f>
        <v/>
      </c>
      <c r="E21" s="6">
        <f>COUNTIFS('Danh mục test tự động'!$B$5:$B$4102,$A21,'Danh mục test tự động'!$C$5:$C$4102,$B21,'Danh mục test tự động'!$I$5:$I$4102,"Đỏ")</f>
        <v/>
      </c>
      <c r="F21" s="6">
        <f>COUNTIFS('Danh mục test tự động'!$B$5:$B$4102,$A21,'Danh mục test tự động'!$C$5:$C$4102,$B21,'Danh mục test tự động'!$I$5:$I$4102,"Bỏ qua")</f>
        <v/>
      </c>
      <c r="G21" s="6">
        <f>COUNTIFS('Danh mục test tự động'!$B$5:$B$4102,$A21,'Danh mục test tự động'!$C$5:$C$4102,$B21,'Danh mục test tự động'!$D$5:$D$4102,"Unit")+COUNTIFS('Danh mục test tự động'!$B$5:$B$4102,$A21,'Danh mục test tự động'!$C$5:$C$4102,$B21,'Danh mục test tự động'!$D$5:$D$4102,"API slice")+COUNTIFS('Danh mục test tự động'!$B$5:$B$4102,$A21,'Danh mục test tự động'!$C$5:$C$4102,$B21,'Danh mục test tự động'!$D$5:$D$4102,"ArchUnit")</f>
        <v/>
      </c>
      <c r="H21" s="6">
        <f>COUNTIFS('Danh mục test tự động'!$B$5:$B$4102,$A21,'Danh mục test tự động'!$C$5:$C$4102,$B21,'Danh mục test tự động'!$D$5:$D$4102,"Integration")+COUNTIFS('Danh mục test tự động'!$B$5:$B$4102,$A21,'Danh mục test tự động'!$C$5:$C$4102,$B21,'Danh mục test tự động'!$D$5:$D$4102,"E2E")</f>
        <v/>
      </c>
    </row>
    <row r="22">
      <c r="A22" s="5" t="inlineStr">
        <is>
          <t>Backend</t>
        </is>
      </c>
      <c r="B22" s="5" t="inlineStr">
        <is>
          <t>ticketing-service</t>
        </is>
      </c>
      <c r="C22" s="6">
        <f>COUNTIFS('Danh mục test tự động'!$B$5:$B$4102,$A22,'Danh mục test tự động'!$C$5:$C$4102,$B22)</f>
        <v/>
      </c>
      <c r="D22" s="6">
        <f>COUNTIFS('Danh mục test tự động'!$B$5:$B$4102,$A22,'Danh mục test tự động'!$C$5:$C$4102,$B22,'Danh mục test tự động'!$I$5:$I$4102,"Đạt")</f>
        <v/>
      </c>
      <c r="E22" s="6">
        <f>COUNTIFS('Danh mục test tự động'!$B$5:$B$4102,$A22,'Danh mục test tự động'!$C$5:$C$4102,$B22,'Danh mục test tự động'!$I$5:$I$4102,"Đỏ")</f>
        <v/>
      </c>
      <c r="F22" s="6">
        <f>COUNTIFS('Danh mục test tự động'!$B$5:$B$4102,$A22,'Danh mục test tự động'!$C$5:$C$4102,$B22,'Danh mục test tự động'!$I$5:$I$4102,"Bỏ qua")</f>
        <v/>
      </c>
      <c r="G22" s="6">
        <f>COUNTIFS('Danh mục test tự động'!$B$5:$B$4102,$A22,'Danh mục test tự động'!$C$5:$C$4102,$B22,'Danh mục test tự động'!$D$5:$D$4102,"Unit")+COUNTIFS('Danh mục test tự động'!$B$5:$B$4102,$A22,'Danh mục test tự động'!$C$5:$C$4102,$B22,'Danh mục test tự động'!$D$5:$D$4102,"API slice")+COUNTIFS('Danh mục test tự động'!$B$5:$B$4102,$A22,'Danh mục test tự động'!$C$5:$C$4102,$B22,'Danh mục test tự động'!$D$5:$D$4102,"ArchUnit")</f>
        <v/>
      </c>
      <c r="H22" s="6">
        <f>COUNTIFS('Danh mục test tự động'!$B$5:$B$4102,$A22,'Danh mục test tự động'!$C$5:$C$4102,$B22,'Danh mục test tự động'!$D$5:$D$4102,"Integration")+COUNTIFS('Danh mục test tự động'!$B$5:$B$4102,$A22,'Danh mục test tự động'!$C$5:$C$4102,$B22,'Danh mục test tự động'!$D$5:$D$4102,"E2E")</f>
        <v/>
      </c>
    </row>
    <row r="23">
      <c r="A23" s="5" t="inlineStr">
        <is>
          <t>Frontend</t>
        </is>
      </c>
      <c r="B23" s="5" t="inlineStr">
        <is>
          <t>auth</t>
        </is>
      </c>
      <c r="C23" s="6">
        <f>COUNTIFS('Danh mục test tự động'!$B$5:$B$4102,$A23,'Danh mục test tự động'!$C$5:$C$4102,$B23)</f>
        <v/>
      </c>
      <c r="D23" s="6">
        <f>COUNTIFS('Danh mục test tự động'!$B$5:$B$4102,$A23,'Danh mục test tự động'!$C$5:$C$4102,$B23,'Danh mục test tự động'!$I$5:$I$4102,"Đạt")</f>
        <v/>
      </c>
      <c r="E23" s="6">
        <f>COUNTIFS('Danh mục test tự động'!$B$5:$B$4102,$A23,'Danh mục test tự động'!$C$5:$C$4102,$B23,'Danh mục test tự động'!$I$5:$I$4102,"Đỏ")</f>
        <v/>
      </c>
      <c r="F23" s="6">
        <f>COUNTIFS('Danh mục test tự động'!$B$5:$B$4102,$A23,'Danh mục test tự động'!$C$5:$C$4102,$B23,'Danh mục test tự động'!$I$5:$I$4102,"Bỏ qua")</f>
        <v/>
      </c>
      <c r="G23" s="6">
        <f>COUNTIFS('Danh mục test tự động'!$B$5:$B$4102,$A23,'Danh mục test tự động'!$C$5:$C$4102,$B23,'Danh mục test tự động'!$D$5:$D$4102,"Unit")+COUNTIFS('Danh mục test tự động'!$B$5:$B$4102,$A23,'Danh mục test tự động'!$C$5:$C$4102,$B23,'Danh mục test tự động'!$D$5:$D$4102,"API slice")+COUNTIFS('Danh mục test tự động'!$B$5:$B$4102,$A23,'Danh mục test tự động'!$C$5:$C$4102,$B23,'Danh mục test tự động'!$D$5:$D$4102,"ArchUnit")</f>
        <v/>
      </c>
      <c r="H23" s="6">
        <f>COUNTIFS('Danh mục test tự động'!$B$5:$B$4102,$A23,'Danh mục test tự động'!$C$5:$C$4102,$B23,'Danh mục test tự động'!$D$5:$D$4102,"Integration")+COUNTIFS('Danh mục test tự động'!$B$5:$B$4102,$A23,'Danh mục test tự động'!$C$5:$C$4102,$B23,'Danh mục test tự động'!$D$5:$D$4102,"E2E")</f>
        <v/>
      </c>
    </row>
    <row r="24">
      <c r="A24" s="5" t="inlineStr">
        <is>
          <t>Frontend</t>
        </is>
      </c>
      <c r="B24" s="5" t="inlineStr">
        <is>
          <t>ts-sdk</t>
        </is>
      </c>
      <c r="C24" s="6">
        <f>COUNTIFS('Danh mục test tự động'!$B$5:$B$4102,$A24,'Danh mục test tự động'!$C$5:$C$4102,$B24)</f>
        <v/>
      </c>
      <c r="D24" s="6">
        <f>COUNTIFS('Danh mục test tự động'!$B$5:$B$4102,$A24,'Danh mục test tự động'!$C$5:$C$4102,$B24,'Danh mục test tự động'!$I$5:$I$4102,"Đạt")</f>
        <v/>
      </c>
      <c r="E24" s="6">
        <f>COUNTIFS('Danh mục test tự động'!$B$5:$B$4102,$A24,'Danh mục test tự động'!$C$5:$C$4102,$B24,'Danh mục test tự động'!$I$5:$I$4102,"Đỏ")</f>
        <v/>
      </c>
      <c r="F24" s="6">
        <f>COUNTIFS('Danh mục test tự động'!$B$5:$B$4102,$A24,'Danh mục test tự động'!$C$5:$C$4102,$B24,'Danh mục test tự động'!$I$5:$I$4102,"Bỏ qua")</f>
        <v/>
      </c>
      <c r="G24" s="6">
        <f>COUNTIFS('Danh mục test tự động'!$B$5:$B$4102,$A24,'Danh mục test tự động'!$C$5:$C$4102,$B24,'Danh mục test tự động'!$D$5:$D$4102,"Unit")+COUNTIFS('Danh mục test tự động'!$B$5:$B$4102,$A24,'Danh mục test tự động'!$C$5:$C$4102,$B24,'Danh mục test tự động'!$D$5:$D$4102,"API slice")+COUNTIFS('Danh mục test tự động'!$B$5:$B$4102,$A24,'Danh mục test tự động'!$C$5:$C$4102,$B24,'Danh mục test tự động'!$D$5:$D$4102,"ArchUnit")</f>
        <v/>
      </c>
      <c r="H24" s="6">
        <f>COUNTIFS('Danh mục test tự động'!$B$5:$B$4102,$A24,'Danh mục test tự động'!$C$5:$C$4102,$B24,'Danh mục test tự động'!$D$5:$D$4102,"Integration")+COUNTIFS('Danh mục test tự động'!$B$5:$B$4102,$A24,'Danh mục test tự động'!$C$5:$C$4102,$B24,'Danh mục test tự động'!$D$5:$D$4102,"E2E")</f>
        <v/>
      </c>
    </row>
    <row r="25">
      <c r="A25" s="5" t="inlineStr">
        <is>
          <t>Frontend</t>
        </is>
      </c>
      <c r="B25" s="5" t="inlineStr">
        <is>
          <t>ui</t>
        </is>
      </c>
      <c r="C25" s="6">
        <f>COUNTIFS('Danh mục test tự động'!$B$5:$B$4102,$A25,'Danh mục test tự động'!$C$5:$C$4102,$B25)</f>
        <v/>
      </c>
      <c r="D25" s="6">
        <f>COUNTIFS('Danh mục test tự động'!$B$5:$B$4102,$A25,'Danh mục test tự động'!$C$5:$C$4102,$B25,'Danh mục test tự động'!$I$5:$I$4102,"Đạt")</f>
        <v/>
      </c>
      <c r="E25" s="6">
        <f>COUNTIFS('Danh mục test tự động'!$B$5:$B$4102,$A25,'Danh mục test tự động'!$C$5:$C$4102,$B25,'Danh mục test tự động'!$I$5:$I$4102,"Đỏ")</f>
        <v/>
      </c>
      <c r="F25" s="6">
        <f>COUNTIFS('Danh mục test tự động'!$B$5:$B$4102,$A25,'Danh mục test tự động'!$C$5:$C$4102,$B25,'Danh mục test tự động'!$I$5:$I$4102,"Bỏ qua")</f>
        <v/>
      </c>
      <c r="G25" s="6">
        <f>COUNTIFS('Danh mục test tự động'!$B$5:$B$4102,$A25,'Danh mục test tự động'!$C$5:$C$4102,$B25,'Danh mục test tự động'!$D$5:$D$4102,"Unit")+COUNTIFS('Danh mục test tự động'!$B$5:$B$4102,$A25,'Danh mục test tự động'!$C$5:$C$4102,$B25,'Danh mục test tự động'!$D$5:$D$4102,"API slice")+COUNTIFS('Danh mục test tự động'!$B$5:$B$4102,$A25,'Danh mục test tự động'!$C$5:$C$4102,$B25,'Danh mục test tự động'!$D$5:$D$4102,"ArchUnit")</f>
        <v/>
      </c>
      <c r="H25" s="6">
        <f>COUNTIFS('Danh mục test tự động'!$B$5:$B$4102,$A25,'Danh mục test tự động'!$C$5:$C$4102,$B25,'Danh mục test tự động'!$D$5:$D$4102,"Integration")+COUNTIFS('Danh mục test tự động'!$B$5:$B$4102,$A25,'Danh mục test tự động'!$C$5:$C$4102,$B25,'Danh mục test tự động'!$D$5:$D$4102,"E2E")</f>
        <v/>
      </c>
    </row>
    <row r="26">
      <c r="A26" s="5" t="inlineStr">
        <is>
          <t>Frontend</t>
        </is>
      </c>
      <c r="B26" s="5" t="inlineStr">
        <is>
          <t>web-admin</t>
        </is>
      </c>
      <c r="C26" s="6">
        <f>COUNTIFS('Danh mục test tự động'!$B$5:$B$4102,$A26,'Danh mục test tự động'!$C$5:$C$4102,$B26)</f>
        <v/>
      </c>
      <c r="D26" s="6">
        <f>COUNTIFS('Danh mục test tự động'!$B$5:$B$4102,$A26,'Danh mục test tự động'!$C$5:$C$4102,$B26,'Danh mục test tự động'!$I$5:$I$4102,"Đạt")</f>
        <v/>
      </c>
      <c r="E26" s="6">
        <f>COUNTIFS('Danh mục test tự động'!$B$5:$B$4102,$A26,'Danh mục test tự động'!$C$5:$C$4102,$B26,'Danh mục test tự động'!$I$5:$I$4102,"Đỏ")</f>
        <v/>
      </c>
      <c r="F26" s="6">
        <f>COUNTIFS('Danh mục test tự động'!$B$5:$B$4102,$A26,'Danh mục test tự động'!$C$5:$C$4102,$B26,'Danh mục test tự động'!$I$5:$I$4102,"Bỏ qua")</f>
        <v/>
      </c>
      <c r="G26" s="6">
        <f>COUNTIFS('Danh mục test tự động'!$B$5:$B$4102,$A26,'Danh mục test tự động'!$C$5:$C$4102,$B26,'Danh mục test tự động'!$D$5:$D$4102,"Unit")+COUNTIFS('Danh mục test tự động'!$B$5:$B$4102,$A26,'Danh mục test tự động'!$C$5:$C$4102,$B26,'Danh mục test tự động'!$D$5:$D$4102,"API slice")+COUNTIFS('Danh mục test tự động'!$B$5:$B$4102,$A26,'Danh mục test tự động'!$C$5:$C$4102,$B26,'Danh mục test tự động'!$D$5:$D$4102,"ArchUnit")</f>
        <v/>
      </c>
      <c r="H26" s="6">
        <f>COUNTIFS('Danh mục test tự động'!$B$5:$B$4102,$A26,'Danh mục test tự động'!$C$5:$C$4102,$B26,'Danh mục test tự động'!$D$5:$D$4102,"Integration")+COUNTIFS('Danh mục test tự động'!$B$5:$B$4102,$A26,'Danh mục test tự động'!$C$5:$C$4102,$B26,'Danh mục test tự động'!$D$5:$D$4102,"E2E")</f>
        <v/>
      </c>
    </row>
    <row r="27">
      <c r="A27" s="5" t="inlineStr">
        <is>
          <t>Frontend</t>
        </is>
      </c>
      <c r="B27" s="5" t="inlineStr">
        <is>
          <t>web-customer</t>
        </is>
      </c>
      <c r="C27" s="6">
        <f>COUNTIFS('Danh mục test tự động'!$B$5:$B$4102,$A27,'Danh mục test tự động'!$C$5:$C$4102,$B27)</f>
        <v/>
      </c>
      <c r="D27" s="6">
        <f>COUNTIFS('Danh mục test tự động'!$B$5:$B$4102,$A27,'Danh mục test tự động'!$C$5:$C$4102,$B27,'Danh mục test tự động'!$I$5:$I$4102,"Đạt")</f>
        <v/>
      </c>
      <c r="E27" s="6">
        <f>COUNTIFS('Danh mục test tự động'!$B$5:$B$4102,$A27,'Danh mục test tự động'!$C$5:$C$4102,$B27,'Danh mục test tự động'!$I$5:$I$4102,"Đỏ")</f>
        <v/>
      </c>
      <c r="F27" s="6">
        <f>COUNTIFS('Danh mục test tự động'!$B$5:$B$4102,$A27,'Danh mục test tự động'!$C$5:$C$4102,$B27,'Danh mục test tự động'!$I$5:$I$4102,"Bỏ qua")</f>
        <v/>
      </c>
      <c r="G27" s="6">
        <f>COUNTIFS('Danh mục test tự động'!$B$5:$B$4102,$A27,'Danh mục test tự động'!$C$5:$C$4102,$B27,'Danh mục test tự động'!$D$5:$D$4102,"Unit")+COUNTIFS('Danh mục test tự động'!$B$5:$B$4102,$A27,'Danh mục test tự động'!$C$5:$C$4102,$B27,'Danh mục test tự động'!$D$5:$D$4102,"API slice")+COUNTIFS('Danh mục test tự động'!$B$5:$B$4102,$A27,'Danh mục test tự động'!$C$5:$C$4102,$B27,'Danh mục test tự động'!$D$5:$D$4102,"ArchUnit")</f>
        <v/>
      </c>
      <c r="H27" s="6">
        <f>COUNTIFS('Danh mục test tự động'!$B$5:$B$4102,$A27,'Danh mục test tự động'!$C$5:$C$4102,$B27,'Danh mục test tự động'!$D$5:$D$4102,"Integration")+COUNTIFS('Danh mục test tự động'!$B$5:$B$4102,$A27,'Danh mục test tự động'!$C$5:$C$4102,$B27,'Danh mục test tự động'!$D$5:$D$4102,"E2E")</f>
        <v/>
      </c>
    </row>
    <row r="28">
      <c r="A28" s="5" t="inlineStr">
        <is>
          <t>Frontend</t>
        </is>
      </c>
      <c r="B28" s="5" t="inlineStr">
        <is>
          <t>web-customer (E2E)</t>
        </is>
      </c>
      <c r="C28" s="6">
        <f>COUNTIFS('Danh mục test tự động'!$B$5:$B$4102,$A28,'Danh mục test tự động'!$C$5:$C$4102,$B28)</f>
        <v/>
      </c>
      <c r="D28" s="6">
        <f>COUNTIFS('Danh mục test tự động'!$B$5:$B$4102,$A28,'Danh mục test tự động'!$C$5:$C$4102,$B28,'Danh mục test tự động'!$I$5:$I$4102,"Đạt")</f>
        <v/>
      </c>
      <c r="E28" s="6">
        <f>COUNTIFS('Danh mục test tự động'!$B$5:$B$4102,$A28,'Danh mục test tự động'!$C$5:$C$4102,$B28,'Danh mục test tự động'!$I$5:$I$4102,"Đỏ")</f>
        <v/>
      </c>
      <c r="F28" s="6">
        <f>COUNTIFS('Danh mục test tự động'!$B$5:$B$4102,$A28,'Danh mục test tự động'!$C$5:$C$4102,$B28,'Danh mục test tự động'!$I$5:$I$4102,"Bỏ qua")</f>
        <v/>
      </c>
      <c r="G28" s="6">
        <f>COUNTIFS('Danh mục test tự động'!$B$5:$B$4102,$A28,'Danh mục test tự động'!$C$5:$C$4102,$B28,'Danh mục test tự động'!$D$5:$D$4102,"Unit")+COUNTIFS('Danh mục test tự động'!$B$5:$B$4102,$A28,'Danh mục test tự động'!$C$5:$C$4102,$B28,'Danh mục test tự động'!$D$5:$D$4102,"API slice")+COUNTIFS('Danh mục test tự động'!$B$5:$B$4102,$A28,'Danh mục test tự động'!$C$5:$C$4102,$B28,'Danh mục test tự động'!$D$5:$D$4102,"ArchUnit")</f>
        <v/>
      </c>
      <c r="H28" s="6">
        <f>COUNTIFS('Danh mục test tự động'!$B$5:$B$4102,$A28,'Danh mục test tự động'!$C$5:$C$4102,$B28,'Danh mục test tự động'!$D$5:$D$4102,"Integration")+COUNTIFS('Danh mục test tự động'!$B$5:$B$4102,$A28,'Danh mục test tự động'!$C$5:$C$4102,$B28,'Danh mục test tự động'!$D$5:$D$4102,"E2E")</f>
        <v/>
      </c>
    </row>
    <row r="29">
      <c r="A29" s="5" t="inlineStr">
        <is>
          <t>Frontend</t>
        </is>
      </c>
      <c r="B29" s="5" t="inlineStr">
        <is>
          <t>web-platform</t>
        </is>
      </c>
      <c r="C29" s="6">
        <f>COUNTIFS('Danh mục test tự động'!$B$5:$B$4102,$A29,'Danh mục test tự động'!$C$5:$C$4102,$B29)</f>
        <v/>
      </c>
      <c r="D29" s="6">
        <f>COUNTIFS('Danh mục test tự động'!$B$5:$B$4102,$A29,'Danh mục test tự động'!$C$5:$C$4102,$B29,'Danh mục test tự động'!$I$5:$I$4102,"Đạt")</f>
        <v/>
      </c>
      <c r="E29" s="6">
        <f>COUNTIFS('Danh mục test tự động'!$B$5:$B$4102,$A29,'Danh mục test tự động'!$C$5:$C$4102,$B29,'Danh mục test tự động'!$I$5:$I$4102,"Đỏ")</f>
        <v/>
      </c>
      <c r="F29" s="6">
        <f>COUNTIFS('Danh mục test tự động'!$B$5:$B$4102,$A29,'Danh mục test tự động'!$C$5:$C$4102,$B29,'Danh mục test tự động'!$I$5:$I$4102,"Bỏ qua")</f>
        <v/>
      </c>
      <c r="G29" s="6">
        <f>COUNTIFS('Danh mục test tự động'!$B$5:$B$4102,$A29,'Danh mục test tự động'!$C$5:$C$4102,$B29,'Danh mục test tự động'!$D$5:$D$4102,"Unit")+COUNTIFS('Danh mục test tự động'!$B$5:$B$4102,$A29,'Danh mục test tự động'!$C$5:$C$4102,$B29,'Danh mục test tự động'!$D$5:$D$4102,"API slice")+COUNTIFS('Danh mục test tự động'!$B$5:$B$4102,$A29,'Danh mục test tự động'!$C$5:$C$4102,$B29,'Danh mục test tự động'!$D$5:$D$4102,"ArchUnit")</f>
        <v/>
      </c>
      <c r="H29" s="6">
        <f>COUNTIFS('Danh mục test tự động'!$B$5:$B$4102,$A29,'Danh mục test tự động'!$C$5:$C$4102,$B29,'Danh mục test tự động'!$D$5:$D$4102,"Integration")+COUNTIFS('Danh mục test tự động'!$B$5:$B$4102,$A29,'Danh mục test tự động'!$C$5:$C$4102,$B29,'Danh mục test tự động'!$D$5:$D$4102,"E2E")</f>
        <v/>
      </c>
    </row>
    <row r="30">
      <c r="A30" s="5" t="inlineStr">
        <is>
          <t>Frontend</t>
        </is>
      </c>
      <c r="B30" s="5" t="inlineStr">
        <is>
          <t>web-scanner</t>
        </is>
      </c>
      <c r="C30" s="6">
        <f>COUNTIFS('Danh mục test tự động'!$B$5:$B$4102,$A30,'Danh mục test tự động'!$C$5:$C$4102,$B30)</f>
        <v/>
      </c>
      <c r="D30" s="6">
        <f>COUNTIFS('Danh mục test tự động'!$B$5:$B$4102,$A30,'Danh mục test tự động'!$C$5:$C$4102,$B30,'Danh mục test tự động'!$I$5:$I$4102,"Đạt")</f>
        <v/>
      </c>
      <c r="E30" s="6">
        <f>COUNTIFS('Danh mục test tự động'!$B$5:$B$4102,$A30,'Danh mục test tự động'!$C$5:$C$4102,$B30,'Danh mục test tự động'!$I$5:$I$4102,"Đỏ")</f>
        <v/>
      </c>
      <c r="F30" s="6">
        <f>COUNTIFS('Danh mục test tự động'!$B$5:$B$4102,$A30,'Danh mục test tự động'!$C$5:$C$4102,$B30,'Danh mục test tự động'!$I$5:$I$4102,"Bỏ qua")</f>
        <v/>
      </c>
      <c r="G30" s="6">
        <f>COUNTIFS('Danh mục test tự động'!$B$5:$B$4102,$A30,'Danh mục test tự động'!$C$5:$C$4102,$B30,'Danh mục test tự động'!$D$5:$D$4102,"Unit")+COUNTIFS('Danh mục test tự động'!$B$5:$B$4102,$A30,'Danh mục test tự động'!$C$5:$C$4102,$B30,'Danh mục test tự động'!$D$5:$D$4102,"API slice")+COUNTIFS('Danh mục test tự động'!$B$5:$B$4102,$A30,'Danh mục test tự động'!$C$5:$C$4102,$B30,'Danh mục test tự động'!$D$5:$D$4102,"ArchUnit")</f>
        <v/>
      </c>
      <c r="H30" s="6">
        <f>COUNTIFS('Danh mục test tự động'!$B$5:$B$4102,$A30,'Danh mục test tự động'!$C$5:$C$4102,$B30,'Danh mục test tự động'!$D$5:$D$4102,"Integration")+COUNTIFS('Danh mục test tự động'!$B$5:$B$4102,$A30,'Danh mục test tự động'!$C$5:$C$4102,$B30,'Danh mục test tự động'!$D$5:$D$4102,"E2E")</f>
        <v/>
      </c>
    </row>
    <row r="31">
      <c r="A31" s="8" t="inlineStr">
        <is>
          <t>TỔNG</t>
        </is>
      </c>
      <c r="B31" s="8" t="n"/>
      <c r="C31" s="9">
        <f>SUM(C5:C30)</f>
        <v/>
      </c>
      <c r="D31" s="9">
        <f>SUM(D5:D30)</f>
        <v/>
      </c>
      <c r="E31" s="9">
        <f>SUM(E5:E30)</f>
        <v/>
      </c>
      <c r="F31" s="9">
        <f>SUM(F5:F30)</f>
        <v/>
      </c>
      <c r="G31" s="9">
        <f>SUM(G5:G30)</f>
        <v/>
      </c>
      <c r="H31" s="9">
        <f>SUM(H5:H30)</f>
        <v/>
      </c>
    </row>
  </sheetData>
  <conditionalFormatting sqref="E5:E31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M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Coverage backend — JaCoCo (unit + integration gộp)</t>
        </is>
      </c>
    </row>
    <row r="2">
      <c r="A2" s="2" t="inlineStr">
        <is>
          <t>Số dòng/nhánh bỏ sót và đã phủ lấy từ jacoco.csv; tỉ lệ là công thức. Loại trừ: lớp *Application và infrastructure/seed.</t>
        </is>
      </c>
    </row>
    <row r="4" ht="30" customHeight="1">
      <c r="A4" s="4" t="inlineStr">
        <is>
          <t>Module</t>
        </is>
      </c>
      <c r="B4" s="4" t="inlineStr">
        <is>
          <t>Instr. bỏ sót</t>
        </is>
      </c>
      <c r="C4" s="4" t="inlineStr">
        <is>
          <t>Instr. đã phủ</t>
        </is>
      </c>
      <c r="D4" s="4" t="inlineStr">
        <is>
          <t>Instr. %</t>
        </is>
      </c>
      <c r="E4" s="4" t="inlineStr">
        <is>
          <t>Nhánh bỏ sót</t>
        </is>
      </c>
      <c r="F4" s="4" t="inlineStr">
        <is>
          <t>Nhánh đã phủ</t>
        </is>
      </c>
      <c r="G4" s="4" t="inlineStr">
        <is>
          <t>Nhánh %</t>
        </is>
      </c>
      <c r="H4" s="4" t="inlineStr">
        <is>
          <t>Dòng bỏ sót</t>
        </is>
      </c>
      <c r="I4" s="4" t="inlineStr">
        <is>
          <t>Dòng đã phủ</t>
        </is>
      </c>
      <c r="J4" s="4" t="inlineStr">
        <is>
          <t>Dòng %</t>
        </is>
      </c>
      <c r="K4" s="4" t="inlineStr">
        <is>
          <t>Method bỏ sót</t>
        </is>
      </c>
      <c r="L4" s="4" t="inlineStr">
        <is>
          <t>Method đã phủ</t>
        </is>
      </c>
      <c r="M4" s="4" t="inlineStr">
        <is>
          <t>Method %</t>
        </is>
      </c>
    </row>
    <row r="5">
      <c r="A5" s="5" t="inlineStr">
        <is>
          <t>shared-kernel</t>
        </is>
      </c>
      <c r="B5" s="14" t="n">
        <v>1</v>
      </c>
      <c r="C5" s="14" t="n">
        <v>708</v>
      </c>
      <c r="D5" s="7">
        <f>IF(B5+C5=0,"-",C5/(B5+C5))</f>
        <v/>
      </c>
      <c r="E5" s="14" t="n">
        <v>1</v>
      </c>
      <c r="F5" s="14" t="n">
        <v>43</v>
      </c>
      <c r="G5" s="7">
        <f>IF(E5+F5=0,"-",F5/(E5+F5))</f>
        <v/>
      </c>
      <c r="H5" s="14" t="n">
        <v>0</v>
      </c>
      <c r="I5" s="14" t="n">
        <v>107</v>
      </c>
      <c r="J5" s="7">
        <f>IF(H5+I5=0,"-",I5/(H5+I5))</f>
        <v/>
      </c>
      <c r="K5" s="14" t="n">
        <v>0</v>
      </c>
      <c r="L5" s="14" t="n">
        <v>44</v>
      </c>
      <c r="M5" s="7">
        <f>IF(K5+L5=0,"-",L5/(K5+L5))</f>
        <v/>
      </c>
    </row>
    <row r="6">
      <c r="A6" s="5" t="inlineStr">
        <is>
          <t>starter-idempotency</t>
        </is>
      </c>
      <c r="B6" s="14" t="n">
        <v>118</v>
      </c>
      <c r="C6" s="14" t="n">
        <v>773</v>
      </c>
      <c r="D6" s="7">
        <f>IF(B6+C6=0,"-",C6/(B6+C6))</f>
        <v/>
      </c>
      <c r="E6" s="14" t="n">
        <v>12</v>
      </c>
      <c r="F6" s="14" t="n">
        <v>68</v>
      </c>
      <c r="G6" s="7">
        <f>IF(E6+F6=0,"-",F6/(E6+F6))</f>
        <v/>
      </c>
      <c r="H6" s="14" t="n">
        <v>30</v>
      </c>
      <c r="I6" s="14" t="n">
        <v>155</v>
      </c>
      <c r="J6" s="7">
        <f>IF(H6+I6=0,"-",I6/(H6+I6))</f>
        <v/>
      </c>
      <c r="K6" s="14" t="n">
        <v>12</v>
      </c>
      <c r="L6" s="14" t="n">
        <v>36</v>
      </c>
      <c r="M6" s="7">
        <f>IF(K6+L6=0,"-",L6/(K6+L6))</f>
        <v/>
      </c>
    </row>
    <row r="7">
      <c r="A7" s="5" t="inlineStr">
        <is>
          <t>starter-outbox</t>
        </is>
      </c>
      <c r="B7" s="14" t="n">
        <v>22</v>
      </c>
      <c r="C7" s="14" t="n">
        <v>366</v>
      </c>
      <c r="D7" s="7">
        <f>IF(B7+C7=0,"-",C7/(B7+C7))</f>
        <v/>
      </c>
      <c r="E7" s="14" t="n">
        <v>2</v>
      </c>
      <c r="F7" s="14" t="n">
        <v>16</v>
      </c>
      <c r="G7" s="7">
        <f>IF(E7+F7=0,"-",F7/(E7+F7))</f>
        <v/>
      </c>
      <c r="H7" s="14" t="n">
        <v>6</v>
      </c>
      <c r="I7" s="14" t="n">
        <v>77</v>
      </c>
      <c r="J7" s="7">
        <f>IF(H7+I7=0,"-",I7/(H7+I7))</f>
        <v/>
      </c>
      <c r="K7" s="14" t="n">
        <v>3</v>
      </c>
      <c r="L7" s="14" t="n">
        <v>10</v>
      </c>
      <c r="M7" s="7">
        <f>IF(K7+L7=0,"-",L7/(K7+L7))</f>
        <v/>
      </c>
    </row>
    <row r="8">
      <c r="A8" s="5" t="inlineStr">
        <is>
          <t>starter-security</t>
        </is>
      </c>
      <c r="B8" s="14" t="n">
        <v>253</v>
      </c>
      <c r="C8" s="14" t="n">
        <v>938</v>
      </c>
      <c r="D8" s="7">
        <f>IF(B8+C8=0,"-",C8/(B8+C8))</f>
        <v/>
      </c>
      <c r="E8" s="14" t="n">
        <v>19</v>
      </c>
      <c r="F8" s="14" t="n">
        <v>137</v>
      </c>
      <c r="G8" s="7">
        <f>IF(E8+F8=0,"-",F8/(E8+F8))</f>
        <v/>
      </c>
      <c r="H8" s="14" t="n">
        <v>51</v>
      </c>
      <c r="I8" s="14" t="n">
        <v>209</v>
      </c>
      <c r="J8" s="7">
        <f>IF(H8+I8=0,"-",I8/(H8+I8))</f>
        <v/>
      </c>
      <c r="K8" s="14" t="n">
        <v>17</v>
      </c>
      <c r="L8" s="14" t="n">
        <v>53</v>
      </c>
      <c r="M8" s="7">
        <f>IF(K8+L8=0,"-",L8/(K8+L8))</f>
        <v/>
      </c>
    </row>
    <row r="9">
      <c r="A9" s="5" t="inlineStr">
        <is>
          <t>starter-web</t>
        </is>
      </c>
      <c r="B9" s="14" t="n">
        <v>28</v>
      </c>
      <c r="C9" s="14" t="n">
        <v>872</v>
      </c>
      <c r="D9" s="7">
        <f>IF(B9+C9=0,"-",C9/(B9+C9))</f>
        <v/>
      </c>
      <c r="E9" s="14" t="n">
        <v>7</v>
      </c>
      <c r="F9" s="14" t="n">
        <v>71</v>
      </c>
      <c r="G9" s="7">
        <f>IF(E9+F9=0,"-",F9/(E9+F9))</f>
        <v/>
      </c>
      <c r="H9" s="14" t="n">
        <v>8</v>
      </c>
      <c r="I9" s="14" t="n">
        <v>181</v>
      </c>
      <c r="J9" s="7">
        <f>IF(H9+I9=0,"-",I9/(H9+I9))</f>
        <v/>
      </c>
      <c r="K9" s="14" t="n">
        <v>4</v>
      </c>
      <c r="L9" s="14" t="n">
        <v>46</v>
      </c>
      <c r="M9" s="7">
        <f>IF(K9+L9=0,"-",L9/(K9+L9))</f>
        <v/>
      </c>
    </row>
    <row r="10">
      <c r="A10" s="5" t="inlineStr">
        <is>
          <t>ai-chatbox-service</t>
        </is>
      </c>
      <c r="B10" s="14" t="n">
        <v>252</v>
      </c>
      <c r="C10" s="14" t="n">
        <v>12022</v>
      </c>
      <c r="D10" s="7">
        <f>IF(B10+C10=0,"-",C10/(B10+C10))</f>
        <v/>
      </c>
      <c r="E10" s="14" t="n">
        <v>75</v>
      </c>
      <c r="F10" s="14" t="n">
        <v>819</v>
      </c>
      <c r="G10" s="7">
        <f>IF(E10+F10=0,"-",F10/(E10+F10))</f>
        <v/>
      </c>
      <c r="H10" s="14" t="n">
        <v>46</v>
      </c>
      <c r="I10" s="14" t="n">
        <v>2427</v>
      </c>
      <c r="J10" s="7">
        <f>IF(H10+I10=0,"-",I10/(H10+I10))</f>
        <v/>
      </c>
      <c r="K10" s="14" t="n">
        <v>4</v>
      </c>
      <c r="L10" s="14" t="n">
        <v>491</v>
      </c>
      <c r="M10" s="7">
        <f>IF(K10+L10=0,"-",L10/(K10+L10))</f>
        <v/>
      </c>
    </row>
    <row r="11">
      <c r="A11" s="5" t="inlineStr">
        <is>
          <t>analytics-service</t>
        </is>
      </c>
      <c r="B11" s="14" t="n">
        <v>25</v>
      </c>
      <c r="C11" s="14" t="n">
        <v>679</v>
      </c>
      <c r="D11" s="7">
        <f>IF(B11+C11=0,"-",C11/(B11+C11))</f>
        <v/>
      </c>
      <c r="E11" s="14" t="n">
        <v>1</v>
      </c>
      <c r="F11" s="14" t="n">
        <v>20</v>
      </c>
      <c r="G11" s="7">
        <f>IF(E11+F11=0,"-",F11/(E11+F11))</f>
        <v/>
      </c>
      <c r="H11" s="14" t="n">
        <v>3</v>
      </c>
      <c r="I11" s="14" t="n">
        <v>138</v>
      </c>
      <c r="J11" s="7">
        <f>IF(H11+I11=0,"-",I11/(H11+I11))</f>
        <v/>
      </c>
      <c r="K11" s="14" t="n">
        <v>2</v>
      </c>
      <c r="L11" s="14" t="n">
        <v>42</v>
      </c>
      <c r="M11" s="7">
        <f>IF(K11+L11=0,"-",L11/(K11+L11))</f>
        <v/>
      </c>
    </row>
    <row r="12">
      <c r="A12" s="5" t="inlineStr">
        <is>
          <t>api-gateway</t>
        </is>
      </c>
      <c r="B12" s="14" t="n">
        <v>0</v>
      </c>
      <c r="C12" s="14" t="n">
        <v>289</v>
      </c>
      <c r="D12" s="7">
        <f>IF(B12+C12=0,"-",C12/(B12+C12))</f>
        <v/>
      </c>
      <c r="E12" s="14" t="n">
        <v>0</v>
      </c>
      <c r="F12" s="14" t="n">
        <v>8</v>
      </c>
      <c r="G12" s="7">
        <f>IF(E12+F12=0,"-",F12/(E12+F12))</f>
        <v/>
      </c>
      <c r="H12" s="14" t="n">
        <v>0</v>
      </c>
      <c r="I12" s="14" t="n">
        <v>61</v>
      </c>
      <c r="J12" s="7">
        <f>IF(H12+I12=0,"-",I12/(H12+I12))</f>
        <v/>
      </c>
      <c r="K12" s="14" t="n">
        <v>0</v>
      </c>
      <c r="L12" s="14" t="n">
        <v>20</v>
      </c>
      <c r="M12" s="7">
        <f>IF(K12+L12=0,"-",L12/(K12+L12))</f>
        <v/>
      </c>
    </row>
    <row r="13">
      <c r="A13" s="5" t="inlineStr">
        <is>
          <t>catalog-service</t>
        </is>
      </c>
      <c r="B13" s="14" t="n">
        <v>1638</v>
      </c>
      <c r="C13" s="14" t="n">
        <v>11604</v>
      </c>
      <c r="D13" s="7">
        <f>IF(B13+C13=0,"-",C13/(B13+C13))</f>
        <v/>
      </c>
      <c r="E13" s="14" t="n">
        <v>165</v>
      </c>
      <c r="F13" s="14" t="n">
        <v>516</v>
      </c>
      <c r="G13" s="7">
        <f>IF(E13+F13=0,"-",F13/(E13+F13))</f>
        <v/>
      </c>
      <c r="H13" s="14" t="n">
        <v>314</v>
      </c>
      <c r="I13" s="14" t="n">
        <v>2230</v>
      </c>
      <c r="J13" s="7">
        <f>IF(H13+I13=0,"-",I13/(H13+I13))</f>
        <v/>
      </c>
      <c r="K13" s="14" t="n">
        <v>77</v>
      </c>
      <c r="L13" s="14" t="n">
        <v>543</v>
      </c>
      <c r="M13" s="7">
        <f>IF(K13+L13=0,"-",L13/(K13+L13))</f>
        <v/>
      </c>
    </row>
    <row r="14">
      <c r="A14" s="5" t="inlineStr">
        <is>
          <t>identity-service</t>
        </is>
      </c>
      <c r="B14" s="14" t="n">
        <v>1189</v>
      </c>
      <c r="C14" s="14" t="n">
        <v>8988</v>
      </c>
      <c r="D14" s="7">
        <f>IF(B14+C14=0,"-",C14/(B14+C14))</f>
        <v/>
      </c>
      <c r="E14" s="14" t="n">
        <v>117</v>
      </c>
      <c r="F14" s="14" t="n">
        <v>435</v>
      </c>
      <c r="G14" s="7">
        <f>IF(E14+F14=0,"-",F14/(E14+F14))</f>
        <v/>
      </c>
      <c r="H14" s="14" t="n">
        <v>250</v>
      </c>
      <c r="I14" s="14" t="n">
        <v>1889</v>
      </c>
      <c r="J14" s="7">
        <f>IF(H14+I14=0,"-",I14/(H14+I14))</f>
        <v/>
      </c>
      <c r="K14" s="14" t="n">
        <v>53</v>
      </c>
      <c r="L14" s="14" t="n">
        <v>420</v>
      </c>
      <c r="M14" s="7">
        <f>IF(K14+L14=0,"-",L14/(K14+L14))</f>
        <v/>
      </c>
    </row>
    <row r="15">
      <c r="A15" s="5" t="inlineStr">
        <is>
          <t>inventory-service</t>
        </is>
      </c>
      <c r="B15" s="14" t="n">
        <v>195</v>
      </c>
      <c r="C15" s="14" t="n">
        <v>4904</v>
      </c>
      <c r="D15" s="7">
        <f>IF(B15+C15=0,"-",C15/(B15+C15))</f>
        <v/>
      </c>
      <c r="E15" s="14" t="n">
        <v>14</v>
      </c>
      <c r="F15" s="14" t="n">
        <v>204</v>
      </c>
      <c r="G15" s="7">
        <f>IF(E15+F15=0,"-",F15/(E15+F15))</f>
        <v/>
      </c>
      <c r="H15" s="14" t="n">
        <v>41</v>
      </c>
      <c r="I15" s="14" t="n">
        <v>968</v>
      </c>
      <c r="J15" s="7">
        <f>IF(H15+I15=0,"-",I15/(H15+I15))</f>
        <v/>
      </c>
      <c r="K15" s="14" t="n">
        <v>11</v>
      </c>
      <c r="L15" s="14" t="n">
        <v>247</v>
      </c>
      <c r="M15" s="7">
        <f>IF(K15+L15=0,"-",L15/(K15+L15))</f>
        <v/>
      </c>
    </row>
    <row r="16">
      <c r="A16" s="5" t="inlineStr">
        <is>
          <t>ledger-service</t>
        </is>
      </c>
      <c r="B16" s="14" t="n">
        <v>48</v>
      </c>
      <c r="C16" s="14" t="n">
        <v>1431</v>
      </c>
      <c r="D16" s="7">
        <f>IF(B16+C16=0,"-",C16/(B16+C16))</f>
        <v/>
      </c>
      <c r="E16" s="14" t="n">
        <v>10</v>
      </c>
      <c r="F16" s="14" t="n">
        <v>58</v>
      </c>
      <c r="G16" s="7">
        <f>IF(E16+F16=0,"-",F16/(E16+F16))</f>
        <v/>
      </c>
      <c r="H16" s="14" t="n">
        <v>12</v>
      </c>
      <c r="I16" s="14" t="n">
        <v>303</v>
      </c>
      <c r="J16" s="7">
        <f>IF(H16+I16=0,"-",I16/(H16+I16))</f>
        <v/>
      </c>
      <c r="K16" s="14" t="n">
        <v>2</v>
      </c>
      <c r="L16" s="14" t="n">
        <v>81</v>
      </c>
      <c r="M16" s="7">
        <f>IF(K16+L16=0,"-",L16/(K16+L16))</f>
        <v/>
      </c>
    </row>
    <row r="17">
      <c r="A17" s="5" t="inlineStr">
        <is>
          <t>notification-service</t>
        </is>
      </c>
      <c r="B17" s="14" t="n">
        <v>17</v>
      </c>
      <c r="C17" s="14" t="n">
        <v>1099</v>
      </c>
      <c r="D17" s="7">
        <f>IF(B17+C17=0,"-",C17/(B17+C17))</f>
        <v/>
      </c>
      <c r="E17" s="14" t="n">
        <v>5</v>
      </c>
      <c r="F17" s="14" t="n">
        <v>52</v>
      </c>
      <c r="G17" s="7">
        <f>IF(E17+F17=0,"-",F17/(E17+F17))</f>
        <v/>
      </c>
      <c r="H17" s="14" t="n">
        <v>5</v>
      </c>
      <c r="I17" s="14" t="n">
        <v>263</v>
      </c>
      <c r="J17" s="7">
        <f>IF(H17+I17=0,"-",I17/(H17+I17))</f>
        <v/>
      </c>
      <c r="K17" s="14" t="n">
        <v>0</v>
      </c>
      <c r="L17" s="14" t="n">
        <v>63</v>
      </c>
      <c r="M17" s="7">
        <f>IF(K17+L17=0,"-",L17/(K17+L17))</f>
        <v/>
      </c>
    </row>
    <row r="18">
      <c r="A18" s="5" t="inlineStr">
        <is>
          <t>ordering-service</t>
        </is>
      </c>
      <c r="B18" s="14" t="n">
        <v>374</v>
      </c>
      <c r="C18" s="14" t="n">
        <v>4932</v>
      </c>
      <c r="D18" s="7">
        <f>IF(B18+C18=0,"-",C18/(B18+C18))</f>
        <v/>
      </c>
      <c r="E18" s="14" t="n">
        <v>26</v>
      </c>
      <c r="F18" s="14" t="n">
        <v>169</v>
      </c>
      <c r="G18" s="7">
        <f>IF(E18+F18=0,"-",F18/(E18+F18))</f>
        <v/>
      </c>
      <c r="H18" s="14" t="n">
        <v>70</v>
      </c>
      <c r="I18" s="14" t="n">
        <v>1034</v>
      </c>
      <c r="J18" s="7">
        <f>IF(H18+I18=0,"-",I18/(H18+I18))</f>
        <v/>
      </c>
      <c r="K18" s="14" t="n">
        <v>18</v>
      </c>
      <c r="L18" s="14" t="n">
        <v>258</v>
      </c>
      <c r="M18" s="7">
        <f>IF(K18+L18=0,"-",L18/(K18+L18))</f>
        <v/>
      </c>
    </row>
    <row r="19">
      <c r="A19" s="5" t="inlineStr">
        <is>
          <t>payment-service</t>
        </is>
      </c>
      <c r="B19" s="14" t="n">
        <v>78</v>
      </c>
      <c r="C19" s="14" t="n">
        <v>4046</v>
      </c>
      <c r="D19" s="7">
        <f>IF(B19+C19=0,"-",C19/(B19+C19))</f>
        <v/>
      </c>
      <c r="E19" s="14" t="n">
        <v>28</v>
      </c>
      <c r="F19" s="14" t="n">
        <v>273</v>
      </c>
      <c r="G19" s="7">
        <f>IF(E19+F19=0,"-",F19/(E19+F19))</f>
        <v/>
      </c>
      <c r="H19" s="14" t="n">
        <v>15</v>
      </c>
      <c r="I19" s="14" t="n">
        <v>794</v>
      </c>
      <c r="J19" s="7">
        <f>IF(H19+I19=0,"-",I19/(H19+I19))</f>
        <v/>
      </c>
      <c r="K19" s="14" t="n">
        <v>4</v>
      </c>
      <c r="L19" s="14" t="n">
        <v>171</v>
      </c>
      <c r="M19" s="7">
        <f>IF(K19+L19=0,"-",L19/(K19+L19))</f>
        <v/>
      </c>
    </row>
    <row r="20">
      <c r="A20" s="5" t="inlineStr">
        <is>
          <t>payout-service</t>
        </is>
      </c>
      <c r="B20" s="14" t="n">
        <v>186</v>
      </c>
      <c r="C20" s="14" t="n">
        <v>1114</v>
      </c>
      <c r="D20" s="7">
        <f>IF(B20+C20=0,"-",C20/(B20+C20))</f>
        <v/>
      </c>
      <c r="E20" s="14" t="n">
        <v>8</v>
      </c>
      <c r="F20" s="14" t="n">
        <v>40</v>
      </c>
      <c r="G20" s="7">
        <f>IF(E20+F20=0,"-",F20/(E20+F20))</f>
        <v/>
      </c>
      <c r="H20" s="14" t="n">
        <v>39</v>
      </c>
      <c r="I20" s="14" t="n">
        <v>252</v>
      </c>
      <c r="J20" s="7">
        <f>IF(H20+I20=0,"-",I20/(H20+I20))</f>
        <v/>
      </c>
      <c r="K20" s="14" t="n">
        <v>7</v>
      </c>
      <c r="L20" s="14" t="n">
        <v>70</v>
      </c>
      <c r="M20" s="7">
        <f>IF(K20+L20=0,"-",L20/(K20+L20))</f>
        <v/>
      </c>
    </row>
    <row r="21">
      <c r="A21" s="5" t="inlineStr">
        <is>
          <t>realtime-gateway</t>
        </is>
      </c>
      <c r="B21" s="14" t="n">
        <v>52</v>
      </c>
      <c r="C21" s="14" t="n">
        <v>491</v>
      </c>
      <c r="D21" s="7">
        <f>IF(B21+C21=0,"-",C21/(B21+C21))</f>
        <v/>
      </c>
      <c r="E21" s="14" t="n">
        <v>5</v>
      </c>
      <c r="F21" s="14" t="n">
        <v>29</v>
      </c>
      <c r="G21" s="7">
        <f>IF(E21+F21=0,"-",F21/(E21+F21))</f>
        <v/>
      </c>
      <c r="H21" s="14" t="n">
        <v>16</v>
      </c>
      <c r="I21" s="14" t="n">
        <v>119</v>
      </c>
      <c r="J21" s="7">
        <f>IF(H21+I21=0,"-",I21/(H21+I21))</f>
        <v/>
      </c>
      <c r="K21" s="14" t="n">
        <v>5</v>
      </c>
      <c r="L21" s="14" t="n">
        <v>42</v>
      </c>
      <c r="M21" s="7">
        <f>IF(K21+L21=0,"-",L21/(K21+L21))</f>
        <v/>
      </c>
    </row>
    <row r="22">
      <c r="A22" s="5" t="inlineStr">
        <is>
          <t>ticketing-service</t>
        </is>
      </c>
      <c r="B22" s="14" t="n">
        <v>1252</v>
      </c>
      <c r="C22" s="14" t="n">
        <v>9062</v>
      </c>
      <c r="D22" s="7">
        <f>IF(B22+C22=0,"-",C22/(B22+C22))</f>
        <v/>
      </c>
      <c r="E22" s="14" t="n">
        <v>95</v>
      </c>
      <c r="F22" s="14" t="n">
        <v>356</v>
      </c>
      <c r="G22" s="7">
        <f>IF(E22+F22=0,"-",F22/(E22+F22))</f>
        <v/>
      </c>
      <c r="H22" s="14" t="n">
        <v>226</v>
      </c>
      <c r="I22" s="14" t="n">
        <v>1703</v>
      </c>
      <c r="J22" s="7">
        <f>IF(H22+I22=0,"-",I22/(H22+I22))</f>
        <v/>
      </c>
      <c r="K22" s="14" t="n">
        <v>59</v>
      </c>
      <c r="L22" s="14" t="n">
        <v>406</v>
      </c>
      <c r="M22" s="7">
        <f>IF(K22+L22=0,"-",L22/(K22+L22))</f>
        <v/>
      </c>
    </row>
    <row r="23">
      <c r="A23" s="8" t="inlineStr">
        <is>
          <t>TỔNG</t>
        </is>
      </c>
      <c r="B23" s="15">
        <f>SUM(B5:B22)</f>
        <v/>
      </c>
      <c r="C23" s="15">
        <f>SUM(C5:C22)</f>
        <v/>
      </c>
      <c r="D23" s="10">
        <f>IF(B23+C23=0,"-",C23/(B23+C23))</f>
        <v/>
      </c>
      <c r="E23" s="15">
        <f>SUM(E5:E22)</f>
        <v/>
      </c>
      <c r="F23" s="15">
        <f>SUM(F5:F22)</f>
        <v/>
      </c>
      <c r="G23" s="10">
        <f>IF(E23+F23=0,"-",F23/(E23+F23))</f>
        <v/>
      </c>
      <c r="H23" s="15">
        <f>SUM(H5:H22)</f>
        <v/>
      </c>
      <c r="I23" s="15">
        <f>SUM(I5:I22)</f>
        <v/>
      </c>
      <c r="J23" s="10">
        <f>IF(H23+I23=0,"-",I23/(H23+I23))</f>
        <v/>
      </c>
      <c r="K23" s="15">
        <f>SUM(K5:K22)</f>
        <v/>
      </c>
      <c r="L23" s="15">
        <f>SUM(L5:L22)</f>
        <v/>
      </c>
      <c r="M23" s="10">
        <f>IF(K23+L23=0,"-",L23/(K23+L23))</f>
        <v/>
      </c>
    </row>
    <row r="25">
      <c r="A25" s="2" t="inlineStr">
        <is>
          <t>Ô màu vàng = dưới mục tiêu 80%. Module thấp nhất: ai-chatbox-service (adapter LLM cần mạng/model thật), catalog-service (nhánh).</t>
        </is>
      </c>
    </row>
  </sheetData>
  <conditionalFormatting sqref="D5:D22">
    <cfRule type="cellIs" priority="1" operator="lessThan" dxfId="1">
      <formula>0.8</formula>
    </cfRule>
  </conditionalFormatting>
  <conditionalFormatting sqref="G5:G22">
    <cfRule type="cellIs" priority="2" operator="lessThan" dxfId="1">
      <formula>0.8</formula>
    </cfRule>
  </conditionalFormatting>
  <conditionalFormatting sqref="J5:J22">
    <cfRule type="cellIs" priority="3" operator="lessThan" dxfId="1">
      <formula>0.8</formula>
    </cfRule>
  </conditionalFormatting>
  <conditionalFormatting sqref="M5:M22">
    <cfRule type="cellIs" priority="4" operator="lessThan" dxfId="1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Coverage frontend — @vitest/coverage-v8</t>
        </is>
      </c>
    </row>
    <row r="2">
      <c r="A2" s="2" t="inlineStr">
        <is>
          <t>Số liệu từ coverage-summary.json của từng gói (đã là phần trăm, nhập nguyên văn).</t>
        </is>
      </c>
    </row>
    <row r="4" ht="30" customHeight="1">
      <c r="A4" s="4" t="inlineStr">
        <is>
          <t>Gói / app</t>
        </is>
      </c>
      <c r="B4" s="4" t="inlineStr">
        <is>
          <t>Statements %</t>
        </is>
      </c>
      <c r="C4" s="4" t="inlineStr">
        <is>
          <t>Branches %</t>
        </is>
      </c>
      <c r="D4" s="4" t="inlineStr">
        <is>
          <t>Functions %</t>
        </is>
      </c>
      <c r="E4" s="4" t="inlineStr">
        <is>
          <t>Lines %</t>
        </is>
      </c>
      <c r="F4" s="4" t="inlineStr">
        <is>
          <t>Đạt 80% lines?</t>
        </is>
      </c>
    </row>
    <row r="5">
      <c r="A5" s="5" t="inlineStr">
        <is>
          <t>ts-sdk</t>
        </is>
      </c>
      <c r="B5" s="7" t="n">
        <v>0.6786</v>
      </c>
      <c r="C5" s="7" t="n">
        <v>0.9501999999999999</v>
      </c>
      <c r="D5" s="7" t="n">
        <v>0.6987000000000001</v>
      </c>
      <c r="E5" s="7" t="n">
        <v>0.6786</v>
      </c>
      <c r="F5" s="6">
        <f>IF(E5&gt;=0.8,"Đạt","Chưa đạt")</f>
        <v/>
      </c>
    </row>
    <row r="6">
      <c r="A6" s="5" t="inlineStr">
        <is>
          <t>ui</t>
        </is>
      </c>
      <c r="B6" s="7" t="n">
        <v>0.6814</v>
      </c>
      <c r="C6" s="7" t="n">
        <v>0.8528</v>
      </c>
      <c r="D6" s="7" t="n">
        <v>0.7757999999999999</v>
      </c>
      <c r="E6" s="7" t="n">
        <v>0.6814</v>
      </c>
      <c r="F6" s="6">
        <f>IF(E6&gt;=0.8,"Đạt","Chưa đạt")</f>
        <v/>
      </c>
    </row>
    <row r="7">
      <c r="A7" s="5" t="inlineStr">
        <is>
          <t>auth</t>
        </is>
      </c>
      <c r="B7" s="7" t="n">
        <v>0.7071</v>
      </c>
      <c r="C7" s="7" t="n">
        <v>0.8698</v>
      </c>
      <c r="D7" s="7" t="n">
        <v>0.8909</v>
      </c>
      <c r="E7" s="7" t="n">
        <v>0.7071</v>
      </c>
      <c r="F7" s="6">
        <f>IF(E7&gt;=0.8,"Đạt","Chưa đạt")</f>
        <v/>
      </c>
    </row>
    <row r="8">
      <c r="A8" s="5" t="inlineStr">
        <is>
          <t>web-customer</t>
        </is>
      </c>
      <c r="B8" s="7" t="n">
        <v>0.2128</v>
      </c>
      <c r="C8" s="7" t="n">
        <v>0.6539</v>
      </c>
      <c r="D8" s="7" t="n">
        <v>0.3711</v>
      </c>
      <c r="E8" s="7" t="n">
        <v>0.2128</v>
      </c>
      <c r="F8" s="6">
        <f>IF(E8&gt;=0.8,"Đạt","Chưa đạt")</f>
        <v/>
      </c>
    </row>
    <row r="9">
      <c r="A9" s="5" t="inlineStr">
        <is>
          <t>web-admin</t>
        </is>
      </c>
      <c r="B9" s="7" t="n">
        <v>0.0435</v>
      </c>
      <c r="C9" s="7" t="n">
        <v>0.4326</v>
      </c>
      <c r="D9" s="7" t="n">
        <v>0.1666</v>
      </c>
      <c r="E9" s="7" t="n">
        <v>0.0435</v>
      </c>
      <c r="F9" s="6">
        <f>IF(E9&gt;=0.8,"Đạt","Chưa đạt")</f>
        <v/>
      </c>
    </row>
    <row r="10">
      <c r="A10" s="5" t="inlineStr">
        <is>
          <t>web-scanner</t>
        </is>
      </c>
      <c r="B10" s="7" t="n">
        <v>0.7342</v>
      </c>
      <c r="C10" s="7" t="n">
        <v>0.8783</v>
      </c>
      <c r="D10" s="7" t="n">
        <v>0.6153</v>
      </c>
      <c r="E10" s="7" t="n">
        <v>0.7342</v>
      </c>
      <c r="F10" s="6">
        <f>IF(E10&gt;=0.8,"Đạt","Chưa đạt")</f>
        <v/>
      </c>
    </row>
    <row r="11">
      <c r="A11" s="5" t="inlineStr">
        <is>
          <t>web-platform</t>
        </is>
      </c>
      <c r="B11" s="7" t="n">
        <v>0.643</v>
      </c>
      <c r="C11" s="7" t="n">
        <v>0.87</v>
      </c>
      <c r="D11" s="7" t="n">
        <v>0.75</v>
      </c>
      <c r="E11" s="7" t="n">
        <v>0.643</v>
      </c>
      <c r="F11" s="6">
        <f>IF(E11&gt;=0.8,"Đạt","Chưa đạt")</f>
        <v/>
      </c>
    </row>
    <row r="13">
      <c r="A13" s="2" t="inlineStr">
        <is>
          <t>Ghi chú: coverage của web-customer / web-admin thấp vì Vitest đếm mọi tệp dưới src/ (kể cả trang chưa test). Giao diện được kiểm gián tiếp bằng 33 test E2E, không tính vào số này.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J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44" customWidth="1" min="5" max="5"/>
    <col width="52" customWidth="1" min="6" max="6"/>
    <col width="9" customWidth="1" min="7" max="7"/>
    <col width="52" customWidth="1" min="8" max="8"/>
    <col width="14" customWidth="1" min="9" max="9"/>
    <col width="32" customWidth="1" min="10" max="10"/>
  </cols>
  <sheetData>
    <row r="1">
      <c r="A1" s="1" t="inlineStr">
        <is>
          <t>Test case chức năng</t>
        </is>
      </c>
    </row>
    <row r="2">
      <c r="A2" s="2" t="inlineStr">
        <is>
          <t>Điều kiện → bước → kết quả mong đợi, độ ưu tiên và test tự động thực hiện. P0 = bất biến/mất tiền/lộ dữ liệu · P1 = luồng chính · P2 = biên và lỗi nhập liệu. Tầng: U unit · S API slice · I integration · E E2E · K k6.</t>
        </is>
      </c>
    </row>
    <row r="4" ht="30" customHeight="1">
      <c r="A4" s="4" t="inlineStr">
        <is>
          <t>ID</t>
        </is>
      </c>
      <c r="B4" s="4" t="inlineStr">
        <is>
          <t>Nhóm</t>
        </is>
      </c>
      <c r="C4" s="4" t="inlineStr">
        <is>
          <t>Tên ca kiểm thử</t>
        </is>
      </c>
      <c r="D4" s="4" t="inlineStr">
        <is>
          <t>Điều kiện tiên quyết</t>
        </is>
      </c>
      <c r="E4" s="4" t="inlineStr">
        <is>
          <t>Các bước</t>
        </is>
      </c>
      <c r="F4" s="4" t="inlineStr">
        <is>
          <t>Kết quả mong đợi</t>
        </is>
      </c>
      <c r="G4" s="4" t="inlineStr">
        <is>
          <t>Ưu tiên</t>
        </is>
      </c>
      <c r="H4" s="4" t="inlineStr">
        <is>
          <t>Test tự động thực hiện</t>
        </is>
      </c>
      <c r="I4" s="4" t="inlineStr">
        <is>
          <t>Kết quả lần chạy cuối</t>
        </is>
      </c>
      <c r="J4" s="4" t="inlineStr">
        <is>
          <t>Ghi chú</t>
        </is>
      </c>
    </row>
    <row r="5">
      <c r="A5" s="16" t="inlineStr">
        <is>
          <t>INV-01</t>
        </is>
      </c>
      <c r="B5" s="17" t="inlineStr">
        <is>
          <t>Tồn kho và giữ chỗ</t>
        </is>
      </c>
      <c r="C5" s="17" t="inlineStr">
        <is>
          <t>Nhiều người tranh cùng một ghế</t>
        </is>
      </c>
      <c r="D5" s="17" t="inlineStr">
        <is>
          <t>N luồng cùng POST /holds cho một ghế</t>
        </is>
      </c>
      <c r="E5" s="17" t="inlineStr">
        <is>
          <t>—</t>
        </is>
      </c>
      <c r="F5" s="17" t="inlineStr">
        <is>
          <t>Đúng 1 thành công (201), còn lại 409; không ghế nào có hai hold ACTIVE</t>
        </is>
      </c>
      <c r="G5" s="16" t="inlineStr">
        <is>
          <t>P0</t>
        </is>
      </c>
      <c r="H5" s="17" t="inlineStr">
        <is>
          <t>I SeatHoldConcurrencyIT; K hold-contention.js</t>
        </is>
      </c>
      <c r="I5" s="16" t="inlineStr">
        <is>
          <t>Đạt</t>
        </is>
      </c>
      <c r="J5" s="17" t="inlineStr">
        <is>
          <t>Phần k6 chưa chạy (không có k6 / không dựng đủ hệ thống); phần còn lại đã chạy.</t>
        </is>
      </c>
    </row>
    <row r="6">
      <c r="A6" s="16" t="inlineStr">
        <is>
          <t>INV-02</t>
        </is>
      </c>
      <c r="B6" s="17" t="inlineStr">
        <is>
          <t>Tồn kho và giữ chỗ</t>
        </is>
      </c>
      <c r="C6" s="17" t="inlineStr">
        <is>
          <t>Backstop chống bán trùng ở DB</t>
        </is>
      </c>
      <c r="D6" s="17" t="inlineStr">
        <is>
          <t>Bỏ qua gate Redis, ghi trực tiếp hai hold cùng ghế</t>
        </is>
      </c>
      <c r="E6" s="17" t="inlineStr">
        <is>
          <t>—</t>
        </is>
      </c>
      <c r="F6" s="17" t="inlineStr">
        <is>
          <t>Unique index uq_hold_item_active từ chối</t>
        </is>
      </c>
      <c r="G6" s="16" t="inlineStr">
        <is>
          <t>P0</t>
        </is>
      </c>
      <c r="H6" s="17" t="inlineStr">
        <is>
          <t>I OversellBackstopIT</t>
        </is>
      </c>
      <c r="I6" s="16" t="inlineStr">
        <is>
          <t>Đạt</t>
        </is>
      </c>
      <c r="J6" s="17" t="inlineStr"/>
    </row>
    <row r="7">
      <c r="A7" s="16" t="inlineStr">
        <is>
          <t>INV-03</t>
        </is>
      </c>
      <c r="B7" s="17" t="inlineStr">
        <is>
          <t>Tồn kho và giữ chỗ</t>
        </is>
      </c>
      <c r="C7" s="17" t="inlineStr">
        <is>
          <t>Bỏ giữ chỗ chạy chồng với đặt chỗ</t>
        </is>
      </c>
      <c r="D7" s="17" t="inlineStr">
        <is>
          <t>Release và Reserve cùng lúc cho một hold</t>
        </is>
      </c>
      <c r="E7" s="17" t="inlineStr">
        <is>
          <t>—</t>
        </is>
      </c>
      <c r="F7" s="17" t="inlineStr">
        <is>
          <t>Đúng một bên thắng; ghế RESERVED không bao giờ về AVAILABLE</t>
        </is>
      </c>
      <c r="G7" s="16" t="inlineStr">
        <is>
          <t>P0</t>
        </is>
      </c>
      <c r="H7" s="17" t="inlineStr">
        <is>
          <t>I ReleaseReserveRaceIT; U ReleaseHoldHandlerTest, ReserveSeatsHandlerTest</t>
        </is>
      </c>
      <c r="I7" s="16" t="inlineStr">
        <is>
          <t>Đạt</t>
        </is>
      </c>
      <c r="J7" s="17" t="inlineStr"/>
    </row>
    <row r="8">
      <c r="A8" s="16" t="inlineStr">
        <is>
          <t>INV-04</t>
        </is>
      </c>
      <c r="B8" s="17" t="inlineStr">
        <is>
          <t>Tồn kho và giữ chỗ</t>
        </is>
      </c>
      <c r="C8" s="17" t="inlineStr">
        <is>
          <t>Vượt hạn mức mua</t>
        </is>
      </c>
      <c r="D8" s="17" t="inlineStr">
        <is>
          <t>Người dùng xin quá maxSeatedPerHold / maxTicketsPerCustomer</t>
        </is>
      </c>
      <c r="E8" s="17" t="inlineStr">
        <is>
          <t>—</t>
        </is>
      </c>
      <c r="F8" s="17" t="inlineStr">
        <is>
          <t>HOLD_LIMIT_EXCEEDED (400) hoặc CUSTOMER_LIMIT_EXCEEDED (409), không giữ gì</t>
        </is>
      </c>
      <c r="G8" s="16" t="inlineStr">
        <is>
          <t>P1</t>
        </is>
      </c>
      <c r="H8" s="17" t="inlineStr">
        <is>
          <t>U PurchaseLimitsTest, PlaceHoldHandlerTest</t>
        </is>
      </c>
      <c r="I8" s="16" t="inlineStr">
        <is>
          <t>Đạt</t>
        </is>
      </c>
      <c r="J8" s="17" t="inlineStr"/>
    </row>
    <row r="9">
      <c r="A9" s="16" t="inlineStr">
        <is>
          <t>INV-05</t>
        </is>
      </c>
      <c r="B9" s="17" t="inlineStr">
        <is>
          <t>Tồn kho và giữ chỗ</t>
        </is>
      </c>
      <c r="C9" s="17" t="inlineStr">
        <is>
          <t>Số lượng sai</t>
        </is>
      </c>
      <c r="D9" s="17" t="inlineStr">
        <is>
          <t>quantity ≤ 0, thiếu zone, trùng zone</t>
        </is>
      </c>
      <c r="E9" s="17" t="inlineStr">
        <is>
          <t>—</t>
        </is>
      </c>
      <c r="F9" s="17" t="inlineStr">
        <is>
          <t>400; trùng zone được gộp</t>
        </is>
      </c>
      <c r="G9" s="16" t="inlineStr">
        <is>
          <t>P2</t>
        </is>
      </c>
      <c r="H9" s="17" t="inlineStr">
        <is>
          <t>U HoldRequestTest; S HoldControllerTest</t>
        </is>
      </c>
      <c r="I9" s="16" t="inlineStr">
        <is>
          <t>Đạt</t>
        </is>
      </c>
      <c r="J9" s="17" t="inlineStr"/>
    </row>
    <row r="10">
      <c r="A10" s="16" t="inlineStr">
        <is>
          <t>INV-06</t>
        </is>
      </c>
      <c r="B10" s="17" t="inlineStr">
        <is>
          <t>Tồn kho và giữ chỗ</t>
        </is>
      </c>
      <c r="C10" s="17" t="inlineStr">
        <is>
          <t>Hết hạn giữ chỗ</t>
        </is>
      </c>
      <c r="D10" s="17" t="inlineStr">
        <is>
          <t>Hold quá expiresAt</t>
        </is>
      </c>
      <c r="E10" s="17" t="inlineStr">
        <is>
          <t>—</t>
        </is>
      </c>
      <c r="F10" s="17" t="inlineStr">
        <is>
          <t>Worker nhả ghế đúng một lần, bump version, xoá khoá Redis</t>
        </is>
      </c>
      <c r="G10" s="16" t="inlineStr">
        <is>
          <t>P0</t>
        </is>
      </c>
      <c r="H10" s="17" t="inlineStr">
        <is>
          <t>U ExpireHoldsJobTest; I HoldLifecycleIT</t>
        </is>
      </c>
      <c r="I10" s="16" t="inlineStr">
        <is>
          <t>Đạt</t>
        </is>
      </c>
      <c r="J10" s="17" t="inlineStr"/>
    </row>
    <row r="11">
      <c r="A11" s="16" t="inlineStr">
        <is>
          <t>INV-07</t>
        </is>
      </c>
      <c r="B11" s="17" t="inlineStr">
        <is>
          <t>Tồn kho và giữ chỗ</t>
        </is>
      </c>
      <c r="C11" s="17" t="inlineStr">
        <is>
          <t>Redis gate chết</t>
        </is>
      </c>
      <c r="D11" s="17" t="inlineStr">
        <is>
          <t>Gate ném lỗi</t>
        </is>
      </c>
      <c r="E11" s="17" t="inlineStr">
        <is>
          <t>—</t>
        </is>
      </c>
      <c r="F11" s="17" t="inlineStr">
        <is>
          <t>503 retryable, không giữ chỉ bằng DB</t>
        </is>
      </c>
      <c r="G11" s="16" t="inlineStr">
        <is>
          <t>P1</t>
        </is>
      </c>
      <c r="H11" s="17" t="inlineStr">
        <is>
          <t>U PlaceHoldHandlerTest, RedisAvailabilityGateTest</t>
        </is>
      </c>
      <c r="I11" s="16" t="inlineStr">
        <is>
          <t>Đạt</t>
        </is>
      </c>
      <c r="J11" s="17" t="inlineStr"/>
    </row>
    <row r="12">
      <c r="A12" s="16" t="inlineStr">
        <is>
          <t>INV-08</t>
        </is>
      </c>
      <c r="B12" s="17" t="inlineStr">
        <is>
          <t>Tồn kho và giữ chỗ</t>
        </is>
      </c>
      <c r="C12" s="17" t="inlineStr">
        <is>
          <t>Người khác bỏ hold của mình</t>
        </is>
      </c>
      <c r="D12" s="17" t="inlineStr">
        <is>
          <t>DELETE /holds/{id} bởi user khác</t>
        </is>
      </c>
      <c r="E12" s="17" t="inlineStr">
        <is>
          <t>—</t>
        </is>
      </c>
      <c r="F12" s="17" t="inlineStr">
        <is>
          <t>404 (không xác nhận hold có thật)</t>
        </is>
      </c>
      <c r="G12" s="16" t="inlineStr">
        <is>
          <t>P0</t>
        </is>
      </c>
      <c r="H12" s="17" t="inlineStr">
        <is>
          <t>U ReleaseHoldHandlerTest; S HoldControllerTest</t>
        </is>
      </c>
      <c r="I12" s="16" t="inlineStr">
        <is>
          <t>Đạt</t>
        </is>
      </c>
      <c r="J12" s="17" t="inlineStr"/>
    </row>
    <row r="13">
      <c r="A13" s="16" t="inlineStr">
        <is>
          <t>INV-09</t>
        </is>
      </c>
      <c r="B13" s="17" t="inlineStr">
        <is>
          <t>Tồn kho và giữ chỗ</t>
        </is>
      </c>
      <c r="C13" s="17" t="inlineStr">
        <is>
          <t>Message hỏng không làm kẹt hàng đợi</t>
        </is>
      </c>
      <c r="D13" s="17" t="inlineStr">
        <is>
          <t>order.paid có orderId không phải UUID; session.published thiếu limits</t>
        </is>
      </c>
      <c r="E13" s="17" t="inlineStr">
        <is>
          <t>—</t>
        </is>
      </c>
      <c r="F13" s="17" t="inlineStr">
        <is>
          <t>Ack + log, không ném</t>
        </is>
      </c>
      <c r="G13" s="16" t="inlineStr">
        <is>
          <t>P0</t>
        </is>
      </c>
      <c r="H13" s="17" t="inlineStr">
        <is>
          <t>U OrderListenersTest, SessionPublishedListenerTest</t>
        </is>
      </c>
      <c r="I13" s="16" t="inlineStr">
        <is>
          <t>Đạt</t>
        </is>
      </c>
      <c r="J13" s="17" t="inlineStr"/>
    </row>
    <row r="14">
      <c r="A14" s="16" t="inlineStr">
        <is>
          <t>ORD-01</t>
        </is>
      </c>
      <c r="B14" s="17" t="inlineStr">
        <is>
          <t>Đặt đơn và thanh toán</t>
        </is>
      </c>
      <c r="C14" s="17" t="inlineStr">
        <is>
          <t>Giá do server tính</t>
        </is>
      </c>
      <c r="D14" s="17" t="inlineStr">
        <is>
          <t>Request chỉ có holdId (+ mã giảm giá)</t>
        </is>
      </c>
      <c r="E14" s="17" t="inlineStr">
        <is>
          <t>—</t>
        </is>
      </c>
      <c r="F14" s="17" t="inlineStr">
        <is>
          <t>Tổng = Σ giá ghế từ Catalog − giảm giá; client không gửi được giá</t>
        </is>
      </c>
      <c r="G14" s="16" t="inlineStr">
        <is>
          <t>P0</t>
        </is>
      </c>
      <c r="H14" s="17" t="inlineStr">
        <is>
          <t>U PlaceOrderHandlerTest</t>
        </is>
      </c>
      <c r="I14" s="16" t="inlineStr">
        <is>
          <t>Đạt</t>
        </is>
      </c>
      <c r="J14" s="17" t="inlineStr"/>
    </row>
    <row r="15">
      <c r="A15" s="16" t="inlineStr">
        <is>
          <t>ORD-02</t>
        </is>
      </c>
      <c r="B15" s="17" t="inlineStr">
        <is>
          <t>Đặt đơn và thanh toán</t>
        </is>
      </c>
      <c r="C15" s="17" t="inlineStr">
        <is>
          <t>Hoa hồng theo dòng</t>
        </is>
      </c>
      <c r="D15" s="17" t="inlineStr">
        <is>
          <t>3 vé 333.333đ, 5%</t>
        </is>
      </c>
      <c r="E15" s="17" t="inlineStr">
        <is>
          <t>—</t>
        </is>
      </c>
      <c r="F15" s="17" t="inlineStr">
        <is>
          <t>49.998đ (không phải 49.999đ); sổ cái cân</t>
        </is>
      </c>
      <c r="G15" s="16" t="inlineStr">
        <is>
          <t>P0</t>
        </is>
      </c>
      <c r="H15" s="17" t="inlineStr">
        <is>
          <t>U OrderTest, OrderInvariantsTest</t>
        </is>
      </c>
      <c r="I15" s="16" t="inlineStr">
        <is>
          <t>Đạt</t>
        </is>
      </c>
      <c r="J15" s="17" t="inlineStr"/>
    </row>
    <row r="16">
      <c r="A16" s="16" t="inlineStr">
        <is>
          <t>ORD-03</t>
        </is>
      </c>
      <c r="B16" s="17" t="inlineStr">
        <is>
          <t>Đặt đơn và thanh toán</t>
        </is>
      </c>
      <c r="C16" s="17" t="inlineStr">
        <is>
          <t>Giảm giá chia dòng</t>
        </is>
      </c>
      <c r="D16" s="17" t="inlineStr">
        <is>
          <t>Giảm 100đ cho vé 1.000/2.000/0đ</t>
        </is>
      </c>
      <c r="E16" s="17" t="inlineStr">
        <is>
          <t>—</t>
        </is>
      </c>
      <c r="F16" s="17" t="inlineStr">
        <is>
          <t>Tổng dòng = giảm giá; không dòng nào giảm quá giá; vé 0đ không nhận phần dư</t>
        </is>
      </c>
      <c r="G16" s="16" t="inlineStr">
        <is>
          <t>P0</t>
        </is>
      </c>
      <c r="H16" s="17" t="inlineStr">
        <is>
          <t>U PlaceOrderHandlerTest</t>
        </is>
      </c>
      <c r="I16" s="16" t="inlineStr">
        <is>
          <t>Đạt</t>
        </is>
      </c>
      <c r="J16" s="17" t="inlineStr"/>
    </row>
    <row r="17">
      <c r="A17" s="16" t="inlineStr">
        <is>
          <t>ORD-04</t>
        </is>
      </c>
      <c r="B17" s="17" t="inlineStr">
        <is>
          <t>Đặt đơn và thanh toán</t>
        </is>
      </c>
      <c r="C17" s="17" t="inlineStr">
        <is>
          <t>Bấm "Thanh toán" hai lần</t>
        </is>
      </c>
      <c r="D17" s="17" t="inlineStr">
        <is>
          <t>Cùng holdId hai lần</t>
        </is>
      </c>
      <c r="E17" s="17" t="inlineStr">
        <is>
          <t>—</t>
        </is>
      </c>
      <c r="F17" s="17" t="inlineStr">
        <is>
          <t>Trả lại đúng đơn cũ, không mở đơn thứ hai</t>
        </is>
      </c>
      <c r="G17" s="16" t="inlineStr">
        <is>
          <t>P0</t>
        </is>
      </c>
      <c r="H17" s="17" t="inlineStr">
        <is>
          <t>U PlaceOrderHandlerTest; I CheckoutSagaIT; K checkout.js; E checkout.spec</t>
        </is>
      </c>
      <c r="I17" s="16" t="inlineStr">
        <is>
          <t>Đạt</t>
        </is>
      </c>
      <c r="J17" s="17" t="inlineStr">
        <is>
          <t>Phần k6 chưa chạy (không có k6 / không dựng đủ hệ thống); phần còn lại đã chạy.</t>
        </is>
      </c>
    </row>
    <row r="18">
      <c r="A18" s="16" t="inlineStr">
        <is>
          <t>ORD-05</t>
        </is>
      </c>
      <c r="B18" s="17" t="inlineStr">
        <is>
          <t>Đặt đơn và thanh toán</t>
        </is>
      </c>
      <c r="C18" s="17" t="inlineStr">
        <is>
          <t>Dùng holdId của người khác</t>
        </is>
      </c>
      <c r="D18" s="17" t="inlineStr">
        <is>
          <t>User B gửi holdId của A</t>
        </is>
      </c>
      <c r="E18" s="17" t="inlineStr">
        <is>
          <t>—</t>
        </is>
      </c>
      <c r="F18" s="17" t="inlineStr">
        <is>
          <t>404, không lộ QR / link thanh toán của A</t>
        </is>
      </c>
      <c r="G18" s="16" t="inlineStr">
        <is>
          <t>P0</t>
        </is>
      </c>
      <c r="H18" s="17" t="inlineStr">
        <is>
          <t>U PlaceOrderHandlerTest.hold_cua_nguoi_khac_khong_tra_don</t>
        </is>
      </c>
      <c r="I18" s="16" t="inlineStr">
        <is>
          <t>Đạt</t>
        </is>
      </c>
      <c r="J18" s="17" t="inlineStr"/>
    </row>
    <row r="19">
      <c r="A19" s="16" t="inlineStr">
        <is>
          <t>ORD-06</t>
        </is>
      </c>
      <c r="B19" s="17" t="inlineStr">
        <is>
          <t>Đặt đơn và thanh toán</t>
        </is>
      </c>
      <c r="C19" s="17" t="inlineStr">
        <is>
          <t>Inventory / payment hỏng giữa saga</t>
        </is>
      </c>
      <c r="D19" s="17" t="inlineStr">
        <is>
          <t>Một bước ném lỗi</t>
        </is>
      </c>
      <c r="E19" s="17" t="inlineStr">
        <is>
          <t>—</t>
        </is>
      </c>
      <c r="F19" s="17" t="inlineStr">
        <is>
          <t>Bù trừ ngược thứ tự; bù trừ hỏng → COMPENSATION_PENDING, job quét thử lại</t>
        </is>
      </c>
      <c r="G19" s="16" t="inlineStr">
        <is>
          <t>P0</t>
        </is>
      </c>
      <c r="H19" s="17" t="inlineStr">
        <is>
          <t>U PlaceOrderHandlerTest, CompensationSweeperTest; I CheckoutSagaIT</t>
        </is>
      </c>
      <c r="I19" s="16" t="inlineStr">
        <is>
          <t>Đạt</t>
        </is>
      </c>
      <c r="J19" s="17" t="inlineStr"/>
    </row>
    <row r="20">
      <c r="A20" s="16" t="inlineStr">
        <is>
          <t>ORD-07</t>
        </is>
      </c>
      <c r="B20" s="17" t="inlineStr">
        <is>
          <t>Đặt đơn và thanh toán</t>
        </is>
      </c>
      <c r="C20" s="17" t="inlineStr">
        <is>
          <t>Máy trạng thái đơn</t>
        </is>
      </c>
      <c r="D20" s="17" t="inlineStr">
        <is>
          <t>Mọi OrderStatus × mọi chuyển</t>
        </is>
      </c>
      <c r="E20" s="17" t="inlineStr">
        <is>
          <t>—</t>
        </is>
      </c>
      <c r="F20" s="17" t="inlineStr">
        <is>
          <t>Chỉ các chuyển hợp lệ; PAID không có đường vào ngoài markPaid</t>
        </is>
      </c>
      <c r="G20" s="16" t="inlineStr">
        <is>
          <t>P0</t>
        </is>
      </c>
      <c r="H20" s="17" t="inlineStr">
        <is>
          <t>U OrderStateTransitionTest</t>
        </is>
      </c>
      <c r="I20" s="16" t="inlineStr">
        <is>
          <t>Đạt</t>
        </is>
      </c>
      <c r="J20" s="17" t="inlineStr"/>
    </row>
    <row r="21">
      <c r="A21" s="16" t="inlineStr">
        <is>
          <t>ORD-08</t>
        </is>
      </c>
      <c r="B21" s="17" t="inlineStr">
        <is>
          <t>Đặt đơn và thanh toán</t>
        </is>
      </c>
      <c r="C21" s="17" t="inlineStr">
        <is>
          <t>Xác nhận thanh toán lần hai</t>
        </is>
      </c>
      <c r="D21" s="17" t="inlineStr">
        <is>
          <t>markPaid hai lần</t>
        </is>
      </c>
      <c r="E21" s="17" t="inlineStr">
        <is>
          <t>—</t>
        </is>
      </c>
      <c r="F21" s="17" t="inlineStr">
        <is>
          <t>false, paidAt không đổi</t>
        </is>
      </c>
      <c r="G21" s="16" t="inlineStr">
        <is>
          <t>P0</t>
        </is>
      </c>
      <c r="H21" s="17" t="inlineStr">
        <is>
          <t>U OrderTest, ConfirmPaymentHandlerTest</t>
        </is>
      </c>
      <c r="I21" s="16" t="inlineStr">
        <is>
          <t>Đạt</t>
        </is>
      </c>
      <c r="J21" s="17" t="inlineStr"/>
    </row>
    <row r="22">
      <c r="A22" s="16" t="inlineStr">
        <is>
          <t>ORD-09</t>
        </is>
      </c>
      <c r="B22" s="17" t="inlineStr">
        <is>
          <t>Đặt đơn và thanh toán</t>
        </is>
      </c>
      <c r="C22" s="17" t="inlineStr">
        <is>
          <t>Tiền vào muộn sau khi đơn đã đóng</t>
        </is>
      </c>
      <c r="D22" s="17" t="inlineStr">
        <is>
          <t>Webhook tới sau ExpireOrdersJob</t>
        </is>
      </c>
      <c r="E22" s="17" t="inlineStr">
        <is>
          <t>—</t>
        </is>
      </c>
      <c r="F22" s="17" t="inlineStr">
        <is>
          <t>MANUAL_REVIEW, 200 (không 500), không phát vé</t>
        </is>
      </c>
      <c r="G22" s="16" t="inlineStr">
        <is>
          <t>P0</t>
        </is>
      </c>
      <c r="H22" s="17" t="inlineStr">
        <is>
          <t>U ConfirmPaymentHandlerTest; I OrderLifecycleIT</t>
        </is>
      </c>
      <c r="I22" s="16" t="inlineStr">
        <is>
          <t>Đạt</t>
        </is>
      </c>
      <c r="J22" s="17" t="inlineStr"/>
    </row>
    <row r="23">
      <c r="A23" s="16" t="inlineStr">
        <is>
          <t>ORD-10</t>
        </is>
      </c>
      <c r="B23" s="17" t="inlineStr">
        <is>
          <t>Đặt đơn và thanh toán</t>
        </is>
      </c>
      <c r="C23" s="17" t="inlineStr">
        <is>
          <t>Xem / huỷ đơn của người khác</t>
        </is>
      </c>
      <c r="D23" s="17" t="inlineStr">
        <is>
          <t>GET/POST cancel đơn người khác</t>
        </is>
      </c>
      <c r="E23" s="17" t="inlineStr">
        <is>
          <t>—</t>
        </is>
      </c>
      <c r="F23" s="17" t="inlineStr">
        <is>
          <t>404</t>
        </is>
      </c>
      <c r="G23" s="16" t="inlineStr">
        <is>
          <t>P0</t>
        </is>
      </c>
      <c r="H23" s="17" t="inlineStr">
        <is>
          <t>U OrderQueriesTest, CloseOrderFlowTest; S OrderControllerTest</t>
        </is>
      </c>
      <c r="I23" s="16" t="inlineStr">
        <is>
          <t>Đạt</t>
        </is>
      </c>
      <c r="J23" s="17" t="inlineStr"/>
    </row>
    <row r="24">
      <c r="A24" s="16" t="inlineStr">
        <is>
          <t>ORD-11</t>
        </is>
      </c>
      <c r="B24" s="17" t="inlineStr">
        <is>
          <t>Đặt đơn và thanh toán</t>
        </is>
      </c>
      <c r="C24" s="17" t="inlineStr">
        <is>
          <t>Phân trang</t>
        </is>
      </c>
      <c r="D24" s="17" t="inlineStr">
        <is>
          <t>limit/offset âm, quá lớn, không phải số</t>
        </is>
      </c>
      <c r="E24" s="17" t="inlineStr">
        <is>
          <t>—</t>
        </is>
      </c>
      <c r="F24" s="17" t="inlineStr">
        <is>
          <t>Kẹp về [1,100]/≥0; không phải số → 400</t>
        </is>
      </c>
      <c r="G24" s="16" t="inlineStr">
        <is>
          <t>P2</t>
        </is>
      </c>
      <c r="H24" s="17" t="inlineStr">
        <is>
          <t>S OrderControllerTest</t>
        </is>
      </c>
      <c r="I24" s="16" t="inlineStr">
        <is>
          <t>Đạt</t>
        </is>
      </c>
      <c r="J24" s="17" t="inlineStr"/>
    </row>
    <row r="25">
      <c r="A25" s="16" t="inlineStr">
        <is>
          <t>PAY-01</t>
        </is>
      </c>
      <c r="B25" s="17" t="inlineStr">
        <is>
          <t>Đặt đơn và thanh toán</t>
        </is>
      </c>
      <c r="C25" s="17" t="inlineStr">
        <is>
          <t>Chữ ký webhook sai</t>
        </is>
      </c>
      <c r="D25" s="17" t="inlineStr">
        <is>
          <t>Sửa một byte của payload đã ký</t>
        </is>
      </c>
      <c r="E25" s="17" t="inlineStr">
        <is>
          <t>—</t>
        </is>
      </c>
      <c r="F25" s="17" t="inlineStr">
        <is>
          <t>Bị từ chối, không xác nhận gì</t>
        </is>
      </c>
      <c r="G25" s="16" t="inlineStr">
        <is>
          <t>P0</t>
        </is>
      </c>
      <c r="H25" s="17" t="inlineStr">
        <is>
          <t>U PayosSignatureEdgeCaseTest; S PayosWebhookControllerWebTest</t>
        </is>
      </c>
      <c r="I25" s="16" t="inlineStr">
        <is>
          <t>Đạt</t>
        </is>
      </c>
      <c r="J25" s="17" t="inlineStr"/>
    </row>
    <row r="26">
      <c r="A26" s="16" t="inlineStr">
        <is>
          <t>PAY-02</t>
        </is>
      </c>
      <c r="B26" s="17" t="inlineStr">
        <is>
          <t>Đặt đơn và thanh toán</t>
        </is>
      </c>
      <c r="C26" s="17" t="inlineStr">
        <is>
          <t>Webhook giao lại</t>
        </is>
      </c>
      <c r="D26" s="17" t="inlineStr">
        <is>
          <t>Cùng giao dịch hai lần</t>
        </is>
      </c>
      <c r="E26" s="17" t="inlineStr">
        <is>
          <t>—</t>
        </is>
      </c>
      <c r="F26" s="17" t="inlineStr">
        <is>
          <t>DUPLICATE, một bộ vé</t>
        </is>
      </c>
      <c r="G26" s="16" t="inlineStr">
        <is>
          <t>P0</t>
        </is>
      </c>
      <c r="H26" s="17" t="inlineStr">
        <is>
          <t>U HandlePayosWebhookHandlerTest; I PayosPaymentFlowIT, WebhookEdgeCasesIT</t>
        </is>
      </c>
      <c r="I26" s="16" t="inlineStr">
        <is>
          <t>Đạt</t>
        </is>
      </c>
      <c r="J26" s="17" t="inlineStr"/>
    </row>
    <row r="27">
      <c r="A27" s="16" t="inlineStr">
        <is>
          <t>PAY-03</t>
        </is>
      </c>
      <c r="B27" s="17" t="inlineStr">
        <is>
          <t>Đặt đơn và thanh toán</t>
        </is>
      </c>
      <c r="C27" s="17" t="inlineStr">
        <is>
          <t>Số tiền lệch</t>
        </is>
      </c>
      <c r="D27" s="17" t="inlineStr">
        <is>
          <t>Thiếu / thừa tiền</t>
        </is>
      </c>
      <c r="E27" s="17" t="inlineStr">
        <is>
          <t>—</t>
        </is>
      </c>
      <c r="F27" s="17" t="inlineStr">
        <is>
          <t>Thiếu → AMOUNT_MISMATCH, đơn vẫn chờ; không đánh dấu đã trả</t>
        </is>
      </c>
      <c r="G27" s="16" t="inlineStr">
        <is>
          <t>P0</t>
        </is>
      </c>
      <c r="H27" s="17" t="inlineStr">
        <is>
          <t>U ConfirmTransferHandlerTest</t>
        </is>
      </c>
      <c r="I27" s="16" t="inlineStr">
        <is>
          <t>Đạt</t>
        </is>
      </c>
      <c r="J27" s="17" t="inlineStr"/>
    </row>
    <row r="28">
      <c r="A28" s="16" t="inlineStr">
        <is>
          <t>PAY-04</t>
        </is>
      </c>
      <c r="B28" s="17" t="inlineStr">
        <is>
          <t>Đặt đơn và thanh toán</t>
        </is>
      </c>
      <c r="C28" s="17" t="inlineStr">
        <is>
          <t>payOS 5xx</t>
        </is>
      </c>
      <c r="D28" s="17" t="inlineStr">
        <is>
          <t>Gateway trả 503 kèm JSON</t>
        </is>
      </c>
      <c r="E28" s="17" t="inlineStr">
        <is>
          <t>—</t>
        </is>
      </c>
      <c r="F28" s="17" t="inlineStr">
        <is>
          <t>Unavailable (503, thử lại), không Rejected</t>
        </is>
      </c>
      <c r="G28" s="16" t="inlineStr">
        <is>
          <t>P1</t>
        </is>
      </c>
      <c r="H28" s="17" t="inlineStr">
        <is>
          <t>U PayosHttpGatewayTest</t>
        </is>
      </c>
      <c r="I28" s="16" t="inlineStr">
        <is>
          <t>Đạt</t>
        </is>
      </c>
      <c r="J28" s="17" t="inlineStr"/>
    </row>
    <row r="29">
      <c r="A29" s="16" t="inlineStr">
        <is>
          <t>PAY-05</t>
        </is>
      </c>
      <c r="B29" s="17" t="inlineStr">
        <is>
          <t>Đặt đơn và thanh toán</t>
        </is>
      </c>
      <c r="C29" s="17" t="inlineStr">
        <is>
          <t>simulate-transfer ở production</t>
        </is>
      </c>
      <c r="D29" s="17" t="inlineStr">
        <is>
          <t>PAYMENT_SANDBOX=false</t>
        </is>
      </c>
      <c r="E29" s="17" t="inlineStr">
        <is>
          <t>—</t>
        </is>
      </c>
      <c r="F29" s="17" t="inlineStr">
        <is>
          <t>Không thể gọi</t>
        </is>
      </c>
      <c r="G29" s="16" t="inlineStr">
        <is>
          <t>P0</t>
        </is>
      </c>
      <c r="H29" s="17" t="inlineStr">
        <is>
          <t>U SimulateTransferHandlerTest, PaymentPropertiesTest; S InternalPaymentControllerWebTest</t>
        </is>
      </c>
      <c r="I29" s="16" t="inlineStr">
        <is>
          <t>Đạt</t>
        </is>
      </c>
      <c r="J29" s="17" t="inlineStr"/>
    </row>
    <row r="30">
      <c r="A30" s="16" t="inlineStr">
        <is>
          <t>PAY-06</t>
        </is>
      </c>
      <c r="B30" s="17" t="inlineStr">
        <is>
          <t>Đặt đơn và thanh toán</t>
        </is>
      </c>
      <c r="C30" s="17" t="inlineStr">
        <is>
          <t>/internal/ không secret</t>
        </is>
      </c>
      <c r="D30" s="17" t="inlineStr">
        <is>
          <t>Gọi không có X-Internal-Token</t>
        </is>
      </c>
      <c r="E30" s="17" t="inlineStr">
        <is>
          <t>—</t>
        </is>
      </c>
      <c r="F30" s="17" t="inlineStr">
        <is>
          <t>401/403</t>
        </is>
      </c>
      <c r="G30" s="16" t="inlineStr">
        <is>
          <t>P0</t>
        </is>
      </c>
      <c r="H30" s="17" t="inlineStr">
        <is>
          <t>S InternalPaymentControllerWebTest, InternalOrderControllerTest</t>
        </is>
      </c>
      <c r="I30" s="16" t="inlineStr">
        <is>
          <t>Đạt</t>
        </is>
      </c>
      <c r="J30" s="17" t="inlineStr"/>
    </row>
    <row r="31">
      <c r="A31" s="16" t="inlineStr">
        <is>
          <t>LED-01</t>
        </is>
      </c>
      <c r="B31" s="17" t="inlineStr">
        <is>
          <t>Đặt đơn và thanh toán</t>
        </is>
      </c>
      <c r="C31" s="17" t="inlineStr">
        <is>
          <t>Sổ cái kép cân</t>
        </is>
      </c>
      <c r="D31" s="17" t="inlineStr">
        <is>
          <t>Mỗi bút toán Nợ = Có; không dòng 0đ</t>
        </is>
      </c>
      <c r="E31" s="17" t="inlineStr">
        <is>
          <t>—</t>
        </is>
      </c>
      <c r="F31" s="17" t="inlineStr">
        <is>
          <t>Cân; hoa hồng 0% và 100% đều ghi được</t>
        </is>
      </c>
      <c r="G31" s="16" t="inlineStr">
        <is>
          <t>P0</t>
        </is>
      </c>
      <c r="H31" s="17" t="inlineStr">
        <is>
          <t>U LedgerModelEdgeCaseTest, RecordPaymentHandlerTest; I LedgerInvariantIT</t>
        </is>
      </c>
      <c r="I31" s="16" t="inlineStr">
        <is>
          <t>Đạt</t>
        </is>
      </c>
      <c r="J31" s="17" t="inlineStr"/>
    </row>
    <row r="32">
      <c r="A32" s="16" t="inlineStr">
        <is>
          <t>LED-02</t>
        </is>
      </c>
      <c r="B32" s="17" t="inlineStr">
        <is>
          <t>Đặt đơn và thanh toán</t>
        </is>
      </c>
      <c r="C32" s="17" t="inlineStr">
        <is>
          <t>Sổ cái chỉ thêm, không sửa</t>
        </is>
      </c>
      <c r="D32" s="17" t="inlineStr">
        <is>
          <t>UPDATE/DELETE bút toán</t>
        </is>
      </c>
      <c r="E32" s="17" t="inlineStr">
        <is>
          <t>—</t>
        </is>
      </c>
      <c r="F32" s="17" t="inlineStr">
        <is>
          <t>DB từ chối</t>
        </is>
      </c>
      <c r="G32" s="16" t="inlineStr">
        <is>
          <t>P0</t>
        </is>
      </c>
      <c r="H32" s="17" t="inlineStr">
        <is>
          <t>I LedgerAppendOnlyIT</t>
        </is>
      </c>
      <c r="I32" s="16" t="inlineStr">
        <is>
          <t>Đạt</t>
        </is>
      </c>
      <c r="J32" s="17" t="inlineStr"/>
    </row>
    <row r="33">
      <c r="A33" s="16" t="inlineStr">
        <is>
          <t>LED-03</t>
        </is>
      </c>
      <c r="B33" s="17" t="inlineStr">
        <is>
          <t>Đặt đơn và thanh toán</t>
        </is>
      </c>
      <c r="C33" s="17" t="inlineStr">
        <is>
          <t>order.paid giao lại</t>
        </is>
      </c>
      <c r="D33" s="17" t="inlineStr">
        <is>
          <t>Cùng message hai lần</t>
        </is>
      </c>
      <c r="E33" s="17" t="inlineStr">
        <is>
          <t>—</t>
        </is>
      </c>
      <c r="F33" s="17" t="inlineStr">
        <is>
          <t>Ghi một bút toán</t>
        </is>
      </c>
      <c r="G33" s="16" t="inlineStr">
        <is>
          <t>P0</t>
        </is>
      </c>
      <c r="H33" s="17" t="inlineStr">
        <is>
          <t>U OrderPaidListenerTest; I OrderPaidListenerIT</t>
        </is>
      </c>
      <c r="I33" s="16" t="inlineStr">
        <is>
          <t>Đạt</t>
        </is>
      </c>
      <c r="J33" s="17" t="inlineStr"/>
    </row>
    <row r="34">
      <c r="A34" s="16" t="inlineStr">
        <is>
          <t>OUT-01</t>
        </is>
      </c>
      <c r="B34" s="17" t="inlineStr">
        <is>
          <t>Đặt đơn và thanh toán</t>
        </is>
      </c>
      <c r="C34" s="17" t="inlineStr">
        <is>
          <t>Chi trả bốn mắt</t>
        </is>
      </c>
      <c r="D34" s="17" t="inlineStr">
        <is>
          <t>Người tạo tự duyệt</t>
        </is>
      </c>
      <c r="E34" s="17" t="inlineStr">
        <is>
          <t>—</t>
        </is>
      </c>
      <c r="F34" s="17" t="inlineStr">
        <is>
          <t>Bị chặn</t>
        </is>
      </c>
      <c r="G34" s="16" t="inlineStr">
        <is>
          <t>P0</t>
        </is>
      </c>
      <c r="H34" s="17" t="inlineStr">
        <is>
          <t>I FourEyesIT; U PayoutHandlersTest</t>
        </is>
      </c>
      <c r="I34" s="16" t="inlineStr">
        <is>
          <t>Đạt</t>
        </is>
      </c>
      <c r="J34" s="17" t="inlineStr"/>
    </row>
    <row r="35">
      <c r="A35" s="16" t="inlineStr">
        <is>
          <t>TIC-01</t>
        </is>
      </c>
      <c r="B35" s="17" t="inlineStr">
        <is>
          <t>Vé và soát vé</t>
        </is>
      </c>
      <c r="C35" s="17" t="inlineStr">
        <is>
          <t>Phát vé idempotent</t>
        </is>
      </c>
      <c r="D35" s="17" t="inlineStr">
        <is>
          <t>order.paid giao lại</t>
        </is>
      </c>
      <c r="E35" s="17" t="inlineStr">
        <is>
          <t>—</t>
        </is>
      </c>
      <c r="F35" s="17" t="inlineStr">
        <is>
          <t>Một bộ vé</t>
        </is>
      </c>
      <c r="G35" s="16" t="inlineStr">
        <is>
          <t>P0</t>
        </is>
      </c>
      <c r="H35" s="17" t="inlineStr">
        <is>
          <t>U IssueTicketsTest, OrderPaidListenerTest; I IssueOnOrderPaidIT</t>
        </is>
      </c>
      <c r="I35" s="16" t="inlineStr">
        <is>
          <t>Đạt</t>
        </is>
      </c>
      <c r="J35" s="17" t="inlineStr"/>
    </row>
    <row r="36">
      <c r="A36" s="16" t="inlineStr">
        <is>
          <t>TIC-02</t>
        </is>
      </c>
      <c r="B36" s="17" t="inlineStr">
        <is>
          <t>Vé và soát vé</t>
        </is>
      </c>
      <c r="C36" s="17" t="inlineStr">
        <is>
          <t>QR giả / bị sửa</t>
        </is>
      </c>
      <c r="D36" s="17" t="inlineStr">
        <is>
          <t>Đổi payload, sai khoá, sai chữ ký</t>
        </is>
      </c>
      <c r="E36" s="17" t="inlineStr">
        <is>
          <t>—</t>
        </is>
      </c>
      <c r="F36" s="17" t="inlineStr">
        <is>
          <t>INVALID_TOKEN</t>
        </is>
      </c>
      <c r="G36" s="16" t="inlineStr">
        <is>
          <t>P0</t>
        </is>
      </c>
      <c r="H36" s="17" t="inlineStr">
        <is>
          <t>U TicketSigningTest; I QrTokenIT</t>
        </is>
      </c>
      <c r="I36" s="16" t="inlineStr">
        <is>
          <t>Đạt</t>
        </is>
      </c>
      <c r="J36" s="17" t="inlineStr"/>
    </row>
    <row r="37">
      <c r="A37" s="16" t="inlineStr">
        <is>
          <t>TIC-03</t>
        </is>
      </c>
      <c r="B37" s="17" t="inlineStr">
        <is>
          <t>Vé và soát vé</t>
        </is>
      </c>
      <c r="C37" s="17" t="inlineStr">
        <is>
          <t>QR không chứa PII</t>
        </is>
      </c>
      <c r="D37" s="17" t="inlineStr">
        <is>
          <t>Giải mã payload</t>
        </is>
      </c>
      <c r="E37" s="17" t="inlineStr">
        <is>
          <t>—</t>
        </is>
      </c>
      <c r="F37" s="17" t="inlineStr">
        <is>
          <t>Chỉ có jti và mã vé</t>
        </is>
      </c>
      <c r="G37" s="16" t="inlineStr">
        <is>
          <t>P0</t>
        </is>
      </c>
      <c r="H37" s="17" t="inlineStr">
        <is>
          <t>U TicketSigningTest</t>
        </is>
      </c>
      <c r="I37" s="16" t="inlineStr">
        <is>
          <t>Đạt</t>
        </is>
      </c>
      <c r="J37" s="17" t="inlineStr"/>
    </row>
    <row r="38">
      <c r="A38" s="16" t="inlineStr">
        <is>
          <t>TIC-04</t>
        </is>
      </c>
      <c r="B38" s="17" t="inlineStr">
        <is>
          <t>Vé và soát vé</t>
        </is>
      </c>
      <c r="C38" s="17" t="inlineStr">
        <is>
          <t>Quét hai lần</t>
        </is>
      </c>
      <c r="D38" s="17" t="inlineStr">
        <is>
          <t>Vé đã vào, quét Vào lần nữa</t>
        </is>
      </c>
      <c r="E38" s="17" t="inlineStr">
        <is>
          <t>—</t>
        </is>
      </c>
      <c r="F38" s="17" t="inlineStr">
        <is>
          <t>ALREADY_CHECKED_IN kèm giờ và cổng</t>
        </is>
      </c>
      <c r="G38" s="16" t="inlineStr">
        <is>
          <t>P0</t>
        </is>
      </c>
      <c r="H38" s="17" t="inlineStr">
        <is>
          <t>U CheckInHandlerTest, TicketLifecycleTest; I TicketCheckinIT</t>
        </is>
      </c>
      <c r="I38" s="16" t="inlineStr">
        <is>
          <t>Đạt</t>
        </is>
      </c>
      <c r="J38" s="17" t="inlineStr"/>
    </row>
    <row r="39">
      <c r="A39" s="16" t="inlineStr">
        <is>
          <t>TIC-05</t>
        </is>
      </c>
      <c r="B39" s="17" t="inlineStr">
        <is>
          <t>Vé và soát vé</t>
        </is>
      </c>
      <c r="C39" s="17" t="inlineStr">
        <is>
          <t>Ra rồi vào lại</t>
        </is>
      </c>
      <c r="D39" s="17" t="inlineStr">
        <is>
          <t>Quét Ra rồi Vào</t>
        </is>
      </c>
      <c r="E39" s="17" t="inlineStr">
        <is>
          <t>—</t>
        </is>
      </c>
      <c r="F39" s="17" t="inlineStr">
        <is>
          <t>Theo luật vào–ra–vào lại của sự kiện</t>
        </is>
      </c>
      <c r="G39" s="16" t="inlineStr">
        <is>
          <t>P1</t>
        </is>
      </c>
      <c r="H39" s="17" t="inlineStr">
        <is>
          <t>U CheckInHandlerTest</t>
        </is>
      </c>
      <c r="I39" s="16" t="inlineStr">
        <is>
          <t>Đạt</t>
        </is>
      </c>
      <c r="J39" s="17" t="inlineStr"/>
    </row>
    <row r="40">
      <c r="A40" s="16" t="inlineStr">
        <is>
          <t>TIC-06</t>
        </is>
      </c>
      <c r="B40" s="17" t="inlineStr">
        <is>
          <t>Vé và soát vé</t>
        </is>
      </c>
      <c r="C40" s="17" t="inlineStr">
        <is>
          <t>Sai suất / chưa mở cổng / đã kết thúc</t>
        </is>
      </c>
      <c r="D40" s="17" t="inlineStr">
        <is>
          <t>Quét ngoài khung giờ</t>
        </is>
      </c>
      <c r="E40" s="17" t="inlineStr">
        <is>
          <t>—</t>
        </is>
      </c>
      <c r="F40" s="17" t="inlineStr">
        <is>
          <t>WRONG_SESSION / NOT_OPEN_YET / SESSION_ENDED</t>
        </is>
      </c>
      <c r="G40" s="16" t="inlineStr">
        <is>
          <t>P1</t>
        </is>
      </c>
      <c r="H40" s="17" t="inlineStr">
        <is>
          <t>U CheckInHandlerTest</t>
        </is>
      </c>
      <c r="I40" s="16" t="inlineStr">
        <is>
          <t>Đạt</t>
        </is>
      </c>
      <c r="J40" s="17" t="inlineStr"/>
    </row>
    <row r="41">
      <c r="A41" s="16" t="inlineStr">
        <is>
          <t>TIC-07</t>
        </is>
      </c>
      <c r="B41" s="17" t="inlineStr">
        <is>
          <t>Vé và soát vé</t>
        </is>
      </c>
      <c r="C41" s="17" t="inlineStr">
        <is>
          <t>Nhân viên không được gán sự kiện</t>
        </is>
      </c>
      <c r="D41" s="17" t="inlineStr">
        <is>
          <t>Staff quét suất không thuộc mình</t>
        </is>
      </c>
      <c r="E41" s="17" t="inlineStr">
        <is>
          <t>—</t>
        </is>
      </c>
      <c r="F41" s="17" t="inlineStr">
        <is>
          <t>Từ chối</t>
        </is>
      </c>
      <c r="G41" s="16" t="inlineStr">
        <is>
          <t>P0</t>
        </is>
      </c>
      <c r="H41" s="17" t="inlineStr">
        <is>
          <t>U CheckinAccessTest; S CheckinControllerWebTest</t>
        </is>
      </c>
      <c r="I41" s="16" t="inlineStr">
        <is>
          <t>Đạt</t>
        </is>
      </c>
      <c r="J41" s="17" t="inlineStr"/>
    </row>
    <row r="42">
      <c r="A42" s="16" t="inlineStr">
        <is>
          <t>TIC-08</t>
        </is>
      </c>
      <c r="B42" s="17" t="inlineStr">
        <is>
          <t>Vé và soát vé</t>
        </is>
      </c>
      <c r="C42" s="17" t="inlineStr">
        <is>
          <t>Ghi đè thủ công</t>
        </is>
      </c>
      <c r="D42" s="17" t="inlineStr">
        <is>
          <t>override=true</t>
        </is>
      </c>
      <c r="E42" s="17" t="inlineStr">
        <is>
          <t>—</t>
        </is>
      </c>
      <c r="F42" s="17" t="inlineStr">
        <is>
          <t>Chỉ người quản lý sự kiện, bắt buộc có lý do</t>
        </is>
      </c>
      <c r="G42" s="16" t="inlineStr">
        <is>
          <t>P1</t>
        </is>
      </c>
      <c r="H42" s="17" t="inlineStr">
        <is>
          <t>U CheckInHandlerTest</t>
        </is>
      </c>
      <c r="I42" s="16" t="inlineStr">
        <is>
          <t>Đạt</t>
        </is>
      </c>
      <c r="J42" s="17" t="inlineStr"/>
    </row>
    <row r="43">
      <c r="A43" s="16" t="inlineStr">
        <is>
          <t>TIC-09</t>
        </is>
      </c>
      <c r="B43" s="17" t="inlineStr">
        <is>
          <t>Vé và soát vé</t>
        </is>
      </c>
      <c r="C43" s="17" t="inlineStr">
        <is>
          <t>Xem vé của người khác</t>
        </is>
      </c>
      <c r="D43" s="17" t="inlineStr">
        <is>
          <t>GET /orders/{id}/tickets của người khác</t>
        </is>
      </c>
      <c r="E43" s="17" t="inlineStr">
        <is>
          <t>—</t>
        </is>
      </c>
      <c r="F43" s="17" t="inlineStr">
        <is>
          <t>404</t>
        </is>
      </c>
      <c r="G43" s="16" t="inlineStr">
        <is>
          <t>P0</t>
        </is>
      </c>
      <c r="H43" s="17" t="inlineStr">
        <is>
          <t>U TicketingQueriesTest; S TicketReadControllersWebTest</t>
        </is>
      </c>
      <c r="I43" s="16" t="inlineStr">
        <is>
          <t>Đạt</t>
        </is>
      </c>
      <c r="J43" s="17" t="inlineStr"/>
    </row>
    <row r="44">
      <c r="A44" s="16" t="inlineStr">
        <is>
          <t>IAM-01</t>
        </is>
      </c>
      <c r="B44" s="17" t="inlineStr">
        <is>
          <t>Danh tính, tenant, phân quyền</t>
        </is>
      </c>
      <c r="C44" s="17" t="inlineStr">
        <is>
          <t>Không token</t>
        </is>
      </c>
      <c r="D44" s="17" t="inlineStr">
        <is>
          <t>Gọi mọi endpoint bảo vệ</t>
        </is>
      </c>
      <c r="E44" s="17" t="inlineStr">
        <is>
          <t>—</t>
        </is>
      </c>
      <c r="F44" s="17" t="inlineStr">
        <is>
          <t>401</t>
        </is>
      </c>
      <c r="G44" s="16" t="inlineStr">
        <is>
          <t>P0</t>
        </is>
      </c>
      <c r="H44" s="17" t="inlineStr">
        <is>
          <t>S mọi *Controller*Test; U GatewaySecurityTest</t>
        </is>
      </c>
      <c r="I44" s="16" t="inlineStr">
        <is>
          <t>Đạt</t>
        </is>
      </c>
      <c r="J44" s="17" t="inlineStr"/>
    </row>
    <row r="45">
      <c r="A45" s="16" t="inlineStr">
        <is>
          <t>IAM-02</t>
        </is>
      </c>
      <c r="B45" s="17" t="inlineStr">
        <is>
          <t>Danh tính, tenant, phân quyền</t>
        </is>
      </c>
      <c r="C45" s="17" t="inlineStr">
        <is>
          <t>Sai tenant</t>
        </is>
      </c>
      <c r="D45" s="17" t="inlineStr">
        <is>
          <t>Thành viên tổ chức A gọi /organizations/B/...</t>
        </is>
      </c>
      <c r="E45" s="17" t="inlineStr">
        <is>
          <t>—</t>
        </is>
      </c>
      <c r="F45" s="17" t="inlineStr">
        <is>
          <t>404/403, không lộ dữ liệu</t>
        </is>
      </c>
      <c r="G45" s="16" t="inlineStr">
        <is>
          <t>P0</t>
        </is>
      </c>
      <c r="H45" s="17" t="inlineStr">
        <is>
          <t>U TenantFilterTest; I TenantIsolationIT</t>
        </is>
      </c>
      <c r="I45" s="16" t="inlineStr">
        <is>
          <t>Đạt</t>
        </is>
      </c>
      <c r="J45" s="17" t="inlineStr"/>
    </row>
    <row r="46">
      <c r="A46" s="16" t="inlineStr">
        <is>
          <t>IAM-03</t>
        </is>
      </c>
      <c r="B46" s="17" t="inlineStr">
        <is>
          <t>Danh tính, tenant, phân quyền</t>
        </is>
      </c>
      <c r="C46" s="17" t="inlineStr">
        <is>
          <t>Không tin organization_id của client</t>
        </is>
      </c>
      <c r="D46" s="17" t="inlineStr">
        <is>
          <t>Gửi organizationId trong thân</t>
        </is>
      </c>
      <c r="E46" s="17" t="inlineStr">
        <is>
          <t>—</t>
        </is>
      </c>
      <c r="F46" s="17" t="inlineStr">
        <is>
          <t>Bị bỏ qua; lấy từ membership</t>
        </is>
      </c>
      <c r="G46" s="16" t="inlineStr">
        <is>
          <t>P0</t>
        </is>
      </c>
      <c r="H46" s="17" t="inlineStr">
        <is>
          <t>U TenantFilterTest, CheckinControllerWebTest</t>
        </is>
      </c>
      <c r="I46" s="16" t="inlineStr">
        <is>
          <t>Đạt</t>
        </is>
      </c>
      <c r="J46" s="17" t="inlineStr"/>
    </row>
    <row r="47">
      <c r="A47" s="16" t="inlineStr">
        <is>
          <t>IAM-04</t>
        </is>
      </c>
      <c r="B47" s="17" t="inlineStr">
        <is>
          <t>Danh tính, tenant, phân quyền</t>
        </is>
      </c>
      <c r="C47" s="17" t="inlineStr">
        <is>
          <t>Đi vòng bằng đường dẫn mã hoá</t>
        </is>
      </c>
      <c r="D47" s="17" t="inlineStr">
        <is>
          <t>%2e%2e, dot-segment</t>
        </is>
      </c>
      <c r="E47" s="17" t="inlineStr">
        <is>
          <t>—</t>
        </is>
      </c>
      <c r="F47" s="17" t="inlineStr">
        <is>
          <t>Gateway/Spring Security chặn</t>
        </is>
      </c>
      <c r="G47" s="16" t="inlineStr">
        <is>
          <t>P0</t>
        </is>
      </c>
      <c r="H47" s="17" t="inlineStr">
        <is>
          <t>U GatewaySecurityTest; I TenantIsolationIT</t>
        </is>
      </c>
      <c r="I47" s="16" t="inlineStr">
        <is>
          <t>Đạt</t>
        </is>
      </c>
      <c r="J47" s="17" t="inlineStr"/>
    </row>
    <row r="48">
      <c r="A48" s="16" t="inlineStr">
        <is>
          <t>IAM-05</t>
        </is>
      </c>
      <c r="B48" s="17" t="inlineStr">
        <is>
          <t>Danh tính, tenant, phân quyền</t>
        </is>
      </c>
      <c r="C48" s="17" t="inlineStr">
        <is>
          <t>Admin phong / hạ / gỡ Owner</t>
        </is>
      </c>
      <c r="D48" s="17" t="inlineStr">
        <is>
          <t>ORG_ADMIN mời, đổi vai trò, gỡ ORG_OWNER</t>
        </is>
      </c>
      <c r="E48" s="17" t="inlineStr">
        <is>
          <t>—</t>
        </is>
      </c>
      <c r="F48" s="17" t="inlineStr">
        <is>
          <t>403</t>
        </is>
      </c>
      <c r="G48" s="16" t="inlineStr">
        <is>
          <t>P0</t>
        </is>
      </c>
      <c r="H48" s="17" t="inlineStr">
        <is>
          <t>U InviteMemberHandlerTest, ManageMembersHandlerTest</t>
        </is>
      </c>
      <c r="I48" s="16" t="inlineStr">
        <is>
          <t>Đạt</t>
        </is>
      </c>
      <c r="J48" s="17" t="inlineStr"/>
    </row>
    <row r="49">
      <c r="A49" s="16" t="inlineStr">
        <is>
          <t>IAM-06</t>
        </is>
      </c>
      <c r="B49" s="17" t="inlineStr">
        <is>
          <t>Danh tính, tenant, phân quyền</t>
        </is>
      </c>
      <c r="C49" s="17" t="inlineStr">
        <is>
          <t>Gỡ chủ sở hữu cuối cùng</t>
        </is>
      </c>
      <c r="D49" s="17" t="inlineStr">
        <is>
          <t>Một Owner duy nhất</t>
        </is>
      </c>
      <c r="E49" s="17" t="inlineStr">
        <is>
          <t>—</t>
        </is>
      </c>
      <c r="F49" s="17" t="inlineStr">
        <is>
          <t>LAST_OWNER</t>
        </is>
      </c>
      <c r="G49" s="16" t="inlineStr">
        <is>
          <t>P0</t>
        </is>
      </c>
      <c r="H49" s="17" t="inlineStr">
        <is>
          <t>U ManageMembersHandlerTest; I MemberManagementIT</t>
        </is>
      </c>
      <c r="I49" s="16" t="inlineStr">
        <is>
          <t>Đạt</t>
        </is>
      </c>
      <c r="J49" s="17" t="inlineStr"/>
    </row>
    <row r="50">
      <c r="A50" s="16" t="inlineStr">
        <is>
          <t>IAM-07</t>
        </is>
      </c>
      <c r="B50" s="17" t="inlineStr">
        <is>
          <t>Danh tính, tenant, phân quyền</t>
        </is>
      </c>
      <c r="C50" s="17" t="inlineStr">
        <is>
          <t>Vai trò ngoài phạm vi tổ chức</t>
        </is>
      </c>
      <c r="D50" s="17" t="inlineStr">
        <is>
          <t>SUPER_ADMIN / CUSTOMER</t>
        </is>
      </c>
      <c r="E50" s="17" t="inlineStr">
        <is>
          <t>—</t>
        </is>
      </c>
      <c r="F50" s="17" t="inlineStr">
        <is>
          <t>400</t>
        </is>
      </c>
      <c r="G50" s="16" t="inlineStr">
        <is>
          <t>P1</t>
        </is>
      </c>
      <c r="H50" s="17" t="inlineStr">
        <is>
          <t>U ManageMembersHandlerTest, OrganizationMembershipRulesTest</t>
        </is>
      </c>
      <c r="I50" s="16" t="inlineStr">
        <is>
          <t>Đạt</t>
        </is>
      </c>
      <c r="J50" s="17" t="inlineStr"/>
    </row>
    <row r="51">
      <c r="A51" s="16" t="inlineStr">
        <is>
          <t>IAM-08</t>
        </is>
      </c>
      <c r="B51" s="17" t="inlineStr">
        <is>
          <t>Danh tính, tenant, phân quyền</t>
        </is>
      </c>
      <c r="C51" s="17" t="inlineStr">
        <is>
          <t>Nhân viên soát vé xem doanh thu</t>
        </is>
      </c>
      <c r="D51" s="17" t="inlineStr">
        <is>
          <t>CHECKIN_STAFF gọi /sales</t>
        </is>
      </c>
      <c r="E51" s="17" t="inlineStr">
        <is>
          <t>—</t>
        </is>
      </c>
      <c r="F51" s="17" t="inlineStr">
        <is>
          <t>403</t>
        </is>
      </c>
      <c r="G51" s="16" t="inlineStr">
        <is>
          <t>P0</t>
        </is>
      </c>
      <c r="H51" s="17" t="inlineStr">
        <is>
          <t>S SalesDashboardControllerTest</t>
        </is>
      </c>
      <c r="I51" s="16" t="inlineStr">
        <is>
          <t>Đạt</t>
        </is>
      </c>
      <c r="J51" s="17" t="inlineStr"/>
    </row>
    <row r="52">
      <c r="A52" s="16" t="inlineStr">
        <is>
          <t>IAM-09</t>
        </is>
      </c>
      <c r="B52" s="17" t="inlineStr">
        <is>
          <t>Danh tính, tenant, phân quyền</t>
        </is>
      </c>
      <c r="C52" s="17" t="inlineStr">
        <is>
          <t>/internal/ ra internet</t>
        </is>
      </c>
      <c r="D52" s="17" t="inlineStr">
        <is>
          <t>Gọi qua gateway</t>
        </is>
      </c>
      <c r="E52" s="17" t="inlineStr">
        <is>
          <t>—</t>
        </is>
      </c>
      <c r="F52" s="17" t="inlineStr">
        <is>
          <t>Không có route (404/401)</t>
        </is>
      </c>
      <c r="G52" s="16" t="inlineStr">
        <is>
          <t>P0</t>
        </is>
      </c>
      <c r="H52" s="17" t="inlineStr">
        <is>
          <t>U GatewayRouteTableTest, GatewaySecurityTest</t>
        </is>
      </c>
      <c r="I52" s="16" t="inlineStr">
        <is>
          <t>Đạt</t>
        </is>
      </c>
      <c r="J52" s="17" t="inlineStr"/>
    </row>
    <row r="53">
      <c r="A53" s="16" t="inlineStr">
        <is>
          <t>IAM-10</t>
        </is>
      </c>
      <c r="B53" s="17" t="inlineStr">
        <is>
          <t>Danh tính, tenant, phân quyền</t>
        </is>
      </c>
      <c r="C53" s="17" t="inlineStr">
        <is>
          <t>Thu hồi phiên</t>
        </is>
      </c>
      <c r="D53" s="17" t="inlineStr">
        <is>
          <t>Admin thu hồi phiên thành viên</t>
        </is>
      </c>
      <c r="E53" s="17" t="inlineStr">
        <is>
          <t>—</t>
        </is>
      </c>
      <c r="F53" s="17" t="inlineStr">
        <is>
          <t>Token cũ vô hiệu</t>
        </is>
      </c>
      <c r="G53" s="16" t="inlineStr">
        <is>
          <t>P1</t>
        </is>
      </c>
      <c r="H53" s="17" t="inlineStr">
        <is>
          <t>I SessionRevocationIT</t>
        </is>
      </c>
      <c r="I53" s="16" t="inlineStr">
        <is>
          <t>Đạt</t>
        </is>
      </c>
      <c r="J53" s="17" t="inlineStr"/>
    </row>
    <row r="54">
      <c r="A54" s="16" t="inlineStr">
        <is>
          <t>IAM-11</t>
        </is>
      </c>
      <c r="B54" s="17" t="inlineStr">
        <is>
          <t>Danh tính, tenant, phân quyền</t>
        </is>
      </c>
      <c r="C54" s="17" t="inlineStr">
        <is>
          <t>Hai lệnh sửa thành viên chạy chồng</t>
        </is>
      </c>
      <c r="D54" s="17" t="inlineStr">
        <is>
          <t>Gỡ A trong khi B nhận lời mời</t>
        </is>
      </c>
      <c r="E54" s="17" t="inlineStr">
        <is>
          <t>—</t>
        </is>
      </c>
      <c r="F54" s="17" t="inlineStr">
        <is>
          <t>Không ai bị xoá / hồi sinh nhầm</t>
        </is>
      </c>
      <c r="G54" s="16" t="inlineStr">
        <is>
          <t>P0</t>
        </is>
      </c>
      <c r="H54" s="17" t="inlineStr">
        <is>
          <t>I OrganizationConcurrencyIT</t>
        </is>
      </c>
      <c r="I54" s="16" t="inlineStr">
        <is>
          <t>Đạt</t>
        </is>
      </c>
      <c r="J54" s="17" t="inlineStr"/>
    </row>
    <row r="55">
      <c r="A55" s="16" t="inlineStr">
        <is>
          <t>CAT-01</t>
        </is>
      </c>
      <c r="B55" s="17" t="inlineStr">
        <is>
          <t>Catalog và lịch bán</t>
        </is>
      </c>
      <c r="C55" s="17" t="inlineStr">
        <is>
          <t>Chỉ sự kiện đã publish hiện công khai</t>
        </is>
      </c>
      <c r="D55" s="17" t="inlineStr">
        <is>
          <t>Draft / unpublished / cancelled</t>
        </is>
      </c>
      <c r="E55" s="17" t="inlineStr">
        <is>
          <t>—</t>
        </is>
      </c>
      <c r="F55" s="17" t="inlineStr">
        <is>
          <t>404 ở /v1/events/{slug}; không có trong danh sách</t>
        </is>
      </c>
      <c r="G55" s="16" t="inlineStr">
        <is>
          <t>P0</t>
        </is>
      </c>
      <c r="H55" s="17" t="inlineStr">
        <is>
          <t>U EventLifecycleTest; S PublicCatalogControllerTest</t>
        </is>
      </c>
      <c r="I55" s="16" t="inlineStr">
        <is>
          <t>Đạt</t>
        </is>
      </c>
      <c r="J55" s="17" t="inlineStr"/>
    </row>
    <row r="56">
      <c r="A56" s="16" t="inlineStr">
        <is>
          <t>CAT-02</t>
        </is>
      </c>
      <c r="B56" s="17" t="inlineStr">
        <is>
          <t>Catalog và lịch bán</t>
        </is>
      </c>
      <c r="C56" s="17" t="inlineStr">
        <is>
          <t>Publish thiếu điều kiện</t>
        </is>
      </c>
      <c r="D56" s="17" t="inlineStr">
        <is>
          <t>Không có suất / hạng vé / giá</t>
        </is>
      </c>
      <c r="E56" s="17" t="inlineStr">
        <is>
          <t>—</t>
        </is>
      </c>
      <c r="F56" s="17" t="inlineStr">
        <is>
          <t>Preflight từ chối</t>
        </is>
      </c>
      <c r="G56" s="16" t="inlineStr">
        <is>
          <t>P1</t>
        </is>
      </c>
      <c r="H56" s="17" t="inlineStr">
        <is>
          <t>U EventLifecycleTest, EventPreflightTest</t>
        </is>
      </c>
      <c r="I56" s="16" t="inlineStr">
        <is>
          <t>Đạt</t>
        </is>
      </c>
      <c r="J56" s="17" t="inlineStr"/>
    </row>
    <row r="57">
      <c r="A57" s="16" t="inlineStr">
        <is>
          <t>CAT-03</t>
        </is>
      </c>
      <c r="B57" s="17" t="inlineStr">
        <is>
          <t>Catalog và lịch bán</t>
        </is>
      </c>
      <c r="C57" s="17" t="inlineStr">
        <is>
          <t>Cửa bán</t>
        </is>
      </c>
      <c r="D57" s="17" t="inlineStr">
        <is>
          <t>Mở sau khi suất diễn xong; đóng trước khi mở</t>
        </is>
      </c>
      <c r="E57" s="17" t="inlineStr">
        <is>
          <t>—</t>
        </is>
      </c>
      <c r="F57" s="17" t="inlineStr">
        <is>
          <t>400 / preflight INVALID_SALES_WINDOW</t>
        </is>
      </c>
      <c r="G57" s="16" t="inlineStr">
        <is>
          <t>P1</t>
        </is>
      </c>
      <c r="H57" s="17" t="inlineStr">
        <is>
          <t>U SessionAndTicketTypeHandlersTest, EventLifecycleTest</t>
        </is>
      </c>
      <c r="I57" s="16" t="inlineStr">
        <is>
          <t>Đạt</t>
        </is>
      </c>
      <c r="J57" s="17" t="inlineStr"/>
    </row>
    <row r="58">
      <c r="A58" s="16" t="inlineStr">
        <is>
          <t>CAT-04</t>
        </is>
      </c>
      <c r="B58" s="17" t="inlineStr">
        <is>
          <t>Catalog và lịch bán</t>
        </is>
      </c>
      <c r="C58" s="17" t="inlineStr">
        <is>
          <t>Giá vé</t>
        </is>
      </c>
      <c r="D58" s="17" t="inlineStr">
        <is>
          <t>Thiếu, âm, 1.5, 1e30, tràn long</t>
        </is>
      </c>
      <c r="E58" s="17" t="inlineStr">
        <is>
          <t>—</t>
        </is>
      </c>
      <c r="F58" s="17" t="inlineStr">
        <is>
          <t>400 (không bao giờ đọc thành số khác)</t>
        </is>
      </c>
      <c r="G58" s="16" t="inlineStr">
        <is>
          <t>P0</t>
        </is>
      </c>
      <c r="H58" s="17" t="inlineStr">
        <is>
          <t>S AdminCatalogControllerTest</t>
        </is>
      </c>
      <c r="I58" s="16" t="inlineStr">
        <is>
          <t>Đạt</t>
        </is>
      </c>
      <c r="J58" s="17" t="inlineStr"/>
    </row>
    <row r="59">
      <c r="A59" s="16" t="inlineStr">
        <is>
          <t>CAT-05</t>
        </is>
      </c>
      <c r="B59" s="17" t="inlineStr">
        <is>
          <t>Catalog và lịch bán</t>
        </is>
      </c>
      <c r="C59" s="17" t="inlineStr">
        <is>
          <t>Phân trang công khai</t>
        </is>
      </c>
      <c r="D59" s="17" t="inlineStr">
        <is>
          <t>size 0/1000, page âm / Integer.MAX_VALUE</t>
        </is>
      </c>
      <c r="E59" s="17" t="inlineStr">
        <is>
          <t>—</t>
        </is>
      </c>
      <c r="F59" s="17" t="inlineStr">
        <is>
          <t>Kẹp [1,60]; offset không âm</t>
        </is>
      </c>
      <c r="G59" s="16" t="inlineStr">
        <is>
          <t>P2</t>
        </is>
      </c>
      <c r="H59" s="17" t="inlineStr">
        <is>
          <t>S PublicCatalogControllerTest</t>
        </is>
      </c>
      <c r="I59" s="16" t="inlineStr">
        <is>
          <t>Đạt</t>
        </is>
      </c>
      <c r="J59" s="17" t="inlineStr"/>
    </row>
    <row r="60">
      <c r="A60" s="16" t="inlineStr">
        <is>
          <t>CAT-06</t>
        </is>
      </c>
      <c r="B60" s="17" t="inlineStr">
        <is>
          <t>Catalog và lịch bán</t>
        </is>
      </c>
      <c r="C60" s="17" t="inlineStr">
        <is>
          <t>Tải poster</t>
        </is>
      </c>
      <c r="D60" s="17" t="inlineStr">
        <is>
          <t>Đuôi/ content-type lạ, SVG, HTML, quá lớn</t>
        </is>
      </c>
      <c r="E60" s="17" t="inlineStr">
        <is>
          <t>—</t>
        </is>
      </c>
      <c r="F60" s="17" t="inlineStr">
        <is>
          <t>Từ chối; không bao giờ phục vụ SVG/HTML</t>
        </is>
      </c>
      <c r="G60" s="16" t="inlineStr">
        <is>
          <t>P0</t>
        </is>
      </c>
      <c r="H60" s="17" t="inlineStr">
        <is>
          <t>U MediaUseCasesTest, PosterUrlPolicyTest</t>
        </is>
      </c>
      <c r="I60" s="16" t="inlineStr">
        <is>
          <t>Đạt</t>
        </is>
      </c>
      <c r="J60" s="17" t="inlineStr"/>
    </row>
    <row r="61">
      <c r="A61" s="16" t="inlineStr">
        <is>
          <t>CAT-07</t>
        </is>
      </c>
      <c r="B61" s="17" t="inlineStr">
        <is>
          <t>Catalog và lịch bán</t>
        </is>
      </c>
      <c r="C61" s="17" t="inlineStr">
        <is>
          <t>Khu ngồi khổng lồ</t>
        </is>
      </c>
      <c r="D61" s="17" t="inlineStr">
        <is>
          <t>50.000 × 50.000</t>
        </is>
      </c>
      <c r="E61" s="17" t="inlineStr">
        <is>
          <t>—</t>
        </is>
      </c>
      <c r="F61" s="17" t="inlineStr">
        <is>
          <t>Từ chối, không tràn int</t>
        </is>
      </c>
      <c r="G61" s="16" t="inlineStr">
        <is>
          <t>P1</t>
        </is>
      </c>
      <c r="H61" s="17" t="inlineStr">
        <is>
          <t>U VenueAndTemplateRulesTest</t>
        </is>
      </c>
      <c r="I61" s="16" t="inlineStr">
        <is>
          <t>Đạt</t>
        </is>
      </c>
      <c r="J61" s="17" t="inlineStr"/>
    </row>
    <row r="62">
      <c r="A62" s="16" t="inlineStr">
        <is>
          <t>CAT-08</t>
        </is>
      </c>
      <c r="B62" s="17" t="inlineStr">
        <is>
          <t>Catalog và lịch bán</t>
        </is>
      </c>
      <c r="C62" s="17" t="inlineStr">
        <is>
          <t>Khung sơ đồ của nền tảng</t>
        </is>
      </c>
      <c r="D62" s="17" t="inlineStr">
        <is>
          <t>Tổ chức sửa / xoá khung; không phải superadmin</t>
        </is>
      </c>
      <c r="E62" s="17" t="inlineStr">
        <is>
          <t>—</t>
        </is>
      </c>
      <c r="F62" s="17" t="inlineStr">
        <is>
          <t>403 / VENUE_LAYOUT_LOCKED</t>
        </is>
      </c>
      <c r="G62" s="16" t="inlineStr">
        <is>
          <t>P1</t>
        </is>
      </c>
      <c r="H62" s="17" t="inlineStr">
        <is>
          <t>S PlatformTemplateControllerTest, AdminRolesTest</t>
        </is>
      </c>
      <c r="I62" s="16" t="inlineStr">
        <is>
          <t>Đạt</t>
        </is>
      </c>
      <c r="J62" s="17" t="inlineStr"/>
    </row>
    <row r="63">
      <c r="A63" s="16" t="inlineStr">
        <is>
          <t>COM-01</t>
        </is>
      </c>
      <c r="B63" s="17" t="inlineStr">
        <is>
          <t>Lớp chung</t>
        </is>
      </c>
      <c r="C63" s="17" t="inlineStr">
        <is>
          <t>UUID sai trong đường dẫn / thiếu tham số</t>
        </is>
      </c>
      <c r="D63" s="17" t="inlineStr">
        <is>
          <t>—</t>
        </is>
      </c>
      <c r="E63" s="17" t="inlineStr">
        <is>
          <t>—</t>
        </is>
      </c>
      <c r="F63" s="17" t="inlineStr">
        <is>
          <t>400 RFC 7807, không 500, không stack trace</t>
        </is>
      </c>
      <c r="G63" s="16" t="inlineStr">
        <is>
          <t>P1</t>
        </is>
      </c>
      <c r="H63" s="17" t="inlineStr">
        <is>
          <t>U GlobalExceptionHandlerWebTest</t>
        </is>
      </c>
      <c r="I63" s="16" t="inlineStr">
        <is>
          <t>Đạt</t>
        </is>
      </c>
      <c r="J63" s="17" t="inlineStr"/>
    </row>
    <row r="64">
      <c r="A64" s="16" t="inlineStr">
        <is>
          <t>COM-02</t>
        </is>
      </c>
      <c r="B64" s="17" t="inlineStr">
        <is>
          <t>Lớp chung</t>
        </is>
      </c>
      <c r="C64" s="17" t="inlineStr">
        <is>
          <t>Sai method / content-type</t>
        </is>
      </c>
      <c r="D64" s="17" t="inlineStr">
        <is>
          <t>—</t>
        </is>
      </c>
      <c r="E64" s="17" t="inlineStr">
        <is>
          <t>—</t>
        </is>
      </c>
      <c r="F64" s="17" t="inlineStr">
        <is>
          <t>405 / 415</t>
        </is>
      </c>
      <c r="G64" s="16" t="inlineStr">
        <is>
          <t>P2</t>
        </is>
      </c>
      <c r="H64" s="17" t="inlineStr">
        <is>
          <t>U GlobalExceptionHandlerWebTest</t>
        </is>
      </c>
      <c r="I64" s="16" t="inlineStr">
        <is>
          <t>Đạt</t>
        </is>
      </c>
      <c r="J64" s="17" t="inlineStr"/>
    </row>
    <row r="65">
      <c r="A65" s="16" t="inlineStr">
        <is>
          <t>COM-03</t>
        </is>
      </c>
      <c r="B65" s="17" t="inlineStr">
        <is>
          <t>Lớp chung</t>
        </is>
      </c>
      <c r="C65" s="17" t="inlineStr">
        <is>
          <t>X-Correlation-Id chứa CR/LF</t>
        </is>
      </c>
      <c r="D65" s="17" t="inlineStr">
        <is>
          <t>—</t>
        </is>
      </c>
      <c r="E65" s="17" t="inlineStr">
        <is>
          <t>—</t>
        </is>
      </c>
      <c r="F65" s="17" t="inlineStr">
        <is>
          <t>Bỏ, sinh mã mới</t>
        </is>
      </c>
      <c r="G65" s="16" t="inlineStr">
        <is>
          <t>P0</t>
        </is>
      </c>
      <c r="H65" s="17" t="inlineStr">
        <is>
          <t>U CorrelationIdFilterTest</t>
        </is>
      </c>
      <c r="I65" s="16" t="inlineStr">
        <is>
          <t>Đạt</t>
        </is>
      </c>
      <c r="J65" s="17" t="inlineStr"/>
    </row>
    <row r="66">
      <c r="A66" s="16" t="inlineStr">
        <is>
          <t>COM-04</t>
        </is>
      </c>
      <c r="B66" s="17" t="inlineStr">
        <is>
          <t>Lớp chung</t>
        </is>
      </c>
      <c r="C66" s="17" t="inlineStr">
        <is>
          <t>Chủ đề email chứa CR/LF</t>
        </is>
      </c>
      <c r="D66" s="17" t="inlineStr">
        <is>
          <t>—</t>
        </is>
      </c>
      <c r="E66" s="17" t="inlineStr">
        <is>
          <t>—</t>
        </is>
      </c>
      <c r="F66" s="17" t="inlineStr">
        <is>
          <t>Không chèn được header SMTP</t>
        </is>
      </c>
      <c r="G66" s="16" t="inlineStr">
        <is>
          <t>P0</t>
        </is>
      </c>
      <c r="H66" s="17" t="inlineStr">
        <is>
          <t>U NotificationModelTest</t>
        </is>
      </c>
      <c r="I66" s="16" t="inlineStr">
        <is>
          <t>Đạt</t>
        </is>
      </c>
      <c r="J66" s="17" t="inlineStr"/>
    </row>
    <row r="67">
      <c r="A67" s="16" t="inlineStr">
        <is>
          <t>COM-05</t>
        </is>
      </c>
      <c r="B67" s="17" t="inlineStr">
        <is>
          <t>Lớp chung</t>
        </is>
      </c>
      <c r="C67" s="17" t="inlineStr">
        <is>
          <t>Số tiền VND</t>
        </is>
      </c>
      <c r="D67" s="17" t="inlineStr">
        <is>
          <t>—</t>
        </is>
      </c>
      <c r="E67" s="17" t="inlineStr">
        <is>
          <t>—</t>
        </is>
      </c>
      <c r="F67" s="17" t="inlineStr">
        <is>
          <t>Không dùng số thực; làm tròn xuống đúng quy tắc</t>
        </is>
      </c>
      <c r="G67" s="16" t="inlineStr">
        <is>
          <t>P0</t>
        </is>
      </c>
      <c r="H67" s="17" t="inlineStr">
        <is>
          <t>U MoneyTest, MoneyEdgeCaseTest</t>
        </is>
      </c>
      <c r="I67" s="16" t="inlineStr">
        <is>
          <t>Đạt</t>
        </is>
      </c>
      <c r="J67" s="17" t="inlineStr"/>
    </row>
    <row r="68">
      <c r="A68" s="16" t="inlineStr">
        <is>
          <t>COM-06</t>
        </is>
      </c>
      <c r="B68" s="17" t="inlineStr">
        <is>
          <t>Lớp chung</t>
        </is>
      </c>
      <c r="C68" s="17" t="inlineStr">
        <is>
          <t>Ranh giới kiến trúc</t>
        </is>
      </c>
      <c r="D68" s="17" t="inlineStr">
        <is>
          <t>—</t>
        </is>
      </c>
      <c r="E68" s="17" t="inlineStr">
        <is>
          <t>—</t>
        </is>
      </c>
      <c r="F68" s="17" t="inlineStr">
        <is>
          <t>domain thuần; không import chéo context</t>
        </is>
      </c>
      <c r="G68" s="16" t="inlineStr">
        <is>
          <t>P1</t>
        </is>
      </c>
      <c r="H68" s="17" t="inlineStr">
        <is>
          <t>U ArchitectureTest (mỗi service)</t>
        </is>
      </c>
      <c r="I68" s="16" t="inlineStr">
        <is>
          <t>Đạt</t>
        </is>
      </c>
      <c r="J68" s="17" t="inlineStr"/>
    </row>
    <row r="69">
      <c r="A69" s="16" t="inlineStr">
        <is>
          <t>WEB-01</t>
        </is>
      </c>
      <c r="B69" s="17" t="inlineStr">
        <is>
          <t>Frontend và E2E</t>
        </is>
      </c>
      <c r="C69" s="17" t="inlineStr">
        <is>
          <t>Duyệt, tìm, lọc, sắp xếp sự kiện</t>
        </is>
      </c>
      <c r="D69" s="17" t="inlineStr">
        <is>
          <t>—</t>
        </is>
      </c>
      <c r="E69" s="17" t="inlineStr">
        <is>
          <t>—</t>
        </is>
      </c>
      <c r="F69" s="17" t="inlineStr">
        <is>
          <t>Gọi đúng query; hiển thị đúng</t>
        </is>
      </c>
      <c r="G69" s="16" t="inlineStr">
        <is>
          <t>P1</t>
        </is>
      </c>
      <c r="H69" s="17" t="inlineStr">
        <is>
          <t>E public.spec</t>
        </is>
      </c>
      <c r="I69" s="16" t="inlineStr">
        <is>
          <t>Đạt</t>
        </is>
      </c>
      <c r="J69" s="17" t="inlineStr"/>
    </row>
    <row r="70">
      <c r="A70" s="16" t="inlineStr">
        <is>
          <t>WEB-02</t>
        </is>
      </c>
      <c r="B70" s="17" t="inlineStr">
        <is>
          <t>Frontend và E2E</t>
        </is>
      </c>
      <c r="C70" s="17" t="inlineStr">
        <is>
          <t>Chi tiết sự kiện</t>
        </is>
      </c>
      <c r="D70" s="17" t="inlineStr">
        <is>
          <t>—</t>
        </is>
      </c>
      <c r="E70" s="17" t="inlineStr">
        <is>
          <t>—</t>
        </is>
      </c>
      <c r="F70" s="17" t="inlineStr">
        <is>
          <t>Địa điểm, suất, hạng vé và giá</t>
        </is>
      </c>
      <c r="G70" s="16" t="inlineStr">
        <is>
          <t>P1</t>
        </is>
      </c>
      <c r="H70" s="17" t="inlineStr">
        <is>
          <t>E public.spec</t>
        </is>
      </c>
      <c r="I70" s="16" t="inlineStr">
        <is>
          <t>Đạt</t>
        </is>
      </c>
      <c r="J70" s="17" t="inlineStr"/>
    </row>
    <row r="71">
      <c r="A71" s="16" t="inlineStr">
        <is>
          <t>WEB-03</t>
        </is>
      </c>
      <c r="B71" s="17" t="inlineStr">
        <is>
          <t>Frontend và E2E</t>
        </is>
      </c>
      <c r="C71" s="17" t="inlineStr">
        <is>
          <t>Route cần đăng nhập khi chưa đăng nhập</t>
        </is>
      </c>
      <c r="D71" s="17" t="inlineStr">
        <is>
          <t>—</t>
        </is>
      </c>
      <c r="E71" s="17" t="inlineStr">
        <is>
          <t>—</t>
        </is>
      </c>
      <c r="F71" s="17" t="inlineStr">
        <is>
          <t>Về /login với returnUrl an toàn</t>
        </is>
      </c>
      <c r="G71" s="16" t="inlineStr">
        <is>
          <t>P0</t>
        </is>
      </c>
      <c r="H71" s="17" t="inlineStr">
        <is>
          <t>E auth-guard.spec; U return-url.test.ts, client-redirect.test.tsx</t>
        </is>
      </c>
      <c r="I71" s="16" t="inlineStr">
        <is>
          <t>Đạt</t>
        </is>
      </c>
      <c r="J71" s="17" t="inlineStr"/>
    </row>
    <row r="72">
      <c r="A72" s="16" t="inlineStr">
        <is>
          <t>WEB-04</t>
        </is>
      </c>
      <c r="B72" s="17" t="inlineStr">
        <is>
          <t>Frontend và E2E</t>
        </is>
      </c>
      <c r="C72" s="17" t="inlineStr">
        <is>
          <t>Đặt vé trọn luồng</t>
        </is>
      </c>
      <c r="D72" s="17" t="inlineStr">
        <is>
          <t>—</t>
        </is>
      </c>
      <c r="E72" s="17" t="inlineStr">
        <is>
          <t>—</t>
        </is>
      </c>
      <c r="F72" s="17" t="inlineStr">
        <is>
          <t>Giữ chỗ → đơn (hai Idempotency-Key khác nhau) → trang thanh toán → webhook giả lập → vé</t>
        </is>
      </c>
      <c r="G72" s="16" t="inlineStr">
        <is>
          <t>P0</t>
        </is>
      </c>
      <c r="H72" s="17" t="inlineStr">
        <is>
          <t>E checkout.spec</t>
        </is>
      </c>
      <c r="I72" s="16" t="inlineStr">
        <is>
          <t>Đạt</t>
        </is>
      </c>
      <c r="J72" s="17" t="inlineStr"/>
    </row>
    <row r="73">
      <c r="A73" s="16" t="inlineStr">
        <is>
          <t>WEB-05</t>
        </is>
      </c>
      <c r="B73" s="17" t="inlineStr">
        <is>
          <t>Frontend và E2E</t>
        </is>
      </c>
      <c r="C73" s="17" t="inlineStr">
        <is>
          <t>Huỷ đơn, ví vé, lịch sử đơn</t>
        </is>
      </c>
      <c r="D73" s="17" t="inlineStr">
        <is>
          <t>—</t>
        </is>
      </c>
      <c r="E73" s="17" t="inlineStr">
        <is>
          <t>—</t>
        </is>
      </c>
      <c r="F73" s="17" t="inlineStr">
        <is>
          <t>Trạng thái đúng</t>
        </is>
      </c>
      <c r="G73" s="16" t="inlineStr">
        <is>
          <t>P1</t>
        </is>
      </c>
      <c r="H73" s="17" t="inlineStr">
        <is>
          <t>E checkout.spec</t>
        </is>
      </c>
      <c r="I73" s="16" t="inlineStr">
        <is>
          <t>Đạt</t>
        </is>
      </c>
      <c r="J73" s="17" t="inlineStr"/>
    </row>
    <row r="74">
      <c r="A74" s="16" t="inlineStr">
        <is>
          <t>WEB-06</t>
        </is>
      </c>
      <c r="B74" s="17" t="inlineStr">
        <is>
          <t>Frontend và E2E</t>
        </is>
      </c>
      <c r="C74" s="17" t="inlineStr">
        <is>
          <t>XSS qua tên sự kiện</t>
        </is>
      </c>
      <c r="D74" s="17" t="inlineStr">
        <is>
          <t>—</t>
        </is>
      </c>
      <c r="E74" s="17" t="inlineStr">
        <is>
          <t>—</t>
        </is>
      </c>
      <c r="F74" s="17" t="inlineStr">
        <is>
          <t>Hiển thị dạng chữ, không thực thi</t>
        </is>
      </c>
      <c r="G74" s="16" t="inlineStr">
        <is>
          <t>P0</t>
        </is>
      </c>
      <c r="H74" s="17" t="inlineStr">
        <is>
          <t>E public.spec; U ticket-poster.test.tsx</t>
        </is>
      </c>
      <c r="I74" s="16" t="inlineStr">
        <is>
          <t>Đạt</t>
        </is>
      </c>
      <c r="J74" s="17" t="inlineStr"/>
    </row>
    <row r="75">
      <c r="A75" s="16" t="inlineStr">
        <is>
          <t>WEB-07</t>
        </is>
      </c>
      <c r="B75" s="17" t="inlineStr">
        <is>
          <t>Frontend và E2E</t>
        </is>
      </c>
      <c r="C75" s="17" t="inlineStr">
        <is>
          <t>Chọn ghế</t>
        </is>
      </c>
      <c r="D75" s="17" t="inlineStr">
        <is>
          <t>—</t>
        </is>
      </c>
      <c r="E75" s="17" t="inlineStr">
        <is>
          <t>—</t>
        </is>
      </c>
      <c r="F75" s="17" t="inlineStr">
        <is>
          <t>Không vượt hạn mức; ghế đã giữ không chọn được</t>
        </is>
      </c>
      <c r="G75" s="16" t="inlineStr">
        <is>
          <t>P1</t>
        </is>
      </c>
      <c r="H75" s="17" t="inlineStr">
        <is>
          <t>U SeatPicker.test.tsx, seat-map.test.tsx</t>
        </is>
      </c>
      <c r="I75" s="16" t="inlineStr">
        <is>
          <t>Đạt</t>
        </is>
      </c>
      <c r="J75" s="17" t="inlineStr"/>
    </row>
    <row r="76">
      <c r="A76" s="16" t="inlineStr">
        <is>
          <t>WEB-08</t>
        </is>
      </c>
      <c r="B76" s="17" t="inlineStr">
        <is>
          <t>Frontend và E2E</t>
        </is>
      </c>
      <c r="C76" s="17" t="inlineStr">
        <is>
          <t>Đếm ngược thanh toán</t>
        </is>
      </c>
      <c r="D76" s="17" t="inlineStr">
        <is>
          <t>—</t>
        </is>
      </c>
      <c r="E76" s="17" t="inlineStr">
        <is>
          <t>—</t>
        </is>
      </c>
      <c r="F76" s="17" t="inlineStr">
        <is>
          <t>Hết hạn → trạng thái hết hạn</t>
        </is>
      </c>
      <c r="G76" s="16" t="inlineStr">
        <is>
          <t>P1</t>
        </is>
      </c>
      <c r="H76" s="17" t="inlineStr">
        <is>
          <t>U PaymentPanel.test.tsx, useCountdown.test.ts</t>
        </is>
      </c>
      <c r="I76" s="16" t="inlineStr">
        <is>
          <t>Đạt</t>
        </is>
      </c>
      <c r="J76" s="17" t="inlineStr"/>
    </row>
    <row r="77">
      <c r="A77" s="16" t="inlineStr">
        <is>
          <t>WEB-09</t>
        </is>
      </c>
      <c r="B77" s="17" t="inlineStr">
        <is>
          <t>Frontend và E2E</t>
        </is>
      </c>
      <c r="C77" s="17" t="inlineStr">
        <is>
          <t>API client</t>
        </is>
      </c>
      <c r="D77" s="17" t="inlineStr">
        <is>
          <t>—</t>
        </is>
      </c>
      <c r="E77" s="17" t="inlineStr">
        <is>
          <t>—</t>
        </is>
      </c>
      <c r="F77" s="17" t="inlineStr">
        <is>
          <t>Đúng method/path/header; lỗi RFC 7807 → ApiError</t>
        </is>
      </c>
      <c r="G77" s="16" t="inlineStr">
        <is>
          <t>P1</t>
        </is>
      </c>
      <c r="H77" s="17" t="inlineStr">
        <is>
          <t>U api-contract.test.ts, client-edge.test.ts</t>
        </is>
      </c>
      <c r="I77" s="16" t="inlineStr">
        <is>
          <t>Đạt</t>
        </is>
      </c>
      <c r="J77" s="17" t="inlineStr"/>
    </row>
    <row r="78">
      <c r="A78" s="16" t="inlineStr">
        <is>
          <t>WEB-10</t>
        </is>
      </c>
      <c r="B78" s="17" t="inlineStr">
        <is>
          <t>Frontend và E2E</t>
        </is>
      </c>
      <c r="C78" s="17" t="inlineStr">
        <is>
          <t>CSV xuất</t>
        </is>
      </c>
      <c r="D78" s="17" t="inlineStr">
        <is>
          <t>—</t>
        </is>
      </c>
      <c r="E78" s="17" t="inlineStr">
        <is>
          <t>—</t>
        </is>
      </c>
      <c r="F78" s="17" t="inlineStr">
        <is>
          <t>Chặn công thức = + - @ TAB CR</t>
        </is>
      </c>
      <c r="G78" s="16" t="inlineStr">
        <is>
          <t>P0</t>
        </is>
      </c>
      <c r="H78" s="17" t="inlineStr">
        <is>
          <t>U csv.test.ts, helpers-extra.test.ts</t>
        </is>
      </c>
      <c r="I78" s="16" t="inlineStr">
        <is>
          <t>Đạt</t>
        </is>
      </c>
      <c r="J78" s="17" t="inlineStr"/>
    </row>
    <row r="79">
      <c r="A79" s="16" t="inlineStr">
        <is>
          <t>WEB-11</t>
        </is>
      </c>
      <c r="B79" s="17" t="inlineStr">
        <is>
          <t>Frontend và E2E</t>
        </is>
      </c>
      <c r="C79" s="17" t="inlineStr">
        <is>
          <t>Giờ trong báo cáo</t>
        </is>
      </c>
      <c r="D79" s="17" t="inlineStr">
        <is>
          <t>—</t>
        </is>
      </c>
      <c r="E79" s="17" t="inlineStr">
        <is>
          <t>—</t>
        </is>
      </c>
      <c r="F79" s="17" t="inlineStr">
        <is>
          <t>Luôn giờ Việt Nam</t>
        </is>
      </c>
      <c r="G79" s="16" t="inlineStr">
        <is>
          <t>P1</t>
        </is>
      </c>
      <c r="H79" s="17" t="inlineStr">
        <is>
          <t>U event-report.test.ts</t>
        </is>
      </c>
      <c r="I79" s="16" t="inlineStr">
        <is>
          <t>Đạt</t>
        </is>
      </c>
      <c r="J79" s="17" t="inlineStr"/>
    </row>
    <row r="81">
      <c r="A81" s="2" t="inlineStr">
        <is>
          <t>Cột 'Kết quả lần chạy cuối' = Đạt vì toàn bộ test tự động trong sheet 'Danh mục test tự động' đạt ở lần chạy cuối (xem sheet 'Tổng quan'); sửa ô này nếu chạy lại và có test đỏ.</t>
        </is>
      </c>
    </row>
  </sheetData>
  <autoFilter ref="A4:J79"/>
  <conditionalFormatting sqref="I5:I79">
    <cfRule type="cellIs" priority="1" operator="equal" dxfId="2">
      <formula>"Đạt"</formula>
    </cfRule>
    <cfRule type="cellIs" priority="2" operator="equal" dxfId="0">
      <formula>"Đỏ"</formula>
    </cfRule>
    <cfRule type="cellIs" priority="3" operator="equal" dxfId="1">
      <formula>"Bỏ qua"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F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62" customWidth="1" min="3" max="3"/>
    <col width="34" customWidth="1" min="4" max="4"/>
    <col width="26" customWidth="1" min="5" max="5"/>
    <col width="70" customWidth="1" min="6" max="6"/>
  </cols>
  <sheetData>
    <row r="1">
      <c r="A1" s="1" t="inlineStr">
        <is>
          <t>Ma trận API — mọi endpoint ↔ test</t>
        </is>
      </c>
    </row>
    <row r="2">
      <c r="A2" s="2" t="inlineStr">
        <is>
          <t>Quét từ mã nguồn mọi *Controller.java (interfaces/rest). Cột 'Test' trống nghĩa là chưa có test nào nhắc tới controller đó.</t>
        </is>
      </c>
    </row>
    <row r="4" ht="30" customHeight="1">
      <c r="A4" s="4" t="inlineStr">
        <is>
          <t>Dịch vụ</t>
        </is>
      </c>
      <c r="B4" s="4" t="inlineStr">
        <is>
          <t>Method</t>
        </is>
      </c>
      <c r="C4" s="4" t="inlineStr">
        <is>
          <t>Đường dẫn</t>
        </is>
      </c>
      <c r="D4" s="4" t="inlineStr">
        <is>
          <t>Controller</t>
        </is>
      </c>
      <c r="E4" s="4" t="inlineStr">
        <is>
          <t>Yêu cầu quyền</t>
        </is>
      </c>
      <c r="F4" s="4" t="inlineStr">
        <is>
          <t>Test (slice + integration)</t>
        </is>
      </c>
    </row>
    <row r="5">
      <c r="A5" s="17" t="inlineStr">
        <is>
          <t>ai-chatbox-service</t>
        </is>
      </c>
      <c r="B5" s="16" t="inlineStr">
        <is>
          <t>POST</t>
        </is>
      </c>
      <c r="C5" s="17" t="inlineStr">
        <is>
          <t>/v1/chat/agent/sessions/{sessionId}/handoff</t>
        </is>
      </c>
      <c r="D5" s="17" t="inlineStr">
        <is>
          <t>SupportChatController</t>
        </is>
      </c>
      <c r="E5" s="17" t="inlineStr">
        <is>
          <t>đăng nhập</t>
        </is>
      </c>
      <c r="F5" s="17" t="inlineStr">
        <is>
          <t>ChatIdempotencyIT, SupportChatControllerSliceTest, SupportChatControllerTest</t>
        </is>
      </c>
    </row>
    <row r="6">
      <c r="A6" s="17" t="inlineStr">
        <is>
          <t>ai-chatbox-service</t>
        </is>
      </c>
      <c r="B6" s="16" t="inlineStr">
        <is>
          <t>GET</t>
        </is>
      </c>
      <c r="C6" s="17" t="inlineStr">
        <is>
          <t>/v1/chat/agent/sessions/{sessionId}/messages</t>
        </is>
      </c>
      <c r="D6" s="17" t="inlineStr">
        <is>
          <t>SupportChatController</t>
        </is>
      </c>
      <c r="E6" s="17" t="inlineStr">
        <is>
          <t>đăng nhập</t>
        </is>
      </c>
      <c r="F6" s="17" t="inlineStr">
        <is>
          <t>ChatIdempotencyIT, SupportChatControllerSliceTest, SupportChatControllerTest</t>
        </is>
      </c>
    </row>
    <row r="7">
      <c r="A7" s="17" t="inlineStr">
        <is>
          <t>ai-chatbox-service</t>
        </is>
      </c>
      <c r="B7" s="16" t="inlineStr">
        <is>
          <t>POST</t>
        </is>
      </c>
      <c r="C7" s="17" t="inlineStr">
        <is>
          <t>/v1/chat/agent/support</t>
        </is>
      </c>
      <c r="D7" s="17" t="inlineStr">
        <is>
          <t>SupportChatController</t>
        </is>
      </c>
      <c r="E7" s="17" t="inlineStr">
        <is>
          <t>đăng nhập</t>
        </is>
      </c>
      <c r="F7" s="17" t="inlineStr">
        <is>
          <t>ChatIdempotencyIT, SupportChatControllerSliceTest, SupportChatControllerTest</t>
        </is>
      </c>
    </row>
    <row r="8">
      <c r="A8" s="17" t="inlineStr">
        <is>
          <t>ai-chatbox-service</t>
        </is>
      </c>
      <c r="B8" s="16" t="inlineStr">
        <is>
          <t>GET</t>
        </is>
      </c>
      <c r="C8" s="17" t="inlineStr">
        <is>
          <t>/v1/support/handoffs</t>
        </is>
      </c>
      <c r="D8" s="17" t="inlineStr">
        <is>
          <t>SupportDeskController</t>
        </is>
      </c>
      <c r="E8" s="17" t="inlineStr">
        <is>
          <t>đăng nhập</t>
        </is>
      </c>
      <c r="F8" s="17" t="inlineStr">
        <is>
          <t>SupportDeskControllerTest, SupportDeskHandoverTest, SupportDeskPagingTest</t>
        </is>
      </c>
    </row>
    <row r="9">
      <c r="A9" s="17" t="inlineStr">
        <is>
          <t>ai-chatbox-service</t>
        </is>
      </c>
      <c r="B9" s="16" t="inlineStr">
        <is>
          <t>GET</t>
        </is>
      </c>
      <c r="C9" s="17" t="inlineStr">
        <is>
          <t>/v1/support/handoffs/{handoffId}</t>
        </is>
      </c>
      <c r="D9" s="17" t="inlineStr">
        <is>
          <t>SupportDeskController</t>
        </is>
      </c>
      <c r="E9" s="17" t="inlineStr">
        <is>
          <t>đăng nhập</t>
        </is>
      </c>
      <c r="F9" s="17" t="inlineStr">
        <is>
          <t>SupportDeskControllerTest, SupportDeskHandoverTest, SupportDeskPagingTest</t>
        </is>
      </c>
    </row>
    <row r="10">
      <c r="A10" s="17" t="inlineStr">
        <is>
          <t>ai-chatbox-service</t>
        </is>
      </c>
      <c r="B10" s="16" t="inlineStr">
        <is>
          <t>POST</t>
        </is>
      </c>
      <c r="C10" s="17" t="inlineStr">
        <is>
          <t>/v1/support/handoffs/{handoffId}/claim</t>
        </is>
      </c>
      <c r="D10" s="17" t="inlineStr">
        <is>
          <t>SupportDeskController</t>
        </is>
      </c>
      <c r="E10" s="17" t="inlineStr">
        <is>
          <t>đăng nhập</t>
        </is>
      </c>
      <c r="F10" s="17" t="inlineStr">
        <is>
          <t>SupportDeskControllerTest, SupportDeskHandoverTest, SupportDeskPagingTest</t>
        </is>
      </c>
    </row>
    <row r="11">
      <c r="A11" s="17" t="inlineStr">
        <is>
          <t>ai-chatbox-service</t>
        </is>
      </c>
      <c r="B11" s="16" t="inlineStr">
        <is>
          <t>POST</t>
        </is>
      </c>
      <c r="C11" s="17" t="inlineStr">
        <is>
          <t>/v1/support/handoffs/{handoffId}/messages</t>
        </is>
      </c>
      <c r="D11" s="17" t="inlineStr">
        <is>
          <t>SupportDeskController</t>
        </is>
      </c>
      <c r="E11" s="17" t="inlineStr">
        <is>
          <t>đăng nhập</t>
        </is>
      </c>
      <c r="F11" s="17" t="inlineStr">
        <is>
          <t>SupportDeskControllerTest, SupportDeskHandoverTest, SupportDeskPagingTest</t>
        </is>
      </c>
    </row>
    <row r="12">
      <c r="A12" s="17" t="inlineStr">
        <is>
          <t>ai-chatbox-service</t>
        </is>
      </c>
      <c r="B12" s="16" t="inlineStr">
        <is>
          <t>POST</t>
        </is>
      </c>
      <c r="C12" s="17" t="inlineStr">
        <is>
          <t>/v1/support/handoffs/{handoffId}/reassign</t>
        </is>
      </c>
      <c r="D12" s="17" t="inlineStr">
        <is>
          <t>SupportDeskController</t>
        </is>
      </c>
      <c r="E12" s="17" t="inlineStr">
        <is>
          <t>đăng nhập</t>
        </is>
      </c>
      <c r="F12" s="17" t="inlineStr">
        <is>
          <t>SupportDeskControllerTest, SupportDeskHandoverTest, SupportDeskPagingTest</t>
        </is>
      </c>
    </row>
    <row r="13">
      <c r="A13" s="17" t="inlineStr">
        <is>
          <t>ai-chatbox-service</t>
        </is>
      </c>
      <c r="B13" s="16" t="inlineStr">
        <is>
          <t>POST</t>
        </is>
      </c>
      <c r="C13" s="17" t="inlineStr">
        <is>
          <t>/v1/support/handoffs/{handoffId}/release</t>
        </is>
      </c>
      <c r="D13" s="17" t="inlineStr">
        <is>
          <t>SupportDeskController</t>
        </is>
      </c>
      <c r="E13" s="17" t="inlineStr">
        <is>
          <t>đăng nhập</t>
        </is>
      </c>
      <c r="F13" s="17" t="inlineStr">
        <is>
          <t>SupportDeskControllerTest, SupportDeskHandoverTest, SupportDeskPagingTest</t>
        </is>
      </c>
    </row>
    <row r="14">
      <c r="A14" s="17" t="inlineStr">
        <is>
          <t>ai-chatbox-service</t>
        </is>
      </c>
      <c r="B14" s="16" t="inlineStr">
        <is>
          <t>POST</t>
        </is>
      </c>
      <c r="C14" s="17" t="inlineStr">
        <is>
          <t>/v1/support/handoffs/{handoffId}/resolve</t>
        </is>
      </c>
      <c r="D14" s="17" t="inlineStr">
        <is>
          <t>SupportDeskController</t>
        </is>
      </c>
      <c r="E14" s="17" t="inlineStr">
        <is>
          <t>đăng nhập</t>
        </is>
      </c>
      <c r="F14" s="17" t="inlineStr">
        <is>
          <t>SupportDeskControllerTest, SupportDeskHandoverTest, SupportDeskPagingTest</t>
        </is>
      </c>
    </row>
    <row r="15">
      <c r="A15" s="17" t="inlineStr">
        <is>
          <t>ai-chatbox-service</t>
        </is>
      </c>
      <c r="B15" s="16" t="inlineStr">
        <is>
          <t>GET</t>
        </is>
      </c>
      <c r="C15" s="17" t="inlineStr">
        <is>
          <t>/v1/support/knowledge/chunks</t>
        </is>
      </c>
      <c r="D15" s="17" t="inlineStr">
        <is>
          <t>SupportKnowledgeController</t>
        </is>
      </c>
      <c r="E15" s="17" t="inlineStr">
        <is>
          <t>đăng nhập</t>
        </is>
      </c>
      <c r="F15" s="17" t="inlineStr">
        <is>
          <t>SupportDeskPagingTest, SupportKnowledgeControllerTest</t>
        </is>
      </c>
    </row>
    <row r="16">
      <c r="A16" s="17" t="inlineStr">
        <is>
          <t>ai-chatbox-service</t>
        </is>
      </c>
      <c r="B16" s="16" t="inlineStr">
        <is>
          <t>POST</t>
        </is>
      </c>
      <c r="C16" s="17" t="inlineStr">
        <is>
          <t>/v1/support/knowledge/chunks</t>
        </is>
      </c>
      <c r="D16" s="17" t="inlineStr">
        <is>
          <t>SupportKnowledgeController</t>
        </is>
      </c>
      <c r="E16" s="17" t="inlineStr">
        <is>
          <t>đăng nhập</t>
        </is>
      </c>
      <c r="F16" s="17" t="inlineStr">
        <is>
          <t>SupportDeskPagingTest, SupportKnowledgeControllerTest</t>
        </is>
      </c>
    </row>
    <row r="17">
      <c r="A17" s="17" t="inlineStr">
        <is>
          <t>ai-chatbox-service</t>
        </is>
      </c>
      <c r="B17" s="16" t="inlineStr">
        <is>
          <t>DELETE</t>
        </is>
      </c>
      <c r="C17" s="17" t="inlineStr">
        <is>
          <t>/v1/support/knowledge/chunks/{id}</t>
        </is>
      </c>
      <c r="D17" s="17" t="inlineStr">
        <is>
          <t>SupportKnowledgeController</t>
        </is>
      </c>
      <c r="E17" s="17" t="inlineStr">
        <is>
          <t>đăng nhập</t>
        </is>
      </c>
      <c r="F17" s="17" t="inlineStr">
        <is>
          <t>SupportDeskPagingTest, SupportKnowledgeControllerTest</t>
        </is>
      </c>
    </row>
    <row r="18">
      <c r="A18" s="17" t="inlineStr">
        <is>
          <t>ai-chatbox-service</t>
        </is>
      </c>
      <c r="B18" s="16" t="inlineStr">
        <is>
          <t>GET</t>
        </is>
      </c>
      <c r="C18" s="17" t="inlineStr">
        <is>
          <t>/v1/support/knowledge/preview</t>
        </is>
      </c>
      <c r="D18" s="17" t="inlineStr">
        <is>
          <t>SupportKnowledgeController</t>
        </is>
      </c>
      <c r="E18" s="17" t="inlineStr">
        <is>
          <t>đăng nhập</t>
        </is>
      </c>
      <c r="F18" s="17" t="inlineStr">
        <is>
          <t>SupportDeskPagingTest, SupportKnowledgeControllerTest</t>
        </is>
      </c>
    </row>
    <row r="19">
      <c r="A19" s="17" t="inlineStr">
        <is>
          <t>ai-chatbox-service</t>
        </is>
      </c>
      <c r="B19" s="16" t="inlineStr">
        <is>
          <t>GET</t>
        </is>
      </c>
      <c r="C19" s="17" t="inlineStr">
        <is>
          <t>/v1/support/knowledge/rules/{eventId}</t>
        </is>
      </c>
      <c r="D19" s="17" t="inlineStr">
        <is>
          <t>SupportKnowledgeController</t>
        </is>
      </c>
      <c r="E19" s="17" t="inlineStr">
        <is>
          <t>đăng nhập</t>
        </is>
      </c>
      <c r="F19" s="17" t="inlineStr">
        <is>
          <t>SupportDeskPagingTest, SupportKnowledgeControllerTest</t>
        </is>
      </c>
    </row>
    <row r="20">
      <c r="A20" s="17" t="inlineStr">
        <is>
          <t>ai-chatbox-service</t>
        </is>
      </c>
      <c r="B20" s="16" t="inlineStr">
        <is>
          <t>PUT</t>
        </is>
      </c>
      <c r="C20" s="17" t="inlineStr">
        <is>
          <t>/v1/support/knowledge/rules/{eventId}</t>
        </is>
      </c>
      <c r="D20" s="17" t="inlineStr">
        <is>
          <t>SupportKnowledgeController</t>
        </is>
      </c>
      <c r="E20" s="17" t="inlineStr">
        <is>
          <t>đăng nhập</t>
        </is>
      </c>
      <c r="F20" s="17" t="inlineStr">
        <is>
          <t>SupportDeskPagingTest, SupportKnowledgeControllerTest</t>
        </is>
      </c>
    </row>
    <row r="21">
      <c r="A21" s="17" t="inlineStr">
        <is>
          <t>analytics-service</t>
        </is>
      </c>
      <c r="B21" s="16" t="inlineStr">
        <is>
          <t>GET</t>
        </is>
      </c>
      <c r="C21" s="17" t="inlineStr">
        <is>
          <t>/internal/events/trending</t>
        </is>
      </c>
      <c r="D21" s="17" t="inlineStr">
        <is>
          <t>InternalSalesController</t>
        </is>
      </c>
      <c r="E21" s="17" t="inlineStr">
        <is>
          <t>internal</t>
        </is>
      </c>
      <c r="F21" s="17" t="inlineStr">
        <is>
          <t>InternalSalesControllerTest</t>
        </is>
      </c>
    </row>
    <row r="22">
      <c r="A22" s="17" t="inlineStr">
        <is>
          <t>analytics-service</t>
        </is>
      </c>
      <c r="B22" s="16" t="inlineStr">
        <is>
          <t>GET</t>
        </is>
      </c>
      <c r="C22" s="17" t="inlineStr">
        <is>
          <t>/internal/events/{eventId}/sales</t>
        </is>
      </c>
      <c r="D22" s="17" t="inlineStr">
        <is>
          <t>InternalSalesController</t>
        </is>
      </c>
      <c r="E22" s="17" t="inlineStr">
        <is>
          <t>internal</t>
        </is>
      </c>
      <c r="F22" s="17" t="inlineStr">
        <is>
          <t>InternalSalesControllerTest</t>
        </is>
      </c>
    </row>
    <row r="23">
      <c r="A23" s="17" t="inlineStr">
        <is>
          <t>analytics-service</t>
        </is>
      </c>
      <c r="B23" s="16" t="inlineStr">
        <is>
          <t>GET</t>
        </is>
      </c>
      <c r="C23" s="17" t="inlineStr">
        <is>
          <t>/internal/organizations/{organizationId}/sales</t>
        </is>
      </c>
      <c r="D23" s="17" t="inlineStr">
        <is>
          <t>InternalSalesController</t>
        </is>
      </c>
      <c r="E23" s="17" t="inlineStr">
        <is>
          <t>internal</t>
        </is>
      </c>
      <c r="F23" s="17" t="inlineStr">
        <is>
          <t>InternalSalesControllerTest</t>
        </is>
      </c>
    </row>
    <row r="24">
      <c r="A24" s="17" t="inlineStr">
        <is>
          <t>analytics-service</t>
        </is>
      </c>
      <c r="B24" s="16" t="inlineStr">
        <is>
          <t>GET</t>
        </is>
      </c>
      <c r="C24" s="17" t="inlineStr">
        <is>
          <t>/v1/admin/organizations/{organizationId}/sales</t>
        </is>
      </c>
      <c r="D24" s="17" t="inlineStr">
        <is>
          <t>SalesDashboardController</t>
        </is>
      </c>
      <c r="E24" s="17" t="inlineStr">
        <is>
          <t>ORG_METRICS_VIEW</t>
        </is>
      </c>
      <c r="F24" s="17" t="inlineStr">
        <is>
          <t>SalesDashboardControllerTest</t>
        </is>
      </c>
    </row>
    <row r="25">
      <c r="A25" s="17" t="inlineStr">
        <is>
          <t>catalog-service</t>
        </is>
      </c>
      <c r="B25" s="16" t="inlineStr">
        <is>
          <t>GET</t>
        </is>
      </c>
      <c r="C25" s="17" t="inlineStr">
        <is>
          <t>/internal/sessions</t>
        </is>
      </c>
      <c r="D25" s="17" t="inlineStr">
        <is>
          <t>InternalCatalogController</t>
        </is>
      </c>
      <c r="E25" s="17" t="inlineStr">
        <is>
          <t>internal</t>
        </is>
      </c>
      <c r="F25" s="17" t="inlineStr">
        <is>
          <t>InternalCatalogControllerTest</t>
        </is>
      </c>
    </row>
    <row r="26">
      <c r="A26" s="17" t="inlineStr">
        <is>
          <t>catalog-service</t>
        </is>
      </c>
      <c r="B26" s="16" t="inlineStr">
        <is>
          <t>GET</t>
        </is>
      </c>
      <c r="C26" s="17" t="inlineStr">
        <is>
          <t>/internal/sessions/{eventSessionId}</t>
        </is>
      </c>
      <c r="D26" s="17" t="inlineStr">
        <is>
          <t>InternalCatalogController</t>
        </is>
      </c>
      <c r="E26" s="17" t="inlineStr">
        <is>
          <t>internal</t>
        </is>
      </c>
      <c r="F26" s="17" t="inlineStr">
        <is>
          <t>InternalCatalogControllerTest</t>
        </is>
      </c>
    </row>
    <row r="27">
      <c r="A27" s="17" t="inlineStr">
        <is>
          <t>catalog-service</t>
        </is>
      </c>
      <c r="B27" s="16" t="inlineStr">
        <is>
          <t>GET</t>
        </is>
      </c>
      <c r="C27" s="17" t="inlineStr">
        <is>
          <t>/internal/sessions/{eventSessionId}/pricing</t>
        </is>
      </c>
      <c r="D27" s="17" t="inlineStr">
        <is>
          <t>InternalCatalogController</t>
        </is>
      </c>
      <c r="E27" s="17" t="inlineStr">
        <is>
          <t>internal</t>
        </is>
      </c>
      <c r="F27" s="17" t="inlineStr">
        <is>
          <t>InternalCatalogControllerTest</t>
        </is>
      </c>
    </row>
    <row r="28">
      <c r="A28" s="17" t="inlineStr">
        <is>
          <t>catalog-service</t>
        </is>
      </c>
      <c r="B28" s="16" t="inlineStr">
        <is>
          <t>GET</t>
        </is>
      </c>
      <c r="C28" s="17" t="inlineStr">
        <is>
          <t>/v1/events</t>
        </is>
      </c>
      <c r="D28" s="17" t="inlineStr">
        <is>
          <t>PublicCatalogController</t>
        </is>
      </c>
      <c r="E28" s="17" t="inlineStr">
        <is>
          <t>đăng nhập</t>
        </is>
      </c>
      <c r="F28" s="17" t="inlineStr">
        <is>
          <t>PublicCatalogControllerTest</t>
        </is>
      </c>
    </row>
    <row r="29">
      <c r="A29" s="17" t="inlineStr">
        <is>
          <t>catalog-service</t>
        </is>
      </c>
      <c r="B29" s="16" t="inlineStr">
        <is>
          <t>GET</t>
        </is>
      </c>
      <c r="C29" s="17" t="inlineStr">
        <is>
          <t>/v1/events/trending</t>
        </is>
      </c>
      <c r="D29" s="17" t="inlineStr">
        <is>
          <t>PublicCatalogController</t>
        </is>
      </c>
      <c r="E29" s="17" t="inlineStr">
        <is>
          <t>đăng nhập</t>
        </is>
      </c>
      <c r="F29" s="17" t="inlineStr">
        <is>
          <t>PublicCatalogControllerTest</t>
        </is>
      </c>
    </row>
    <row r="30">
      <c r="A30" s="17" t="inlineStr">
        <is>
          <t>catalog-service</t>
        </is>
      </c>
      <c r="B30" s="16" t="inlineStr">
        <is>
          <t>GET</t>
        </is>
      </c>
      <c r="C30" s="17" t="inlineStr">
        <is>
          <t>/v1/events/{slug}</t>
        </is>
      </c>
      <c r="D30" s="17" t="inlineStr">
        <is>
          <t>PublicCatalogController</t>
        </is>
      </c>
      <c r="E30" s="17" t="inlineStr">
        <is>
          <t>đăng nhập</t>
        </is>
      </c>
      <c r="F30" s="17" t="inlineStr">
        <is>
          <t>PublicCatalogControllerTest</t>
        </is>
      </c>
    </row>
    <row r="31">
      <c r="A31" s="17" t="inlineStr">
        <is>
          <t>catalog-service</t>
        </is>
      </c>
      <c r="B31" s="16" t="inlineStr">
        <is>
          <t>GET</t>
        </is>
      </c>
      <c r="C31" s="17" t="inlineStr">
        <is>
          <t>/v1/events/{slug}/floor-plan</t>
        </is>
      </c>
      <c r="D31" s="17" t="inlineStr">
        <is>
          <t>PublicCatalogController</t>
        </is>
      </c>
      <c r="E31" s="17" t="inlineStr">
        <is>
          <t>đăng nhập</t>
        </is>
      </c>
      <c r="F31" s="17" t="inlineStr">
        <is>
          <t>PublicCatalogControllerTest</t>
        </is>
      </c>
    </row>
    <row r="32">
      <c r="A32" s="17" t="inlineStr">
        <is>
          <t>catalog-service</t>
        </is>
      </c>
      <c r="B32" s="16" t="inlineStr">
        <is>
          <t>GET</t>
        </is>
      </c>
      <c r="C32" s="17" t="inlineStr">
        <is>
          <t>/v1/organizations/{organizationId}/checkin-sessions</t>
        </is>
      </c>
      <c r="D32" s="17" t="inlineStr">
        <is>
          <t>CheckinSessionController</t>
        </is>
      </c>
      <c r="E32" s="17" t="inlineStr">
        <is>
          <t>CHECKIN_SCAN</t>
        </is>
      </c>
      <c r="F32" s="17" t="inlineStr">
        <is>
          <t>OrganizationControllersTest</t>
        </is>
      </c>
    </row>
    <row r="33">
      <c r="A33" s="17" t="inlineStr">
        <is>
          <t>catalog-service</t>
        </is>
      </c>
      <c r="B33" s="16" t="inlineStr">
        <is>
          <t>GET</t>
        </is>
      </c>
      <c r="C33" s="17" t="inlineStr">
        <is>
          <t>/v1/organizations/{organizationId}/concert-templates</t>
        </is>
      </c>
      <c r="D33" s="17" t="inlineStr">
        <is>
          <t>OrganizationSeatingController</t>
        </is>
      </c>
      <c r="E33" s="17" t="inlineStr">
        <is>
          <t>đăng nhập</t>
        </is>
      </c>
      <c r="F33" s="17" t="inlineStr">
        <is>
          <t>OrganizationControllersTest</t>
        </is>
      </c>
    </row>
    <row r="34">
      <c r="A34" s="17" t="inlineStr">
        <is>
          <t>catalog-service</t>
        </is>
      </c>
      <c r="B34" s="16" t="inlineStr">
        <is>
          <t>GET</t>
        </is>
      </c>
      <c r="C34" s="17" t="inlineStr">
        <is>
          <t>/v1/organizations/{organizationId}/concert-templates/{templateId}</t>
        </is>
      </c>
      <c r="D34" s="17" t="inlineStr">
        <is>
          <t>OrganizationSeatingController</t>
        </is>
      </c>
      <c r="E34" s="17" t="inlineStr">
        <is>
          <t>đăng nhập</t>
        </is>
      </c>
      <c r="F34" s="17" t="inlineStr">
        <is>
          <t>OrganizationControllersTest</t>
        </is>
      </c>
    </row>
    <row r="35">
      <c r="A35" s="17" t="inlineStr">
        <is>
          <t>catalog-service</t>
        </is>
      </c>
      <c r="B35" s="16" t="inlineStr">
        <is>
          <t>GET</t>
        </is>
      </c>
      <c r="C35" s="17" t="inlineStr">
        <is>
          <t>/v1/organizations/{organizationId}/dashboard</t>
        </is>
      </c>
      <c r="D35" s="17" t="inlineStr">
        <is>
          <t>OrganizationDashboardController</t>
        </is>
      </c>
      <c r="E35" s="17" t="inlineStr">
        <is>
          <t>đăng nhập</t>
        </is>
      </c>
      <c r="F35" s="17" t="inlineStr">
        <is>
          <t>OrganizationControllersTest</t>
        </is>
      </c>
    </row>
    <row r="36">
      <c r="A36" s="17" t="inlineStr">
        <is>
          <t>catalog-service</t>
        </is>
      </c>
      <c r="B36" s="16" t="inlineStr">
        <is>
          <t>GET</t>
        </is>
      </c>
      <c r="C36" s="17" t="inlineStr">
        <is>
          <t>/v1/organizations/{organizationId}/events</t>
        </is>
      </c>
      <c r="D36" s="17" t="inlineStr">
        <is>
          <t>AdminCatalogController</t>
        </is>
      </c>
      <c r="E36" s="17" t="inlineStr">
        <is>
          <t>đăng nhập</t>
        </is>
      </c>
      <c r="F36" s="17" t="inlineStr">
        <is>
          <t>AdminCatalogControllerTest, AdminRolesTest</t>
        </is>
      </c>
    </row>
    <row r="37">
      <c r="A37" s="17" t="inlineStr">
        <is>
          <t>catalog-service</t>
        </is>
      </c>
      <c r="B37" s="16" t="inlineStr">
        <is>
          <t>POST</t>
        </is>
      </c>
      <c r="C37" s="17" t="inlineStr">
        <is>
          <t>/v1/organizations/{organizationId}/events</t>
        </is>
      </c>
      <c r="D37" s="17" t="inlineStr">
        <is>
          <t>AdminCatalogController</t>
        </is>
      </c>
      <c r="E37" s="17" t="inlineStr">
        <is>
          <t>đăng nhập</t>
        </is>
      </c>
      <c r="F37" s="17" t="inlineStr">
        <is>
          <t>AdminCatalogControllerTest, AdminRolesTest</t>
        </is>
      </c>
    </row>
    <row r="38">
      <c r="A38" s="17" t="inlineStr">
        <is>
          <t>catalog-service</t>
        </is>
      </c>
      <c r="B38" s="16" t="inlineStr">
        <is>
          <t>POST</t>
        </is>
      </c>
      <c r="C38" s="17" t="inlineStr">
        <is>
          <t>/v1/organizations/{organizationId}/events/from-template</t>
        </is>
      </c>
      <c r="D38" s="17" t="inlineStr">
        <is>
          <t>OrganizationSeatingController</t>
        </is>
      </c>
      <c r="E38" s="17" t="inlineStr">
        <is>
          <t>đăng nhập</t>
        </is>
      </c>
      <c r="F38" s="17" t="inlineStr">
        <is>
          <t>OrganizationControllersTest</t>
        </is>
      </c>
    </row>
    <row r="39">
      <c r="A39" s="17" t="inlineStr">
        <is>
          <t>catalog-service</t>
        </is>
      </c>
      <c r="B39" s="16" t="inlineStr">
        <is>
          <t>DELETE</t>
        </is>
      </c>
      <c r="C39" s="17" t="inlineStr">
        <is>
          <t>/v1/organizations/{organizationId}/events/{eventId}</t>
        </is>
      </c>
      <c r="D39" s="17" t="inlineStr">
        <is>
          <t>AdminCatalogController</t>
        </is>
      </c>
      <c r="E39" s="17" t="inlineStr">
        <is>
          <t>đăng nhập</t>
        </is>
      </c>
      <c r="F39" s="17" t="inlineStr">
        <is>
          <t>AdminCatalogControllerTest, AdminRolesTest</t>
        </is>
      </c>
    </row>
    <row r="40">
      <c r="A40" s="17" t="inlineStr">
        <is>
          <t>catalog-service</t>
        </is>
      </c>
      <c r="B40" s="16" t="inlineStr">
        <is>
          <t>GET</t>
        </is>
      </c>
      <c r="C40" s="17" t="inlineStr">
        <is>
          <t>/v1/organizations/{organizationId}/events/{eventId}</t>
        </is>
      </c>
      <c r="D40" s="17" t="inlineStr">
        <is>
          <t>AdminCatalogController</t>
        </is>
      </c>
      <c r="E40" s="17" t="inlineStr">
        <is>
          <t>đăng nhập</t>
        </is>
      </c>
      <c r="F40" s="17" t="inlineStr">
        <is>
          <t>AdminCatalogControllerTest, AdminRolesTest</t>
        </is>
      </c>
    </row>
    <row r="41">
      <c r="A41" s="17" t="inlineStr">
        <is>
          <t>catalog-service</t>
        </is>
      </c>
      <c r="B41" s="16" t="inlineStr">
        <is>
          <t>PATCH</t>
        </is>
      </c>
      <c r="C41" s="17" t="inlineStr">
        <is>
          <t>/v1/organizations/{organizationId}/events/{eventId}</t>
        </is>
      </c>
      <c r="D41" s="17" t="inlineStr">
        <is>
          <t>AdminCatalogController</t>
        </is>
      </c>
      <c r="E41" s="17" t="inlineStr">
        <is>
          <t>đăng nhập</t>
        </is>
      </c>
      <c r="F41" s="17" t="inlineStr">
        <is>
          <t>AdminCatalogControllerTest, AdminRolesTest</t>
        </is>
      </c>
    </row>
    <row r="42">
      <c r="A42" s="17" t="inlineStr">
        <is>
          <t>catalog-service</t>
        </is>
      </c>
      <c r="B42" s="16" t="inlineStr">
        <is>
          <t>POST</t>
        </is>
      </c>
      <c r="C42" s="17" t="inlineStr">
        <is>
          <t>/v1/organizations/{organizationId}/events/{eventId}/cancel</t>
        </is>
      </c>
      <c r="D42" s="17" t="inlineStr">
        <is>
          <t>AdminCatalogController</t>
        </is>
      </c>
      <c r="E42" s="17" t="inlineStr">
        <is>
          <t>đăng nhập</t>
        </is>
      </c>
      <c r="F42" s="17" t="inlineStr">
        <is>
          <t>AdminCatalogControllerTest, AdminRolesTest</t>
        </is>
      </c>
    </row>
    <row r="43">
      <c r="A43" s="17" t="inlineStr">
        <is>
          <t>catalog-service</t>
        </is>
      </c>
      <c r="B43" s="16" t="inlineStr">
        <is>
          <t>GET</t>
        </is>
      </c>
      <c r="C43" s="17" t="inlineStr">
        <is>
          <t>/v1/organizations/{organizationId}/events/{eventId}/master-data</t>
        </is>
      </c>
      <c r="D43" s="17" t="inlineStr">
        <is>
          <t>OrganizationDashboardController</t>
        </is>
      </c>
      <c r="E43" s="17" t="inlineStr">
        <is>
          <t>đăng nhập</t>
        </is>
      </c>
      <c r="F43" s="17" t="inlineStr">
        <is>
          <t>OrganizationControllersTest</t>
        </is>
      </c>
    </row>
    <row r="44">
      <c r="A44" s="17" t="inlineStr">
        <is>
          <t>catalog-service</t>
        </is>
      </c>
      <c r="B44" s="16" t="inlineStr">
        <is>
          <t>POST</t>
        </is>
      </c>
      <c r="C44" s="17" t="inlineStr">
        <is>
          <t>/v1/organizations/{organizationId}/events/{eventId}/publish</t>
        </is>
      </c>
      <c r="D44" s="17" t="inlineStr">
        <is>
          <t>AdminCatalogController</t>
        </is>
      </c>
      <c r="E44" s="17" t="inlineStr">
        <is>
          <t>đăng nhập</t>
        </is>
      </c>
      <c r="F44" s="17" t="inlineStr">
        <is>
          <t>AdminCatalogControllerTest, AdminRolesTest</t>
        </is>
      </c>
    </row>
    <row r="45">
      <c r="A45" s="17" t="inlineStr">
        <is>
          <t>catalog-service</t>
        </is>
      </c>
      <c r="B45" s="16" t="inlineStr">
        <is>
          <t>POST</t>
        </is>
      </c>
      <c r="C45" s="17" t="inlineStr">
        <is>
          <t>/v1/organizations/{organizationId}/events/{eventId}/resync-inventory</t>
        </is>
      </c>
      <c r="D45" s="17" t="inlineStr">
        <is>
          <t>AdminCatalogController</t>
        </is>
      </c>
      <c r="E45" s="17" t="inlineStr">
        <is>
          <t>đăng nhập</t>
        </is>
      </c>
      <c r="F45" s="17" t="inlineStr">
        <is>
          <t>AdminCatalogControllerTest, AdminRolesTest</t>
        </is>
      </c>
    </row>
    <row r="46">
      <c r="A46" s="17" t="inlineStr">
        <is>
          <t>catalog-service</t>
        </is>
      </c>
      <c r="B46" s="16" t="inlineStr">
        <is>
          <t>GET</t>
        </is>
      </c>
      <c r="C46" s="17" t="inlineStr">
        <is>
          <t>/v1/organizations/{organizationId}/events/{eventId}/seat-map-image</t>
        </is>
      </c>
      <c r="D46" s="17" t="inlineStr">
        <is>
          <t>OrganizationSeatingController</t>
        </is>
      </c>
      <c r="E46" s="17" t="inlineStr">
        <is>
          <t>đăng nhập</t>
        </is>
      </c>
      <c r="F46" s="17" t="inlineStr">
        <is>
          <t>OrganizationControllersTest</t>
        </is>
      </c>
    </row>
    <row r="47">
      <c r="A47" s="17" t="inlineStr">
        <is>
          <t>catalog-service</t>
        </is>
      </c>
      <c r="B47" s="16" t="inlineStr">
        <is>
          <t>PUT</t>
        </is>
      </c>
      <c r="C47" s="17" t="inlineStr">
        <is>
          <t>/v1/organizations/{organizationId}/events/{eventId}/seat-map-image</t>
        </is>
      </c>
      <c r="D47" s="17" t="inlineStr">
        <is>
          <t>OrganizationSeatingController</t>
        </is>
      </c>
      <c r="E47" s="17" t="inlineStr">
        <is>
          <t>đăng nhập</t>
        </is>
      </c>
      <c r="F47" s="17" t="inlineStr">
        <is>
          <t>OrganizationControllersTest</t>
        </is>
      </c>
    </row>
    <row r="48">
      <c r="A48" s="17" t="inlineStr">
        <is>
          <t>catalog-service</t>
        </is>
      </c>
      <c r="B48" s="16" t="inlineStr">
        <is>
          <t>POST</t>
        </is>
      </c>
      <c r="C48" s="17" t="inlineStr">
        <is>
          <t>/v1/organizations/{organizationId}/events/{eventId}/sessions</t>
        </is>
      </c>
      <c r="D48" s="17" t="inlineStr">
        <is>
          <t>AdminCatalogController</t>
        </is>
      </c>
      <c r="E48" s="17" t="inlineStr">
        <is>
          <t>đăng nhập</t>
        </is>
      </c>
      <c r="F48" s="17" t="inlineStr">
        <is>
          <t>AdminCatalogControllerTest, AdminRolesTest</t>
        </is>
      </c>
    </row>
    <row r="49">
      <c r="A49" s="17" t="inlineStr">
        <is>
          <t>catalog-service</t>
        </is>
      </c>
      <c r="B49" s="16" t="inlineStr">
        <is>
          <t>DELETE</t>
        </is>
      </c>
      <c r="C49" s="17" t="inlineStr">
        <is>
          <t>/v1/organizations/{organizationId}/events/{eventId}/sessions/{sessionId}</t>
        </is>
      </c>
      <c r="D49" s="17" t="inlineStr">
        <is>
          <t>AdminCatalogController</t>
        </is>
      </c>
      <c r="E49" s="17" t="inlineStr">
        <is>
          <t>đăng nhập</t>
        </is>
      </c>
      <c r="F49" s="17" t="inlineStr">
        <is>
          <t>AdminCatalogControllerTest, AdminRolesTest</t>
        </is>
      </c>
    </row>
    <row r="50">
      <c r="A50" s="17" t="inlineStr">
        <is>
          <t>catalog-service</t>
        </is>
      </c>
      <c r="B50" s="16" t="inlineStr">
        <is>
          <t>PATCH</t>
        </is>
      </c>
      <c r="C50" s="17" t="inlineStr">
        <is>
          <t>/v1/organizations/{organizationId}/events/{eventId}/sessions/{sessionId}</t>
        </is>
      </c>
      <c r="D50" s="17" t="inlineStr">
        <is>
          <t>AdminCatalogController</t>
        </is>
      </c>
      <c r="E50" s="17" t="inlineStr">
        <is>
          <t>đăng nhập</t>
        </is>
      </c>
      <c r="F50" s="17" t="inlineStr">
        <is>
          <t>AdminCatalogControllerTest, AdminRolesTest</t>
        </is>
      </c>
    </row>
    <row r="51">
      <c r="A51" s="17" t="inlineStr">
        <is>
          <t>catalog-service</t>
        </is>
      </c>
      <c r="B51" s="16" t="inlineStr">
        <is>
          <t>POST</t>
        </is>
      </c>
      <c r="C51" s="17" t="inlineStr">
        <is>
          <t>/v1/organizations/{organizationId}/events/{eventId}/sessions/{sessionId}/ticket-types</t>
        </is>
      </c>
      <c r="D51" s="17" t="inlineStr">
        <is>
          <t>AdminCatalogController</t>
        </is>
      </c>
      <c r="E51" s="17" t="inlineStr">
        <is>
          <t>đăng nhập</t>
        </is>
      </c>
      <c r="F51" s="17" t="inlineStr">
        <is>
          <t>AdminCatalogControllerTest, AdminRolesTest</t>
        </is>
      </c>
    </row>
    <row r="52">
      <c r="A52" s="17" t="inlineStr">
        <is>
          <t>catalog-service</t>
        </is>
      </c>
      <c r="B52" s="16" t="inlineStr">
        <is>
          <t>DELETE</t>
        </is>
      </c>
      <c r="C52" s="17" t="inlineStr">
        <is>
          <t>/v1/organizations/{organizationId}/events/{eventId}/sessions/{sessionId}/ticket-types/{ticketTypeId}</t>
        </is>
      </c>
      <c r="D52" s="17" t="inlineStr">
        <is>
          <t>AdminCatalogController</t>
        </is>
      </c>
      <c r="E52" s="17" t="inlineStr">
        <is>
          <t>đăng nhập</t>
        </is>
      </c>
      <c r="F52" s="17" t="inlineStr">
        <is>
          <t>AdminCatalogControllerTest, AdminRolesTest</t>
        </is>
      </c>
    </row>
    <row r="53">
      <c r="A53" s="17" t="inlineStr">
        <is>
          <t>catalog-service</t>
        </is>
      </c>
      <c r="B53" s="16" t="inlineStr">
        <is>
          <t>PATCH</t>
        </is>
      </c>
      <c r="C53" s="17" t="inlineStr">
        <is>
          <t>/v1/organizations/{organizationId}/events/{eventId}/sessions/{sessionId}/ticket-types/{ticketTypeId}</t>
        </is>
      </c>
      <c r="D53" s="17" t="inlineStr">
        <is>
          <t>AdminCatalogController</t>
        </is>
      </c>
      <c r="E53" s="17" t="inlineStr">
        <is>
          <t>đăng nhập</t>
        </is>
      </c>
      <c r="F53" s="17" t="inlineStr">
        <is>
          <t>AdminCatalogControllerTest, AdminRolesTest</t>
        </is>
      </c>
    </row>
    <row r="54">
      <c r="A54" s="17" t="inlineStr">
        <is>
          <t>catalog-service</t>
        </is>
      </c>
      <c r="B54" s="16" t="inlineStr">
        <is>
          <t>POST</t>
        </is>
      </c>
      <c r="C54" s="17" t="inlineStr">
        <is>
          <t>/v1/organizations/{organizationId}/events/{eventId}/unpublish</t>
        </is>
      </c>
      <c r="D54" s="17" t="inlineStr">
        <is>
          <t>AdminCatalogController</t>
        </is>
      </c>
      <c r="E54" s="17" t="inlineStr">
        <is>
          <t>đăng nhập</t>
        </is>
      </c>
      <c r="F54" s="17" t="inlineStr">
        <is>
          <t>AdminCatalogControllerTest, AdminRolesTest</t>
        </is>
      </c>
    </row>
    <row r="55">
      <c r="A55" s="17" t="inlineStr">
        <is>
          <t>catalog-service</t>
        </is>
      </c>
      <c r="B55" s="16" t="inlineStr">
        <is>
          <t>GET</t>
        </is>
      </c>
      <c r="C55" s="17" t="inlineStr">
        <is>
          <t>/v1/organizations/{organizationId}/stats/catalog/sessions</t>
        </is>
      </c>
      <c r="D55" s="17" t="inlineStr">
        <is>
          <t>OrganizationSessionDirectoryController</t>
        </is>
      </c>
      <c r="E55" s="17" t="inlineStr">
        <is>
          <t>đăng nhập</t>
        </is>
      </c>
      <c r="F55" s="17" t="inlineStr">
        <is>
          <t>OrganizationControllersTest</t>
        </is>
      </c>
    </row>
    <row r="56">
      <c r="A56" s="17" t="inlineStr">
        <is>
          <t>catalog-service</t>
        </is>
      </c>
      <c r="B56" s="16" t="inlineStr">
        <is>
          <t>POST</t>
        </is>
      </c>
      <c r="C56" s="17" t="inlineStr">
        <is>
          <t>/v1/organizations/{organizationId}/uploads/poster</t>
        </is>
      </c>
      <c r="D56" s="17" t="inlineStr">
        <is>
          <t>OrganizationMediaController</t>
        </is>
      </c>
      <c r="E56" s="17" t="inlineStr">
        <is>
          <t>đăng nhập</t>
        </is>
      </c>
      <c r="F56" s="17" t="inlineStr">
        <is>
          <t>OrganizationControllersTest</t>
        </is>
      </c>
    </row>
    <row r="57">
      <c r="A57" s="17" t="inlineStr">
        <is>
          <t>catalog-service</t>
        </is>
      </c>
      <c r="B57" s="16" t="inlineStr">
        <is>
          <t>GET</t>
        </is>
      </c>
      <c r="C57" s="17" t="inlineStr">
        <is>
          <t>/v1/organizations/{organizationId}/venues</t>
        </is>
      </c>
      <c r="D57" s="17" t="inlineStr">
        <is>
          <t>AdminCatalogController</t>
        </is>
      </c>
      <c r="E57" s="17" t="inlineStr">
        <is>
          <t>đăng nhập</t>
        </is>
      </c>
      <c r="F57" s="17" t="inlineStr">
        <is>
          <t>AdminCatalogControllerTest, AdminRolesTest</t>
        </is>
      </c>
    </row>
    <row r="58">
      <c r="A58" s="17" t="inlineStr">
        <is>
          <t>catalog-service</t>
        </is>
      </c>
      <c r="B58" s="16" t="inlineStr">
        <is>
          <t>POST</t>
        </is>
      </c>
      <c r="C58" s="17" t="inlineStr">
        <is>
          <t>/v1/organizations/{organizationId}/venues</t>
        </is>
      </c>
      <c r="D58" s="17" t="inlineStr">
        <is>
          <t>AdminCatalogController</t>
        </is>
      </c>
      <c r="E58" s="17" t="inlineStr">
        <is>
          <t>đăng nhập</t>
        </is>
      </c>
      <c r="F58" s="17" t="inlineStr">
        <is>
          <t>AdminCatalogControllerTest, AdminRolesTest</t>
        </is>
      </c>
    </row>
    <row r="59">
      <c r="A59" s="17" t="inlineStr">
        <is>
          <t>catalog-service</t>
        </is>
      </c>
      <c r="B59" s="16" t="inlineStr">
        <is>
          <t>GET</t>
        </is>
      </c>
      <c r="C59" s="17" t="inlineStr">
        <is>
          <t>/v1/organizations/{organizationId}/venues/{venueId}/floor-plan</t>
        </is>
      </c>
      <c r="D59" s="17" t="inlineStr">
        <is>
          <t>OrganizationSeatingController</t>
        </is>
      </c>
      <c r="E59" s="17" t="inlineStr">
        <is>
          <t>đăng nhập</t>
        </is>
      </c>
      <c r="F59" s="17" t="inlineStr">
        <is>
          <t>OrganizationControllersTest</t>
        </is>
      </c>
    </row>
    <row r="60">
      <c r="A60" s="17" t="inlineStr">
        <is>
          <t>catalog-service</t>
        </is>
      </c>
      <c r="B60" s="16" t="inlineStr">
        <is>
          <t>POST</t>
        </is>
      </c>
      <c r="C60" s="17" t="inlineStr">
        <is>
          <t>/v1/organizations/{organizationId}/venues/{venueId}/floor-plan/preview</t>
        </is>
      </c>
      <c r="D60" s="17" t="inlineStr">
        <is>
          <t>OrganizationSeatingController</t>
        </is>
      </c>
      <c r="E60" s="17" t="inlineStr">
        <is>
          <t>đăng nhập</t>
        </is>
      </c>
      <c r="F60" s="17" t="inlineStr">
        <is>
          <t>OrganizationControllersTest</t>
        </is>
      </c>
    </row>
    <row r="61">
      <c r="A61" s="17" t="inlineStr">
        <is>
          <t>catalog-service</t>
        </is>
      </c>
      <c r="B61" s="16" t="inlineStr">
        <is>
          <t>PUT</t>
        </is>
      </c>
      <c r="C61" s="17" t="inlineStr">
        <is>
          <t>/v1/organizations/{organizationId}/venues/{venueId}/seat-map-image</t>
        </is>
      </c>
      <c r="D61" s="17" t="inlineStr">
        <is>
          <t>OrganizationSeatingController</t>
        </is>
      </c>
      <c r="E61" s="17" t="inlineStr">
        <is>
          <t>đăng nhập</t>
        </is>
      </c>
      <c r="F61" s="17" t="inlineStr">
        <is>
          <t>OrganizationControllersTest</t>
        </is>
      </c>
    </row>
    <row r="62">
      <c r="A62" s="17" t="inlineStr">
        <is>
          <t>catalog-service</t>
        </is>
      </c>
      <c r="B62" s="16" t="inlineStr">
        <is>
          <t>POST</t>
        </is>
      </c>
      <c r="C62" s="17" t="inlineStr">
        <is>
          <t>/v1/organizations/{organizationId}/venues/{venueId}/zones</t>
        </is>
      </c>
      <c r="D62" s="17" t="inlineStr">
        <is>
          <t>AdminCatalogController</t>
        </is>
      </c>
      <c r="E62" s="17" t="inlineStr">
        <is>
          <t>đăng nhập</t>
        </is>
      </c>
      <c r="F62" s="17" t="inlineStr">
        <is>
          <t>AdminCatalogControllerTest, AdminRolesTest</t>
        </is>
      </c>
    </row>
    <row r="63">
      <c r="A63" s="17" t="inlineStr">
        <is>
          <t>catalog-service</t>
        </is>
      </c>
      <c r="B63" s="16" t="inlineStr">
        <is>
          <t>PUT</t>
        </is>
      </c>
      <c r="C63" s="17" t="inlineStr">
        <is>
          <t>/v1/organizations/{organizationId}/venues/{venueId}/zones</t>
        </is>
      </c>
      <c r="D63" s="17" t="inlineStr">
        <is>
          <t>OrganizationSeatingController</t>
        </is>
      </c>
      <c r="E63" s="17" t="inlineStr">
        <is>
          <t>đăng nhập</t>
        </is>
      </c>
      <c r="F63" s="17" t="inlineStr">
        <is>
          <t>OrganizationControllersTest</t>
        </is>
      </c>
    </row>
    <row r="64">
      <c r="A64" s="17" t="inlineStr">
        <is>
          <t>catalog-service</t>
        </is>
      </c>
      <c r="B64" s="16" t="inlineStr">
        <is>
          <t>GET</t>
        </is>
      </c>
      <c r="C64" s="17" t="inlineStr">
        <is>
          <t>/v1/platform/concert-templates</t>
        </is>
      </c>
      <c r="D64" s="17" t="inlineStr">
        <is>
          <t>PlatformTemplateController</t>
        </is>
      </c>
      <c r="E64" s="17" t="inlineStr">
        <is>
          <t>đăng nhập</t>
        </is>
      </c>
      <c r="F64" s="17" t="inlineStr">
        <is>
          <t>PlatformTemplateControllerTest</t>
        </is>
      </c>
    </row>
    <row r="65">
      <c r="A65" s="17" t="inlineStr">
        <is>
          <t>catalog-service</t>
        </is>
      </c>
      <c r="B65" s="16" t="inlineStr">
        <is>
          <t>POST</t>
        </is>
      </c>
      <c r="C65" s="17" t="inlineStr">
        <is>
          <t>/v1/platform/concert-templates</t>
        </is>
      </c>
      <c r="D65" s="17" t="inlineStr">
        <is>
          <t>PlatformTemplateController</t>
        </is>
      </c>
      <c r="E65" s="17" t="inlineStr">
        <is>
          <t>đăng nhập</t>
        </is>
      </c>
      <c r="F65" s="17" t="inlineStr">
        <is>
          <t>PlatformTemplateControllerTest</t>
        </is>
      </c>
    </row>
    <row r="66">
      <c r="A66" s="17" t="inlineStr">
        <is>
          <t>catalog-service</t>
        </is>
      </c>
      <c r="B66" s="16" t="inlineStr">
        <is>
          <t>DELETE</t>
        </is>
      </c>
      <c r="C66" s="17" t="inlineStr">
        <is>
          <t>/v1/platform/concert-templates/{templateId}</t>
        </is>
      </c>
      <c r="D66" s="17" t="inlineStr">
        <is>
          <t>PlatformTemplateController</t>
        </is>
      </c>
      <c r="E66" s="17" t="inlineStr">
        <is>
          <t>đăng nhập</t>
        </is>
      </c>
      <c r="F66" s="17" t="inlineStr">
        <is>
          <t>PlatformTemplateControllerTest</t>
        </is>
      </c>
    </row>
    <row r="67">
      <c r="A67" s="17" t="inlineStr">
        <is>
          <t>catalog-service</t>
        </is>
      </c>
      <c r="B67" s="16" t="inlineStr">
        <is>
          <t>GET</t>
        </is>
      </c>
      <c r="C67" s="17" t="inlineStr">
        <is>
          <t>/v1/platform/concert-templates/{templateId}</t>
        </is>
      </c>
      <c r="D67" s="17" t="inlineStr">
        <is>
          <t>PlatformTemplateController</t>
        </is>
      </c>
      <c r="E67" s="17" t="inlineStr">
        <is>
          <t>đăng nhập</t>
        </is>
      </c>
      <c r="F67" s="17" t="inlineStr">
        <is>
          <t>PlatformTemplateControllerTest</t>
        </is>
      </c>
    </row>
    <row r="68">
      <c r="A68" s="17" t="inlineStr">
        <is>
          <t>catalog-service</t>
        </is>
      </c>
      <c r="B68" s="16" t="inlineStr">
        <is>
          <t>PATCH</t>
        </is>
      </c>
      <c r="C68" s="17" t="inlineStr">
        <is>
          <t>/v1/platform/concert-templates/{templateId}</t>
        </is>
      </c>
      <c r="D68" s="17" t="inlineStr">
        <is>
          <t>PlatformTemplateController</t>
        </is>
      </c>
      <c r="E68" s="17" t="inlineStr">
        <is>
          <t>đăng nhập</t>
        </is>
      </c>
      <c r="F68" s="17" t="inlineStr">
        <is>
          <t>PlatformTemplateControllerTest</t>
        </is>
      </c>
    </row>
    <row r="69">
      <c r="A69" s="17" t="inlineStr">
        <is>
          <t>catalog-service</t>
        </is>
      </c>
      <c r="B69" s="16" t="inlineStr">
        <is>
          <t>POST</t>
        </is>
      </c>
      <c r="C69" s="17" t="inlineStr">
        <is>
          <t>/v1/platform/concert-templates/{templateId}/activate</t>
        </is>
      </c>
      <c r="D69" s="17" t="inlineStr">
        <is>
          <t>PlatformTemplateController</t>
        </is>
      </c>
      <c r="E69" s="17" t="inlineStr">
        <is>
          <t>đăng nhập</t>
        </is>
      </c>
      <c r="F69" s="17" t="inlineStr">
        <is>
          <t>PlatformTemplateControllerTest</t>
        </is>
      </c>
    </row>
    <row r="70">
      <c r="A70" s="17" t="inlineStr">
        <is>
          <t>catalog-service</t>
        </is>
      </c>
      <c r="B70" s="16" t="inlineStr">
        <is>
          <t>POST</t>
        </is>
      </c>
      <c r="C70" s="17" t="inlineStr">
        <is>
          <t>/v1/platform/concert-templates/{templateId}/archive</t>
        </is>
      </c>
      <c r="D70" s="17" t="inlineStr">
        <is>
          <t>PlatformTemplateController</t>
        </is>
      </c>
      <c r="E70" s="17" t="inlineStr">
        <is>
          <t>đăng nhập</t>
        </is>
      </c>
      <c r="F70" s="17" t="inlineStr">
        <is>
          <t>PlatformTemplateControllerTest</t>
        </is>
      </c>
    </row>
    <row r="71">
      <c r="A71" s="17" t="inlineStr">
        <is>
          <t>catalog-service</t>
        </is>
      </c>
      <c r="B71" s="16" t="inlineStr">
        <is>
          <t>POST</t>
        </is>
      </c>
      <c r="C71" s="17" t="inlineStr">
        <is>
          <t>/v1/platform/concert-templates/{templateId}/draft</t>
        </is>
      </c>
      <c r="D71" s="17" t="inlineStr">
        <is>
          <t>PlatformTemplateController</t>
        </is>
      </c>
      <c r="E71" s="17" t="inlineStr">
        <is>
          <t>đăng nhập</t>
        </is>
      </c>
      <c r="F71" s="17" t="inlineStr">
        <is>
          <t>PlatformTemplateControllerTest</t>
        </is>
      </c>
    </row>
    <row r="72">
      <c r="A72" s="17" t="inlineStr">
        <is>
          <t>catalog-service</t>
        </is>
      </c>
      <c r="B72" s="16" t="inlineStr">
        <is>
          <t>PUT</t>
        </is>
      </c>
      <c r="C72" s="17" t="inlineStr">
        <is>
          <t>/v1/platform/concert-templates/{templateId}/zones</t>
        </is>
      </c>
      <c r="D72" s="17" t="inlineStr">
        <is>
          <t>PlatformTemplateController</t>
        </is>
      </c>
      <c r="E72" s="17" t="inlineStr">
        <is>
          <t>đăng nhập</t>
        </is>
      </c>
      <c r="F72" s="17" t="inlineStr">
        <is>
          <t>PlatformTemplateControllerTest</t>
        </is>
      </c>
    </row>
    <row r="73">
      <c r="A73" s="17" t="inlineStr">
        <is>
          <t>identity-service</t>
        </is>
      </c>
      <c r="B73" s="16" t="inlineStr">
        <is>
          <t>POST</t>
        </is>
      </c>
      <c r="C73" s="17" t="inlineStr">
        <is>
          <t>/internal/audit-logs</t>
        </is>
      </c>
      <c r="D73" s="17" t="inlineStr">
        <is>
          <t>InternalAuditController</t>
        </is>
      </c>
      <c r="E73" s="17" t="inlineStr">
        <is>
          <t>internal</t>
        </is>
      </c>
      <c r="F73" s="17" t="inlineStr">
        <is>
          <t>StaffAndInternalControllersTest, InternalAuditIT</t>
        </is>
      </c>
    </row>
    <row r="74">
      <c r="A74" s="17" t="inlineStr">
        <is>
          <t>identity-service</t>
        </is>
      </c>
      <c r="B74" s="16" t="inlineStr">
        <is>
          <t>GET</t>
        </is>
      </c>
      <c r="C74" s="17" t="inlineStr">
        <is>
          <t>/internal/memberships</t>
        </is>
      </c>
      <c r="D74" s="17" t="inlineStr">
        <is>
          <t>InternalMembershipController</t>
        </is>
      </c>
      <c r="E74" s="17" t="inlineStr">
        <is>
          <t>internal</t>
        </is>
      </c>
      <c r="F74" s="17" t="inlineStr">
        <is>
          <t>StaffAndInternalControllersTest, InternalOhsIT</t>
        </is>
      </c>
    </row>
    <row r="75">
      <c r="A75" s="17" t="inlineStr">
        <is>
          <t>identity-service</t>
        </is>
      </c>
      <c r="B75" s="16" t="inlineStr">
        <is>
          <t>POST</t>
        </is>
      </c>
      <c r="C75" s="17" t="inlineStr">
        <is>
          <t>/internal/users/contacts</t>
        </is>
      </c>
      <c r="D75" s="17" t="inlineStr">
        <is>
          <t>InternalMembershipController</t>
        </is>
      </c>
      <c r="E75" s="17" t="inlineStr">
        <is>
          <t>internal</t>
        </is>
      </c>
      <c r="F75" s="17" t="inlineStr">
        <is>
          <t>StaffAndInternalControllersTest, InternalOhsIT</t>
        </is>
      </c>
    </row>
    <row r="76">
      <c r="A76" s="17" t="inlineStr">
        <is>
          <t>identity-service</t>
        </is>
      </c>
      <c r="B76" s="16" t="inlineStr">
        <is>
          <t>GET</t>
        </is>
      </c>
      <c r="C76" s="17" t="inlineStr">
        <is>
          <t>/internal/users/{userId}</t>
        </is>
      </c>
      <c r="D76" s="17" t="inlineStr">
        <is>
          <t>InternalMembershipController</t>
        </is>
      </c>
      <c r="E76" s="17" t="inlineStr">
        <is>
          <t>internal</t>
        </is>
      </c>
      <c r="F76" s="17" t="inlineStr">
        <is>
          <t>StaffAndInternalControllersTest, InternalOhsIT</t>
        </is>
      </c>
    </row>
    <row r="77">
      <c r="A77" s="17" t="inlineStr">
        <is>
          <t>identity-service</t>
        </is>
      </c>
      <c r="B77" s="16" t="inlineStr">
        <is>
          <t>POST</t>
        </is>
      </c>
      <c r="C77" s="17" t="inlineStr">
        <is>
          <t>/v1/invitations/{token}/accept</t>
        </is>
      </c>
      <c r="D77" s="17" t="inlineStr">
        <is>
          <t>OrganizationController</t>
        </is>
      </c>
      <c r="E77" s="17" t="inlineStr">
        <is>
          <t>ORG_PROFILE_MANAGE</t>
        </is>
      </c>
      <c r="F77" s="17" t="inlineStr">
        <is>
          <t>OrganizationControllerTest, MemberManagementIT, TenantIsolationIT</t>
        </is>
      </c>
    </row>
    <row r="78">
      <c r="A78" s="17" t="inlineStr">
        <is>
          <t>identity-service</t>
        </is>
      </c>
      <c r="B78" s="16" t="inlineStr">
        <is>
          <t>GET</t>
        </is>
      </c>
      <c r="C78" s="17" t="inlineStr">
        <is>
          <t>/v1/me</t>
        </is>
      </c>
      <c r="D78" s="17" t="inlineStr">
        <is>
          <t>MeController</t>
        </is>
      </c>
      <c r="E78" s="17" t="inlineStr">
        <is>
          <t>đăng nhập</t>
        </is>
      </c>
      <c r="F78" s="17" t="inlineStr">
        <is>
          <t>MeAndAccessControllerTest, AuthenticationFlowIT</t>
        </is>
      </c>
    </row>
    <row r="79">
      <c r="A79" s="17" t="inlineStr">
        <is>
          <t>identity-service</t>
        </is>
      </c>
      <c r="B79" s="16" t="inlineStr">
        <is>
          <t>PATCH</t>
        </is>
      </c>
      <c r="C79" s="17" t="inlineStr">
        <is>
          <t>/v1/me</t>
        </is>
      </c>
      <c r="D79" s="17" t="inlineStr">
        <is>
          <t>MeController</t>
        </is>
      </c>
      <c r="E79" s="17" t="inlineStr">
        <is>
          <t>đăng nhập</t>
        </is>
      </c>
      <c r="F79" s="17" t="inlineStr">
        <is>
          <t>MeAndAccessControllerTest, AuthenticationFlowIT</t>
        </is>
      </c>
    </row>
    <row r="80">
      <c r="A80" s="17" t="inlineStr">
        <is>
          <t>identity-service</t>
        </is>
      </c>
      <c r="B80" s="16" t="inlineStr">
        <is>
          <t>GET</t>
        </is>
      </c>
      <c r="C80" s="17" t="inlineStr">
        <is>
          <t>/v1/me/invitations</t>
        </is>
      </c>
      <c r="D80" s="17" t="inlineStr">
        <is>
          <t>MyInvitationController</t>
        </is>
      </c>
      <c r="E80" s="17" t="inlineStr">
        <is>
          <t>đăng nhập</t>
        </is>
      </c>
      <c r="F80" s="17" t="inlineStr">
        <is>
          <t>MeAndAccessControllerTest, StaffInvitationIT</t>
        </is>
      </c>
    </row>
    <row r="81">
      <c r="A81" s="17" t="inlineStr">
        <is>
          <t>identity-service</t>
        </is>
      </c>
      <c r="B81" s="16" t="inlineStr">
        <is>
          <t>POST</t>
        </is>
      </c>
      <c r="C81" s="17" t="inlineStr">
        <is>
          <t>/v1/me/invitations/{invitationId}/accept</t>
        </is>
      </c>
      <c r="D81" s="17" t="inlineStr">
        <is>
          <t>MyInvitationController</t>
        </is>
      </c>
      <c r="E81" s="17" t="inlineStr">
        <is>
          <t>đăng nhập</t>
        </is>
      </c>
      <c r="F81" s="17" t="inlineStr">
        <is>
          <t>MeAndAccessControllerTest, StaffInvitationIT</t>
        </is>
      </c>
    </row>
    <row r="82">
      <c r="A82" s="17" t="inlineStr">
        <is>
          <t>identity-service</t>
        </is>
      </c>
      <c r="B82" s="16" t="inlineStr">
        <is>
          <t>GET</t>
        </is>
      </c>
      <c r="C82" s="17" t="inlineStr">
        <is>
          <t>/v1/me/organizations</t>
        </is>
      </c>
      <c r="D82" s="17" t="inlineStr">
        <is>
          <t>OrganizationController</t>
        </is>
      </c>
      <c r="E82" s="17" t="inlineStr">
        <is>
          <t>đăng nhập</t>
        </is>
      </c>
      <c r="F82" s="17" t="inlineStr">
        <is>
          <t>OrganizationControllerTest, MemberManagementIT, TenantIsolationIT</t>
        </is>
      </c>
    </row>
    <row r="83">
      <c r="A83" s="17" t="inlineStr">
        <is>
          <t>identity-service</t>
        </is>
      </c>
      <c r="B83" s="16" t="inlineStr">
        <is>
          <t>GET</t>
        </is>
      </c>
      <c r="C83" s="17" t="inlineStr">
        <is>
          <t>/v1/me/permissions</t>
        </is>
      </c>
      <c r="D83" s="17" t="inlineStr">
        <is>
          <t>AccessController</t>
        </is>
      </c>
      <c r="E83" s="17" t="inlineStr">
        <is>
          <t>đăng nhập</t>
        </is>
      </c>
      <c r="F83" s="17" t="inlineStr">
        <is>
          <t>MeAndAccessControllerTest, AccessControlIT</t>
        </is>
      </c>
    </row>
    <row r="84">
      <c r="A84" s="17" t="inlineStr">
        <is>
          <t>identity-service</t>
        </is>
      </c>
      <c r="B84" s="16" t="inlineStr">
        <is>
          <t>GET</t>
        </is>
      </c>
      <c r="C84" s="17" t="inlineStr">
        <is>
          <t>/v1/organizations/{organizationId}</t>
        </is>
      </c>
      <c r="D84" s="17" t="inlineStr">
        <is>
          <t>OrganizationController</t>
        </is>
      </c>
      <c r="E84" s="17" t="inlineStr">
        <is>
          <t>đăng nhập</t>
        </is>
      </c>
      <c r="F84" s="17" t="inlineStr">
        <is>
          <t>OrganizationControllerTest, MemberManagementIT, TenantIsolationIT</t>
        </is>
      </c>
    </row>
    <row r="85">
      <c r="A85" s="17" t="inlineStr">
        <is>
          <t>identity-service</t>
        </is>
      </c>
      <c r="B85" s="16" t="inlineStr">
        <is>
          <t>PATCH</t>
        </is>
      </c>
      <c r="C85" s="17" t="inlineStr">
        <is>
          <t>/v1/organizations/{organizationId}</t>
        </is>
      </c>
      <c r="D85" s="17" t="inlineStr">
        <is>
          <t>OrganizationController</t>
        </is>
      </c>
      <c r="E85" s="17" t="inlineStr">
        <is>
          <t>ORG_PROFILE_MANAGE</t>
        </is>
      </c>
      <c r="F85" s="17" t="inlineStr">
        <is>
          <t>OrganizationControllerTest, MemberManagementIT, TenantIsolationIT</t>
        </is>
      </c>
    </row>
    <row r="86">
      <c r="A86" s="17" t="inlineStr">
        <is>
          <t>identity-service</t>
        </is>
      </c>
      <c r="B86" s="16" t="inlineStr">
        <is>
          <t>GET</t>
        </is>
      </c>
      <c r="C86" s="17" t="inlineStr">
        <is>
          <t>/v1/organizations/{organizationId}/audit-logs</t>
        </is>
      </c>
      <c r="D86" s="17" t="inlineStr">
        <is>
          <t>OrganizationController</t>
        </is>
      </c>
      <c r="E86" s="17" t="inlineStr">
        <is>
          <t>ORG_AUDIT_READ</t>
        </is>
      </c>
      <c r="F86" s="17" t="inlineStr">
        <is>
          <t>OrganizationControllerTest, MemberManagementIT, TenantIsolationIT</t>
        </is>
      </c>
    </row>
    <row r="87">
      <c r="A87" s="17" t="inlineStr">
        <is>
          <t>identity-service</t>
        </is>
      </c>
      <c r="B87" s="16" t="inlineStr">
        <is>
          <t>GET</t>
        </is>
      </c>
      <c r="C87" s="17" t="inlineStr">
        <is>
          <t>/v1/organizations/{organizationId}/invitations</t>
        </is>
      </c>
      <c r="D87" s="17" t="inlineStr">
        <is>
          <t>OrganizationController</t>
        </is>
      </c>
      <c r="E87" s="17" t="inlineStr">
        <is>
          <t>ORG_MEMBERS_MANAGE</t>
        </is>
      </c>
      <c r="F87" s="17" t="inlineStr">
        <is>
          <t>OrganizationControllerTest, MemberManagementIT, TenantIsolationIT</t>
        </is>
      </c>
    </row>
    <row r="88">
      <c r="A88" s="17" t="inlineStr">
        <is>
          <t>identity-service</t>
        </is>
      </c>
      <c r="B88" s="16" t="inlineStr">
        <is>
          <t>POST</t>
        </is>
      </c>
      <c r="C88" s="17" t="inlineStr">
        <is>
          <t>/v1/organizations/{organizationId}/invitations</t>
        </is>
      </c>
      <c r="D88" s="17" t="inlineStr">
        <is>
          <t>OrganizationController</t>
        </is>
      </c>
      <c r="E88" s="17" t="inlineStr">
        <is>
          <t>ORG_MEMBERS_MANAGE</t>
        </is>
      </c>
      <c r="F88" s="17" t="inlineStr">
        <is>
          <t>OrganizationControllerTest, MemberManagementIT, TenantIsolationIT</t>
        </is>
      </c>
    </row>
    <row r="89">
      <c r="A89" s="17" t="inlineStr">
        <is>
          <t>identity-service</t>
        </is>
      </c>
      <c r="B89" s="16" t="inlineStr">
        <is>
          <t>DELETE</t>
        </is>
      </c>
      <c r="C89" s="17" t="inlineStr">
        <is>
          <t>/v1/organizations/{organizationId}/invitations/{invitationId}</t>
        </is>
      </c>
      <c r="D89" s="17" t="inlineStr">
        <is>
          <t>OrganizationController</t>
        </is>
      </c>
      <c r="E89" s="17" t="inlineStr">
        <is>
          <t>ORG_MEMBERS_MANAGE</t>
        </is>
      </c>
      <c r="F89" s="17" t="inlineStr">
        <is>
          <t>OrganizationControllerTest, MemberManagementIT, TenantIsolationIT</t>
        </is>
      </c>
    </row>
    <row r="90">
      <c r="A90" s="17" t="inlineStr">
        <is>
          <t>identity-service</t>
        </is>
      </c>
      <c r="B90" s="16" t="inlineStr">
        <is>
          <t>GET</t>
        </is>
      </c>
      <c r="C90" s="17" t="inlineStr">
        <is>
          <t>/v1/organizations/{organizationId}/members</t>
        </is>
      </c>
      <c r="D90" s="17" t="inlineStr">
        <is>
          <t>OrganizationController</t>
        </is>
      </c>
      <c r="E90" s="17" t="inlineStr">
        <is>
          <t>ORG_MEMBERS_MANAGE</t>
        </is>
      </c>
      <c r="F90" s="17" t="inlineStr">
        <is>
          <t>OrganizationControllerTest, MemberManagementIT, TenantIsolationIT</t>
        </is>
      </c>
    </row>
    <row r="91">
      <c r="A91" s="17" t="inlineStr">
        <is>
          <t>identity-service</t>
        </is>
      </c>
      <c r="B91" s="16" t="inlineStr">
        <is>
          <t>DELETE</t>
        </is>
      </c>
      <c r="C91" s="17" t="inlineStr">
        <is>
          <t>/v1/organizations/{organizationId}/members/{userId}</t>
        </is>
      </c>
      <c r="D91" s="17" t="inlineStr">
        <is>
          <t>OrganizationController</t>
        </is>
      </c>
      <c r="E91" s="17" t="inlineStr">
        <is>
          <t>ORG_MEMBERS_MANAGE</t>
        </is>
      </c>
      <c r="F91" s="17" t="inlineStr">
        <is>
          <t>OrganizationControllerTest, MemberManagementIT, TenantIsolationIT</t>
        </is>
      </c>
    </row>
    <row r="92">
      <c r="A92" s="17" t="inlineStr">
        <is>
          <t>identity-service</t>
        </is>
      </c>
      <c r="B92" s="16" t="inlineStr">
        <is>
          <t>PATCH</t>
        </is>
      </c>
      <c r="C92" s="17" t="inlineStr">
        <is>
          <t>/v1/organizations/{organizationId}/members/{userId}</t>
        </is>
      </c>
      <c r="D92" s="17" t="inlineStr">
        <is>
          <t>OrganizationController</t>
        </is>
      </c>
      <c r="E92" s="17" t="inlineStr">
        <is>
          <t>ORG_MEMBERS_MANAGE</t>
        </is>
      </c>
      <c r="F92" s="17" t="inlineStr">
        <is>
          <t>OrganizationControllerTest, MemberManagementIT, TenantIsolationIT</t>
        </is>
      </c>
    </row>
    <row r="93">
      <c r="A93" s="17" t="inlineStr">
        <is>
          <t>identity-service</t>
        </is>
      </c>
      <c r="B93" s="16" t="inlineStr">
        <is>
          <t>POST</t>
        </is>
      </c>
      <c r="C93" s="17" t="inlineStr">
        <is>
          <t>/v1/organizations/{organizationId}/members/{userId}/password-reset</t>
        </is>
      </c>
      <c r="D93" s="17" t="inlineStr">
        <is>
          <t>OrganizationController</t>
        </is>
      </c>
      <c r="E93" s="17" t="inlineStr">
        <is>
          <t>ORG_MEMBERS_MANAGE</t>
        </is>
      </c>
      <c r="F93" s="17" t="inlineStr">
        <is>
          <t>OrganizationControllerTest, MemberManagementIT, TenantIsolationIT</t>
        </is>
      </c>
    </row>
    <row r="94">
      <c r="A94" s="17" t="inlineStr">
        <is>
          <t>identity-service</t>
        </is>
      </c>
      <c r="B94" s="16" t="inlineStr">
        <is>
          <t>DELETE</t>
        </is>
      </c>
      <c r="C94" s="17" t="inlineStr">
        <is>
          <t>/v1/organizations/{organizationId}/members/{userId}/sessions</t>
        </is>
      </c>
      <c r="D94" s="17" t="inlineStr">
        <is>
          <t>OrganizationController</t>
        </is>
      </c>
      <c r="E94" s="17" t="inlineStr">
        <is>
          <t>ORG_SESSION_REVOKE</t>
        </is>
      </c>
      <c r="F94" s="17" t="inlineStr">
        <is>
          <t>OrganizationControllerTest, MemberManagementIT, TenantIsolationIT</t>
        </is>
      </c>
    </row>
    <row r="95">
      <c r="A95" s="17" t="inlineStr">
        <is>
          <t>identity-service</t>
        </is>
      </c>
      <c r="B95" s="16" t="inlineStr">
        <is>
          <t>GET</t>
        </is>
      </c>
      <c r="C95" s="17" t="inlineStr">
        <is>
          <t>/v1/organizations/{organizationId}/purchase-limits</t>
        </is>
      </c>
      <c r="D95" s="17" t="inlineStr">
        <is>
          <t>OrganizationController</t>
        </is>
      </c>
      <c r="E95" s="17" t="inlineStr">
        <is>
          <t>đăng nhập</t>
        </is>
      </c>
      <c r="F95" s="17" t="inlineStr">
        <is>
          <t>OrganizationControllerTest, MemberManagementIT, TenantIsolationIT</t>
        </is>
      </c>
    </row>
    <row r="96">
      <c r="A96" s="17" t="inlineStr">
        <is>
          <t>identity-service</t>
        </is>
      </c>
      <c r="B96" s="16" t="inlineStr">
        <is>
          <t>PUT</t>
        </is>
      </c>
      <c r="C96" s="17" t="inlineStr">
        <is>
          <t>/v1/organizations/{organizationId}/purchase-limits</t>
        </is>
      </c>
      <c r="D96" s="17" t="inlineStr">
        <is>
          <t>OrganizationController</t>
        </is>
      </c>
      <c r="E96" s="17" t="inlineStr">
        <is>
          <t>ORG_LIMITS_SET</t>
        </is>
      </c>
      <c r="F96" s="17" t="inlineStr">
        <is>
          <t>OrganizationControllerTest, MemberManagementIT, TenantIsolationIT</t>
        </is>
      </c>
    </row>
    <row r="97">
      <c r="A97" s="17" t="inlineStr">
        <is>
          <t>identity-service</t>
        </is>
      </c>
      <c r="B97" s="16" t="inlineStr">
        <is>
          <t>GET</t>
        </is>
      </c>
      <c r="C97" s="17" t="inlineStr">
        <is>
          <t>/v1/organizations/{organizationId}/staff</t>
        </is>
      </c>
      <c r="D97" s="17" t="inlineStr">
        <is>
          <t>StaffController</t>
        </is>
      </c>
      <c r="E97" s="17" t="inlineStr">
        <is>
          <t>ORG_MEMBERS_MANAGE</t>
        </is>
      </c>
      <c r="F97" s="17" t="inlineStr">
        <is>
          <t>StaffAndInternalControllersTest, StaffInvitationIT</t>
        </is>
      </c>
    </row>
    <row r="98">
      <c r="A98" s="17" t="inlineStr">
        <is>
          <t>identity-service</t>
        </is>
      </c>
      <c r="B98" s="16" t="inlineStr">
        <is>
          <t>POST</t>
        </is>
      </c>
      <c r="C98" s="17" t="inlineStr">
        <is>
          <t>/v1/organizations/{organizationId}/staff</t>
        </is>
      </c>
      <c r="D98" s="17" t="inlineStr">
        <is>
          <t>StaffController</t>
        </is>
      </c>
      <c r="E98" s="17" t="inlineStr">
        <is>
          <t>ORG_MEMBERS_MANAGE</t>
        </is>
      </c>
      <c r="F98" s="17" t="inlineStr">
        <is>
          <t>StaffAndInternalControllersTest, StaffInvitationIT</t>
        </is>
      </c>
    </row>
    <row r="99">
      <c r="A99" s="17" t="inlineStr">
        <is>
          <t>identity-service</t>
        </is>
      </c>
      <c r="B99" s="16" t="inlineStr">
        <is>
          <t>POST</t>
        </is>
      </c>
      <c r="C99" s="17" t="inlineStr">
        <is>
          <t>/v1/organizations/{organizationId}/staff/accounts</t>
        </is>
      </c>
      <c r="D99" s="17" t="inlineStr">
        <is>
          <t>StaffController</t>
        </is>
      </c>
      <c r="E99" s="17" t="inlineStr">
        <is>
          <t>ORG_MEMBERS_MANAGE</t>
        </is>
      </c>
      <c r="F99" s="17" t="inlineStr">
        <is>
          <t>StaffAndInternalControllersTest, StaffInvitationIT</t>
        </is>
      </c>
    </row>
    <row r="100">
      <c r="A100" s="17" t="inlineStr">
        <is>
          <t>identity-service</t>
        </is>
      </c>
      <c r="B100" s="16" t="inlineStr">
        <is>
          <t>GET</t>
        </is>
      </c>
      <c r="C100" s="17" t="inlineStr">
        <is>
          <t>/v1/organizations/{organizationId}/staff/me/events</t>
        </is>
      </c>
      <c r="D100" s="17" t="inlineStr">
        <is>
          <t>StaffController</t>
        </is>
      </c>
      <c r="E100" s="17" t="inlineStr">
        <is>
          <t>CHECKIN_SCAN</t>
        </is>
      </c>
      <c r="F100" s="17" t="inlineStr">
        <is>
          <t>StaffAndInternalControllersTest, StaffInvitationIT</t>
        </is>
      </c>
    </row>
    <row r="101">
      <c r="A101" s="17" t="inlineStr">
        <is>
          <t>identity-service</t>
        </is>
      </c>
      <c r="B101" s="16" t="inlineStr">
        <is>
          <t>PUT</t>
        </is>
      </c>
      <c r="C101" s="17" t="inlineStr">
        <is>
          <t>/v1/organizations/{organizationId}/staff/{userId}/events</t>
        </is>
      </c>
      <c r="D101" s="17" t="inlineStr">
        <is>
          <t>StaffController</t>
        </is>
      </c>
      <c r="E101" s="17" t="inlineStr">
        <is>
          <t>ORG_MEMBERS_MANAGE</t>
        </is>
      </c>
      <c r="F101" s="17" t="inlineStr">
        <is>
          <t>StaffAndInternalControllersTest, StaffInvitationIT</t>
        </is>
      </c>
    </row>
    <row r="102">
      <c r="A102" s="17" t="inlineStr">
        <is>
          <t>identity-service</t>
        </is>
      </c>
      <c r="B102" s="16" t="inlineStr">
        <is>
          <t>POST</t>
        </is>
      </c>
      <c r="C102" s="17" t="inlineStr">
        <is>
          <t>/v1/organizations/{organizationId}/staff/{userId}/extend</t>
        </is>
      </c>
      <c r="D102" s="17" t="inlineStr">
        <is>
          <t>StaffController</t>
        </is>
      </c>
      <c r="E102" s="17" t="inlineStr">
        <is>
          <t>ORG_MEMBERS_MANAGE</t>
        </is>
      </c>
      <c r="F102" s="17" t="inlineStr">
        <is>
          <t>StaffAndInternalControllersTest, StaffInvitationIT</t>
        </is>
      </c>
    </row>
    <row r="103">
      <c r="A103" s="17" t="inlineStr">
        <is>
          <t>identity-service</t>
        </is>
      </c>
      <c r="B103" s="16" t="inlineStr">
        <is>
          <t>DELETE</t>
        </is>
      </c>
      <c r="C103" s="17" t="inlineStr">
        <is>
          <t>/v1/organizations/{organizationId}/staff/{userId}/invitation</t>
        </is>
      </c>
      <c r="D103" s="17" t="inlineStr">
        <is>
          <t>StaffController</t>
        </is>
      </c>
      <c r="E103" s="17" t="inlineStr">
        <is>
          <t>ORG_MEMBERS_MANAGE</t>
        </is>
      </c>
      <c r="F103" s="17" t="inlineStr">
        <is>
          <t>StaffAndInternalControllersTest, StaffInvitationIT</t>
        </is>
      </c>
    </row>
    <row r="104">
      <c r="A104" s="17" t="inlineStr">
        <is>
          <t>identity-service</t>
        </is>
      </c>
      <c r="B104" s="16" t="inlineStr">
        <is>
          <t>POST</t>
        </is>
      </c>
      <c r="C104" s="17" t="inlineStr">
        <is>
          <t>/v1/organizations/{organizationId}/staff/{userId}/invitation/resend</t>
        </is>
      </c>
      <c r="D104" s="17" t="inlineStr">
        <is>
          <t>StaffController</t>
        </is>
      </c>
      <c r="E104" s="17" t="inlineStr">
        <is>
          <t>ORG_MEMBERS_MANAGE</t>
        </is>
      </c>
      <c r="F104" s="17" t="inlineStr">
        <is>
          <t>StaffAndInternalControllersTest, StaffInvitationIT</t>
        </is>
      </c>
    </row>
    <row r="105">
      <c r="A105" s="17" t="inlineStr">
        <is>
          <t>identity-service</t>
        </is>
      </c>
      <c r="B105" s="16" t="inlineStr">
        <is>
          <t>POST</t>
        </is>
      </c>
      <c r="C105" s="17" t="inlineStr">
        <is>
          <t>/v1/organizations/{organizationId}/staff/{userId}/lock</t>
        </is>
      </c>
      <c r="D105" s="17" t="inlineStr">
        <is>
          <t>StaffController</t>
        </is>
      </c>
      <c r="E105" s="17" t="inlineStr">
        <is>
          <t>ORG_MEMBERS_MANAGE</t>
        </is>
      </c>
      <c r="F105" s="17" t="inlineStr">
        <is>
          <t>StaffAndInternalControllersTest, StaffInvitationIT</t>
        </is>
      </c>
    </row>
    <row r="106">
      <c r="A106" s="17" t="inlineStr">
        <is>
          <t>identity-service</t>
        </is>
      </c>
      <c r="B106" s="16" t="inlineStr">
        <is>
          <t>POST</t>
        </is>
      </c>
      <c r="C106" s="17" t="inlineStr">
        <is>
          <t>/v1/organizations/{organizationId}/staff/{userId}/pin</t>
        </is>
      </c>
      <c r="D106" s="17" t="inlineStr">
        <is>
          <t>StaffController</t>
        </is>
      </c>
      <c r="E106" s="17" t="inlineStr">
        <is>
          <t>ORG_MEMBERS_MANAGE</t>
        </is>
      </c>
      <c r="F106" s="17" t="inlineStr">
        <is>
          <t>StaffAndInternalControllersTest, StaffInvitationIT</t>
        </is>
      </c>
    </row>
    <row r="107">
      <c r="A107" s="17" t="inlineStr">
        <is>
          <t>identity-service</t>
        </is>
      </c>
      <c r="B107" s="16" t="inlineStr">
        <is>
          <t>POST</t>
        </is>
      </c>
      <c r="C107" s="17" t="inlineStr">
        <is>
          <t>/v1/organizations/{organizationId}/staff/{userId}/unlock</t>
        </is>
      </c>
      <c r="D107" s="17" t="inlineStr">
        <is>
          <t>StaffController</t>
        </is>
      </c>
      <c r="E107" s="17" t="inlineStr">
        <is>
          <t>ORG_MEMBERS_MANAGE</t>
        </is>
      </c>
      <c r="F107" s="17" t="inlineStr">
        <is>
          <t>StaffAndInternalControllersTest, StaffInvitationIT</t>
        </is>
      </c>
    </row>
    <row r="108">
      <c r="A108" s="17" t="inlineStr">
        <is>
          <t>identity-service</t>
        </is>
      </c>
      <c r="B108" s="16" t="inlineStr">
        <is>
          <t>GET</t>
        </is>
      </c>
      <c r="C108" s="17" t="inlineStr">
        <is>
          <t>/v1/platform/audit-logs</t>
        </is>
      </c>
      <c r="D108" s="17" t="inlineStr">
        <is>
          <t>PlatformUserController</t>
        </is>
      </c>
      <c r="E108" s="17" t="inlineStr">
        <is>
          <t>PLATFORM_AUDIT_READ</t>
        </is>
      </c>
      <c r="F108" s="17" t="inlineStr">
        <is>
          <t>PermissionGuardWiringIT</t>
        </is>
      </c>
    </row>
    <row r="109">
      <c r="A109" s="17" t="inlineStr">
        <is>
          <t>identity-service</t>
        </is>
      </c>
      <c r="B109" s="16" t="inlineStr">
        <is>
          <t>GET</t>
        </is>
      </c>
      <c r="C109" s="17" t="inlineStr">
        <is>
          <t>/v1/platform/organizations</t>
        </is>
      </c>
      <c r="D109" s="17" t="inlineStr">
        <is>
          <t>PlatformOrganizationController</t>
        </is>
      </c>
      <c r="E109" s="17" t="inlineStr">
        <is>
          <t>đăng nhập</t>
        </is>
      </c>
      <c r="F109" s="17" t="inlineStr">
        <is>
          <t>PlatformControllersTest</t>
        </is>
      </c>
    </row>
    <row r="110">
      <c r="A110" s="17" t="inlineStr">
        <is>
          <t>identity-service</t>
        </is>
      </c>
      <c r="B110" s="16" t="inlineStr">
        <is>
          <t>POST</t>
        </is>
      </c>
      <c r="C110" s="17" t="inlineStr">
        <is>
          <t>/v1/platform/organizations</t>
        </is>
      </c>
      <c r="D110" s="17" t="inlineStr">
        <is>
          <t>PlatformOrganizationController</t>
        </is>
      </c>
      <c r="E110" s="17" t="inlineStr">
        <is>
          <t>PLATFORM_ORG_MANAGE</t>
        </is>
      </c>
      <c r="F110" s="17" t="inlineStr">
        <is>
          <t>PlatformControllersTest</t>
        </is>
      </c>
    </row>
    <row r="111">
      <c r="A111" s="17" t="inlineStr">
        <is>
          <t>identity-service</t>
        </is>
      </c>
      <c r="B111" s="16" t="inlineStr">
        <is>
          <t>POST</t>
        </is>
      </c>
      <c r="C111" s="17" t="inlineStr">
        <is>
          <t>/v1/platform/organizations/{organizationId}/activate</t>
        </is>
      </c>
      <c r="D111" s="17" t="inlineStr">
        <is>
          <t>PlatformOrganizationController</t>
        </is>
      </c>
      <c r="E111" s="17" t="inlineStr">
        <is>
          <t>PLATFORM_ORG_MANAGE</t>
        </is>
      </c>
      <c r="F111" s="17" t="inlineStr">
        <is>
          <t>PlatformControllersTest</t>
        </is>
      </c>
    </row>
    <row r="112">
      <c r="A112" s="17" t="inlineStr">
        <is>
          <t>identity-service</t>
        </is>
      </c>
      <c r="B112" s="16" t="inlineStr">
        <is>
          <t>POST</t>
        </is>
      </c>
      <c r="C112" s="17" t="inlineStr">
        <is>
          <t>/v1/platform/organizations/{organizationId}/members</t>
        </is>
      </c>
      <c r="D112" s="17" t="inlineStr">
        <is>
          <t>PlatformOrganizationController</t>
        </is>
      </c>
      <c r="E112" s="17" t="inlineStr">
        <is>
          <t>PLATFORM_ORG_MANAGE</t>
        </is>
      </c>
      <c r="F112" s="17" t="inlineStr">
        <is>
          <t>PlatformControllersTest</t>
        </is>
      </c>
    </row>
    <row r="113">
      <c r="A113" s="17" t="inlineStr">
        <is>
          <t>identity-service</t>
        </is>
      </c>
      <c r="B113" s="16" t="inlineStr">
        <is>
          <t>POST</t>
        </is>
      </c>
      <c r="C113" s="17" t="inlineStr">
        <is>
          <t>/v1/platform/organizations/{organizationId}/suspend</t>
        </is>
      </c>
      <c r="D113" s="17" t="inlineStr">
        <is>
          <t>PlatformOrganizationController</t>
        </is>
      </c>
      <c r="E113" s="17" t="inlineStr">
        <is>
          <t>PLATFORM_ORG_MANAGE</t>
        </is>
      </c>
      <c r="F113" s="17" t="inlineStr">
        <is>
          <t>PlatformControllersTest</t>
        </is>
      </c>
    </row>
    <row r="114">
      <c r="A114" s="17" t="inlineStr">
        <is>
          <t>identity-service</t>
        </is>
      </c>
      <c r="B114" s="16" t="inlineStr">
        <is>
          <t>POST</t>
        </is>
      </c>
      <c r="C114" s="17" t="inlineStr">
        <is>
          <t>/v1/platform/users/{userId}/disable</t>
        </is>
      </c>
      <c r="D114" s="17" t="inlineStr">
        <is>
          <t>PlatformUserController</t>
        </is>
      </c>
      <c r="E114" s="17" t="inlineStr">
        <is>
          <t>PLATFORM_USER_MANAGE</t>
        </is>
      </c>
      <c r="F114" s="17" t="inlineStr">
        <is>
          <t>PermissionGuardWiringIT</t>
        </is>
      </c>
    </row>
    <row r="115">
      <c r="A115" s="17" t="inlineStr">
        <is>
          <t>identity-service</t>
        </is>
      </c>
      <c r="B115" s="16" t="inlineStr">
        <is>
          <t>POST</t>
        </is>
      </c>
      <c r="C115" s="17" t="inlineStr">
        <is>
          <t>/v1/platform/users/{userId}/enable</t>
        </is>
      </c>
      <c r="D115" s="17" t="inlineStr">
        <is>
          <t>PlatformUserController</t>
        </is>
      </c>
      <c r="E115" s="17" t="inlineStr">
        <is>
          <t>PLATFORM_USER_MANAGE</t>
        </is>
      </c>
      <c r="F115" s="17" t="inlineStr">
        <is>
          <t>PermissionGuardWiringIT</t>
        </is>
      </c>
    </row>
    <row r="116">
      <c r="A116" s="17" t="inlineStr">
        <is>
          <t>identity-service</t>
        </is>
      </c>
      <c r="B116" s="16" t="inlineStr">
        <is>
          <t>POST</t>
        </is>
      </c>
      <c r="C116" s="17" t="inlineStr">
        <is>
          <t>/v1/platform/users/{userId}/password-reset</t>
        </is>
      </c>
      <c r="D116" s="17" t="inlineStr">
        <is>
          <t>PlatformUserController</t>
        </is>
      </c>
      <c r="E116" s="17" t="inlineStr">
        <is>
          <t>PLATFORM_USER_MANAGE</t>
        </is>
      </c>
      <c r="F116" s="17" t="inlineStr">
        <is>
          <t>PermissionGuardWiringIT</t>
        </is>
      </c>
    </row>
    <row r="117">
      <c r="A117" s="17" t="inlineStr">
        <is>
          <t>identity-service</t>
        </is>
      </c>
      <c r="B117" s="16" t="inlineStr">
        <is>
          <t>DELETE</t>
        </is>
      </c>
      <c r="C117" s="17" t="inlineStr">
        <is>
          <t>/v1/platform/users/{userId}/sessions</t>
        </is>
      </c>
      <c r="D117" s="17" t="inlineStr">
        <is>
          <t>PlatformUserController</t>
        </is>
      </c>
      <c r="E117" s="17" t="inlineStr">
        <is>
          <t>PLATFORM_USER_MANAGE</t>
        </is>
      </c>
      <c r="F117" s="17" t="inlineStr">
        <is>
          <t>PermissionGuardWiringIT</t>
        </is>
      </c>
    </row>
    <row r="118">
      <c r="A118" s="17" t="inlineStr">
        <is>
          <t>identity-service</t>
        </is>
      </c>
      <c r="B118" s="16" t="inlineStr">
        <is>
          <t>DELETE</t>
        </is>
      </c>
      <c r="C118" s="17" t="inlineStr">
        <is>
          <t>/v1/platform/users/{userId}/sessions/{sessionId}</t>
        </is>
      </c>
      <c r="D118" s="17" t="inlineStr">
        <is>
          <t>PlatformUserController</t>
        </is>
      </c>
      <c r="E118" s="17" t="inlineStr">
        <is>
          <t>PLATFORM_USER_MANAGE</t>
        </is>
      </c>
      <c r="F118" s="17" t="inlineStr">
        <is>
          <t>PermissionGuardWiringIT</t>
        </is>
      </c>
    </row>
    <row r="119">
      <c r="A119" s="17" t="inlineStr">
        <is>
          <t>identity-service</t>
        </is>
      </c>
      <c r="B119" s="16" t="inlineStr">
        <is>
          <t>GET</t>
        </is>
      </c>
      <c r="C119" s="17" t="inlineStr">
        <is>
          <t>/v1/roles</t>
        </is>
      </c>
      <c r="D119" s="17" t="inlineStr">
        <is>
          <t>AccessController</t>
        </is>
      </c>
      <c r="E119" s="17" t="inlineStr">
        <is>
          <t>đăng nhập</t>
        </is>
      </c>
      <c r="F119" s="17" t="inlineStr">
        <is>
          <t>MeAndAccessControllerTest, AccessControlIT</t>
        </is>
      </c>
    </row>
    <row r="120">
      <c r="A120" s="17" t="inlineStr">
        <is>
          <t>identity-service</t>
        </is>
      </c>
      <c r="B120" s="16" t="inlineStr">
        <is>
          <t>GET</t>
        </is>
      </c>
      <c r="C120" s="17" t="inlineStr">
        <is>
          <t>/v1/staff-accounts/status</t>
        </is>
      </c>
      <c r="D120" s="17" t="inlineStr">
        <is>
          <t>StaffAccountStatusController</t>
        </is>
      </c>
      <c r="E120" s="17" t="inlineStr">
        <is>
          <t>đăng nhập</t>
        </is>
      </c>
      <c r="F120" s="17" t="inlineStr"/>
    </row>
    <row r="121">
      <c r="A121" s="17" t="inlineStr">
        <is>
          <t>inventory-service</t>
        </is>
      </c>
      <c r="B121" s="16" t="inlineStr">
        <is>
          <t>POST</t>
        </is>
      </c>
      <c r="C121" s="17" t="inlineStr">
        <is>
          <t>/internal/reservations</t>
        </is>
      </c>
      <c r="D121" s="17" t="inlineStr">
        <is>
          <t>InternalReservationController</t>
        </is>
      </c>
      <c r="E121" s="17" t="inlineStr">
        <is>
          <t>internal</t>
        </is>
      </c>
      <c r="F121" s="17" t="inlineStr">
        <is>
          <t>InternalReservationControllerTest</t>
        </is>
      </c>
    </row>
    <row r="122">
      <c r="A122" s="17" t="inlineStr">
        <is>
          <t>inventory-service</t>
        </is>
      </c>
      <c r="B122" s="16" t="inlineStr">
        <is>
          <t>DELETE</t>
        </is>
      </c>
      <c r="C122" s="17" t="inlineStr">
        <is>
          <t>/internal/reservations/{orderId}</t>
        </is>
      </c>
      <c r="D122" s="17" t="inlineStr">
        <is>
          <t>InternalReservationController</t>
        </is>
      </c>
      <c r="E122" s="17" t="inlineStr">
        <is>
          <t>internal</t>
        </is>
      </c>
      <c r="F122" s="17" t="inlineStr">
        <is>
          <t>InternalReservationControllerTest</t>
        </is>
      </c>
    </row>
    <row r="123">
      <c r="A123" s="17" t="inlineStr">
        <is>
          <t>inventory-service</t>
        </is>
      </c>
      <c r="B123" s="16" t="inlineStr">
        <is>
          <t>POST</t>
        </is>
      </c>
      <c r="C123" s="17" t="inlineStr">
        <is>
          <t>/internal/reservations/{orderId}/settle</t>
        </is>
      </c>
      <c r="D123" s="17" t="inlineStr">
        <is>
          <t>InternalReservationController</t>
        </is>
      </c>
      <c r="E123" s="17" t="inlineStr">
        <is>
          <t>internal</t>
        </is>
      </c>
      <c r="F123" s="17" t="inlineStr">
        <is>
          <t>InternalReservationControllerTest</t>
        </is>
      </c>
    </row>
    <row r="124">
      <c r="A124" s="17" t="inlineStr">
        <is>
          <t>inventory-service</t>
        </is>
      </c>
      <c r="B124" s="16" t="inlineStr">
        <is>
          <t>GET</t>
        </is>
      </c>
      <c r="C124" s="17" t="inlineStr">
        <is>
          <t>/internal/sessions/{eventSessionId}/seat-status</t>
        </is>
      </c>
      <c r="D124" s="17" t="inlineStr">
        <is>
          <t>InternalSeatStatusController</t>
        </is>
      </c>
      <c r="E124" s="17" t="inlineStr">
        <is>
          <t>internal</t>
        </is>
      </c>
      <c r="F124" s="17" t="inlineStr">
        <is>
          <t>InternalSeatStatusControllerTest</t>
        </is>
      </c>
    </row>
    <row r="125">
      <c r="A125" s="17" t="inlineStr">
        <is>
          <t>inventory-service</t>
        </is>
      </c>
      <c r="B125" s="16" t="inlineStr">
        <is>
          <t>DELETE</t>
        </is>
      </c>
      <c r="C125" s="17" t="inlineStr">
        <is>
          <t>/v1/holds/{holdId}</t>
        </is>
      </c>
      <c r="D125" s="17" t="inlineStr">
        <is>
          <t>HoldController</t>
        </is>
      </c>
      <c r="E125" s="17" t="inlineStr">
        <is>
          <t>đăng nhập</t>
        </is>
      </c>
      <c r="F125" s="17" t="inlineStr">
        <is>
          <t>HoldControllerTest</t>
        </is>
      </c>
    </row>
    <row r="126">
      <c r="A126" s="17" t="inlineStr">
        <is>
          <t>inventory-service</t>
        </is>
      </c>
      <c r="B126" s="16" t="inlineStr">
        <is>
          <t>GET</t>
        </is>
      </c>
      <c r="C126" s="17" t="inlineStr">
        <is>
          <t>/v1/organizations/{organizationId}/stats/inventory/stock</t>
        </is>
      </c>
      <c r="D126" s="17" t="inlineStr">
        <is>
          <t>OrganizationSeatStatsController</t>
        </is>
      </c>
      <c r="E126" s="17" t="inlineStr">
        <is>
          <t>đăng nhập</t>
        </is>
      </c>
      <c r="F126" s="17" t="inlineStr">
        <is>
          <t>OrganizationSeatStatsControllerTest</t>
        </is>
      </c>
    </row>
    <row r="127">
      <c r="A127" s="17" t="inlineStr">
        <is>
          <t>inventory-service</t>
        </is>
      </c>
      <c r="B127" s="16" t="inlineStr">
        <is>
          <t>POST</t>
        </is>
      </c>
      <c r="C127" s="17" t="inlineStr">
        <is>
          <t>/v1/sessions/{eventSessionId}/holds</t>
        </is>
      </c>
      <c r="D127" s="17" t="inlineStr">
        <is>
          <t>HoldController</t>
        </is>
      </c>
      <c r="E127" s="17" t="inlineStr">
        <is>
          <t>đăng nhập</t>
        </is>
      </c>
      <c r="F127" s="17" t="inlineStr">
        <is>
          <t>HoldControllerTest</t>
        </is>
      </c>
    </row>
    <row r="128">
      <c r="A128" s="17" t="inlineStr">
        <is>
          <t>inventory-service</t>
        </is>
      </c>
      <c r="B128" s="16" t="inlineStr">
        <is>
          <t>GET</t>
        </is>
      </c>
      <c r="C128" s="17" t="inlineStr">
        <is>
          <t>/v1/sessions/{eventSessionId}/seats</t>
        </is>
      </c>
      <c r="D128" s="17" t="inlineStr">
        <is>
          <t>SeatMapController</t>
        </is>
      </c>
      <c r="E128" s="17" t="inlineStr">
        <is>
          <t>đăng nhập</t>
        </is>
      </c>
      <c r="F128" s="17" t="inlineStr">
        <is>
          <t>SeatMapCompressionIT, SeatMapControllerTest</t>
        </is>
      </c>
    </row>
    <row r="129">
      <c r="A129" s="17" t="inlineStr">
        <is>
          <t>ledger-service</t>
        </is>
      </c>
      <c r="B129" s="16" t="inlineStr">
        <is>
          <t>GET</t>
        </is>
      </c>
      <c r="C129" s="17" t="inlineStr">
        <is>
          <t>/v1/platform/organizations/{organizationId}/balance</t>
        </is>
      </c>
      <c r="D129" s="17" t="inlineStr">
        <is>
          <t>PlatformLedgerController</t>
        </is>
      </c>
      <c r="E129" s="17" t="inlineStr">
        <is>
          <t>đăng nhập</t>
        </is>
      </c>
      <c r="F129" s="17" t="inlineStr">
        <is>
          <t>PlatformLedgerControllerWebTest</t>
        </is>
      </c>
    </row>
    <row r="130">
      <c r="A130" s="17" t="inlineStr">
        <is>
          <t>ledger-service</t>
        </is>
      </c>
      <c r="B130" s="16" t="inlineStr">
        <is>
          <t>GET</t>
        </is>
      </c>
      <c r="C130" s="17" t="inlineStr">
        <is>
          <t>/v1/platform/trial-balance</t>
        </is>
      </c>
      <c r="D130" s="17" t="inlineStr">
        <is>
          <t>PlatformLedgerController</t>
        </is>
      </c>
      <c r="E130" s="17" t="inlineStr">
        <is>
          <t>đăng nhập</t>
        </is>
      </c>
      <c r="F130" s="17" t="inlineStr">
        <is>
          <t>PlatformLedgerControllerWebTest</t>
        </is>
      </c>
    </row>
    <row r="131">
      <c r="A131" s="17" t="inlineStr">
        <is>
          <t>ordering-service</t>
        </is>
      </c>
      <c r="B131" s="16" t="inlineStr">
        <is>
          <t>POST</t>
        </is>
      </c>
      <c r="C131" s="17" t="inlineStr">
        <is>
          <t>/internal/orders/statuses</t>
        </is>
      </c>
      <c r="D131" s="17" t="inlineStr">
        <is>
          <t>InternalOrderController</t>
        </is>
      </c>
      <c r="E131" s="17" t="inlineStr">
        <is>
          <t>internal</t>
        </is>
      </c>
      <c r="F131" s="17" t="inlineStr">
        <is>
          <t>InternalOrderControllerTest</t>
        </is>
      </c>
    </row>
    <row r="132">
      <c r="A132" s="17" t="inlineStr">
        <is>
          <t>ordering-service</t>
        </is>
      </c>
      <c r="B132" s="16" t="inlineStr">
        <is>
          <t>GET</t>
        </is>
      </c>
      <c r="C132" s="17" t="inlineStr">
        <is>
          <t>/internal/orders/{orderId}</t>
        </is>
      </c>
      <c r="D132" s="17" t="inlineStr">
        <is>
          <t>InternalOrderController</t>
        </is>
      </c>
      <c r="E132" s="17" t="inlineStr">
        <is>
          <t>internal</t>
        </is>
      </c>
      <c r="F132" s="17" t="inlineStr">
        <is>
          <t>InternalOrderControllerTest</t>
        </is>
      </c>
    </row>
    <row r="133">
      <c r="A133" s="17" t="inlineStr">
        <is>
          <t>ordering-service</t>
        </is>
      </c>
      <c r="B133" s="16" t="inlineStr">
        <is>
          <t>POST</t>
        </is>
      </c>
      <c r="C133" s="17" t="inlineStr">
        <is>
          <t>/internal/orders/{orderId}/confirm-payment</t>
        </is>
      </c>
      <c r="D133" s="17" t="inlineStr">
        <is>
          <t>InternalOrderController</t>
        </is>
      </c>
      <c r="E133" s="17" t="inlineStr">
        <is>
          <t>internal</t>
        </is>
      </c>
      <c r="F133" s="17" t="inlineStr">
        <is>
          <t>InternalOrderControllerTest</t>
        </is>
      </c>
    </row>
    <row r="134">
      <c r="A134" s="17" t="inlineStr">
        <is>
          <t>ordering-service</t>
        </is>
      </c>
      <c r="B134" s="16" t="inlineStr">
        <is>
          <t>GET</t>
        </is>
      </c>
      <c r="C134" s="17" t="inlineStr">
        <is>
          <t>/v1/me/orders</t>
        </is>
      </c>
      <c r="D134" s="17" t="inlineStr">
        <is>
          <t>OrderController</t>
        </is>
      </c>
      <c r="E134" s="17" t="inlineStr">
        <is>
          <t>đăng nhập</t>
        </is>
      </c>
      <c r="F134" s="17" t="inlineStr">
        <is>
          <t>OrderControllerTest</t>
        </is>
      </c>
    </row>
    <row r="135">
      <c r="A135" s="17" t="inlineStr">
        <is>
          <t>ordering-service</t>
        </is>
      </c>
      <c r="B135" s="16" t="inlineStr">
        <is>
          <t>POST</t>
        </is>
      </c>
      <c r="C135" s="17" t="inlineStr">
        <is>
          <t>/v1/orders</t>
        </is>
      </c>
      <c r="D135" s="17" t="inlineStr">
        <is>
          <t>OrderController</t>
        </is>
      </c>
      <c r="E135" s="17" t="inlineStr">
        <is>
          <t>đăng nhập</t>
        </is>
      </c>
      <c r="F135" s="17" t="inlineStr">
        <is>
          <t>OrderControllerTest</t>
        </is>
      </c>
    </row>
    <row r="136">
      <c r="A136" s="17" t="inlineStr">
        <is>
          <t>ordering-service</t>
        </is>
      </c>
      <c r="B136" s="16" t="inlineStr">
        <is>
          <t>GET</t>
        </is>
      </c>
      <c r="C136" s="17" t="inlineStr">
        <is>
          <t>/v1/orders/{orderId}</t>
        </is>
      </c>
      <c r="D136" s="17" t="inlineStr">
        <is>
          <t>OrderController</t>
        </is>
      </c>
      <c r="E136" s="17" t="inlineStr">
        <is>
          <t>đăng nhập</t>
        </is>
      </c>
      <c r="F136" s="17" t="inlineStr">
        <is>
          <t>OrderControllerTest</t>
        </is>
      </c>
    </row>
    <row r="137">
      <c r="A137" s="17" t="inlineStr">
        <is>
          <t>ordering-service</t>
        </is>
      </c>
      <c r="B137" s="16" t="inlineStr">
        <is>
          <t>POST</t>
        </is>
      </c>
      <c r="C137" s="17" t="inlineStr">
        <is>
          <t>/v1/orders/{orderId}/cancel</t>
        </is>
      </c>
      <c r="D137" s="17" t="inlineStr">
        <is>
          <t>OrderController</t>
        </is>
      </c>
      <c r="E137" s="17" t="inlineStr">
        <is>
          <t>đăng nhập</t>
        </is>
      </c>
      <c r="F137" s="17" t="inlineStr">
        <is>
          <t>OrderControllerTest</t>
        </is>
      </c>
    </row>
    <row r="138">
      <c r="A138" s="17" t="inlineStr">
        <is>
          <t>ordering-service</t>
        </is>
      </c>
      <c r="B138" s="16" t="inlineStr">
        <is>
          <t>GET</t>
        </is>
      </c>
      <c r="C138" s="17" t="inlineStr">
        <is>
          <t>/v1/organizations/{organizationId}/stats/orders/breakdown</t>
        </is>
      </c>
      <c r="D138" s="17" t="inlineStr">
        <is>
          <t>OrganizationStatsController</t>
        </is>
      </c>
      <c r="E138" s="17" t="inlineStr">
        <is>
          <t>đăng nhập</t>
        </is>
      </c>
      <c r="F138" s="17" t="inlineStr">
        <is>
          <t>OrganizationStatsControllerTest</t>
        </is>
      </c>
    </row>
    <row r="139">
      <c r="A139" s="17" t="inlineStr">
        <is>
          <t>ordering-service</t>
        </is>
      </c>
      <c r="B139" s="16" t="inlineStr">
        <is>
          <t>GET</t>
        </is>
      </c>
      <c r="C139" s="17" t="inlineStr">
        <is>
          <t>/v1/organizations/{organizationId}/stats/orders/customers</t>
        </is>
      </c>
      <c r="D139" s="17" t="inlineStr">
        <is>
          <t>OrganizationStatsController</t>
        </is>
      </c>
      <c r="E139" s="17" t="inlineStr">
        <is>
          <t>đăng nhập</t>
        </is>
      </c>
      <c r="F139" s="17" t="inlineStr">
        <is>
          <t>OrganizationStatsControllerTest</t>
        </is>
      </c>
    </row>
    <row r="140">
      <c r="A140" s="17" t="inlineStr">
        <is>
          <t>ordering-service</t>
        </is>
      </c>
      <c r="B140" s="16" t="inlineStr">
        <is>
          <t>GET</t>
        </is>
      </c>
      <c r="C140" s="17" t="inlineStr">
        <is>
          <t>/v1/organizations/{organizationId}/stats/orders/distribution</t>
        </is>
      </c>
      <c r="D140" s="17" t="inlineStr">
        <is>
          <t>OrganizationStatsController</t>
        </is>
      </c>
      <c r="E140" s="17" t="inlineStr">
        <is>
          <t>đăng nhập</t>
        </is>
      </c>
      <c r="F140" s="17" t="inlineStr">
        <is>
          <t>OrganizationStatsControllerTest</t>
        </is>
      </c>
    </row>
    <row r="141">
      <c r="A141" s="17" t="inlineStr">
        <is>
          <t>ordering-service</t>
        </is>
      </c>
      <c r="B141" s="16" t="inlineStr">
        <is>
          <t>GET</t>
        </is>
      </c>
      <c r="C141" s="17" t="inlineStr">
        <is>
          <t>/v1/organizations/{organizationId}/stats/orders/heatmap</t>
        </is>
      </c>
      <c r="D141" s="17" t="inlineStr">
        <is>
          <t>OrganizationStatsController</t>
        </is>
      </c>
      <c r="E141" s="17" t="inlineStr">
        <is>
          <t>đăng nhập</t>
        </is>
      </c>
      <c r="F141" s="17" t="inlineStr">
        <is>
          <t>OrganizationStatsControllerTest</t>
        </is>
      </c>
    </row>
    <row r="142">
      <c r="A142" s="17" t="inlineStr">
        <is>
          <t>ordering-service</t>
        </is>
      </c>
      <c r="B142" s="16" t="inlineStr">
        <is>
          <t>GET</t>
        </is>
      </c>
      <c r="C142" s="17" t="inlineStr">
        <is>
          <t>/v1/organizations/{organizationId}/stats/orders/list</t>
        </is>
      </c>
      <c r="D142" s="17" t="inlineStr">
        <is>
          <t>OrganizationStatsController</t>
        </is>
      </c>
      <c r="E142" s="17" t="inlineStr">
        <is>
          <t>đăng nhập</t>
        </is>
      </c>
      <c r="F142" s="17" t="inlineStr">
        <is>
          <t>OrganizationStatsControllerTest</t>
        </is>
      </c>
    </row>
    <row r="143">
      <c r="A143" s="17" t="inlineStr">
        <is>
          <t>ordering-service</t>
        </is>
      </c>
      <c r="B143" s="16" t="inlineStr">
        <is>
          <t>GET</t>
        </is>
      </c>
      <c r="C143" s="17" t="inlineStr">
        <is>
          <t>/v1/organizations/{organizationId}/stats/orders/summary</t>
        </is>
      </c>
      <c r="D143" s="17" t="inlineStr">
        <is>
          <t>OrganizationStatsController</t>
        </is>
      </c>
      <c r="E143" s="17" t="inlineStr">
        <is>
          <t>đăng nhập</t>
        </is>
      </c>
      <c r="F143" s="17" t="inlineStr">
        <is>
          <t>OrganizationStatsControllerTest</t>
        </is>
      </c>
    </row>
    <row r="144">
      <c r="A144" s="17" t="inlineStr">
        <is>
          <t>ordering-service</t>
        </is>
      </c>
      <c r="B144" s="16" t="inlineStr">
        <is>
          <t>GET</t>
        </is>
      </c>
      <c r="C144" s="17" t="inlineStr">
        <is>
          <t>/v1/organizations/{organizationId}/stats/orders/timeseries</t>
        </is>
      </c>
      <c r="D144" s="17" t="inlineStr">
        <is>
          <t>OrganizationStatsController</t>
        </is>
      </c>
      <c r="E144" s="17" t="inlineStr">
        <is>
          <t>đăng nhập</t>
        </is>
      </c>
      <c r="F144" s="17" t="inlineStr">
        <is>
          <t>OrganizationStatsControllerTest</t>
        </is>
      </c>
    </row>
    <row r="145">
      <c r="A145" s="17" t="inlineStr">
        <is>
          <t>payment-service</t>
        </is>
      </c>
      <c r="B145" s="16" t="inlineStr">
        <is>
          <t>POST</t>
        </is>
      </c>
      <c r="C145" s="17" t="inlineStr">
        <is>
          <t>/api/billing/bank/webhook/payos</t>
        </is>
      </c>
      <c r="D145" s="17" t="inlineStr">
        <is>
          <t>PayosWebhookController</t>
        </is>
      </c>
      <c r="E145" s="17" t="inlineStr">
        <is>
          <t>đăng nhập</t>
        </is>
      </c>
      <c r="F145" s="17" t="inlineStr">
        <is>
          <t>PayosWebhookControllerWebTest</t>
        </is>
      </c>
    </row>
    <row r="146">
      <c r="A146" s="17" t="inlineStr">
        <is>
          <t>payment-service</t>
        </is>
      </c>
      <c r="B146" s="16" t="inlineStr">
        <is>
          <t>POST</t>
        </is>
      </c>
      <c r="C146" s="17" t="inlineStr">
        <is>
          <t>/internal/payment-intents</t>
        </is>
      </c>
      <c r="D146" s="17" t="inlineStr">
        <is>
          <t>InternalPaymentController</t>
        </is>
      </c>
      <c r="E146" s="17" t="inlineStr">
        <is>
          <t>internal</t>
        </is>
      </c>
      <c r="F146" s="17" t="inlineStr">
        <is>
          <t>InternalPaymentControllerWebTest</t>
        </is>
      </c>
    </row>
    <row r="147">
      <c r="A147" s="17" t="inlineStr">
        <is>
          <t>payment-service</t>
        </is>
      </c>
      <c r="B147" s="16" t="inlineStr">
        <is>
          <t>DELETE</t>
        </is>
      </c>
      <c r="C147" s="17" t="inlineStr">
        <is>
          <t>/internal/payment-intents/{orderId}</t>
        </is>
      </c>
      <c r="D147" s="17" t="inlineStr">
        <is>
          <t>InternalPaymentController</t>
        </is>
      </c>
      <c r="E147" s="17" t="inlineStr">
        <is>
          <t>internal</t>
        </is>
      </c>
      <c r="F147" s="17" t="inlineStr">
        <is>
          <t>InternalPaymentControllerWebTest</t>
        </is>
      </c>
    </row>
    <row r="148">
      <c r="A148" s="17" t="inlineStr">
        <is>
          <t>payment-service</t>
        </is>
      </c>
      <c r="B148" s="16" t="inlineStr">
        <is>
          <t>POST</t>
        </is>
      </c>
      <c r="C148" s="17" t="inlineStr">
        <is>
          <t>/internal/payment-intents/{orderId}/reconcile</t>
        </is>
      </c>
      <c r="D148" s="17" t="inlineStr">
        <is>
          <t>InternalPaymentController</t>
        </is>
      </c>
      <c r="E148" s="17" t="inlineStr">
        <is>
          <t>internal</t>
        </is>
      </c>
      <c r="F148" s="17" t="inlineStr">
        <is>
          <t>InternalPaymentControllerWebTest</t>
        </is>
      </c>
    </row>
    <row r="149">
      <c r="A149" s="17" t="inlineStr">
        <is>
          <t>payment-service</t>
        </is>
      </c>
      <c r="B149" s="16" t="inlineStr">
        <is>
          <t>POST</t>
        </is>
      </c>
      <c r="C149" s="17" t="inlineStr">
        <is>
          <t>/internal/payment-intents/{orderId}/simulate-transfer</t>
        </is>
      </c>
      <c r="D149" s="17" t="inlineStr">
        <is>
          <t>InternalPaymentController</t>
        </is>
      </c>
      <c r="E149" s="17" t="inlineStr">
        <is>
          <t>internal</t>
        </is>
      </c>
      <c r="F149" s="17" t="inlineStr">
        <is>
          <t>InternalPaymentControllerWebTest</t>
        </is>
      </c>
    </row>
    <row r="150">
      <c r="A150" s="17" t="inlineStr">
        <is>
          <t>payment-service</t>
        </is>
      </c>
      <c r="B150" s="16" t="inlineStr">
        <is>
          <t>POST</t>
        </is>
      </c>
      <c r="C150" s="17" t="inlineStr">
        <is>
          <t>/internal/payos/confirm-webhook</t>
        </is>
      </c>
      <c r="D150" s="17" t="inlineStr">
        <is>
          <t>InternalPayosAdminController</t>
        </is>
      </c>
      <c r="E150" s="17" t="inlineStr">
        <is>
          <t>internal</t>
        </is>
      </c>
      <c r="F150" s="17" t="inlineStr">
        <is>
          <t>InternalPayosAdminControllerWebTest</t>
        </is>
      </c>
    </row>
    <row r="151">
      <c r="A151" s="17" t="inlineStr">
        <is>
          <t>payout-service</t>
        </is>
      </c>
      <c r="B151" s="16" t="inlineStr">
        <is>
          <t>POST</t>
        </is>
      </c>
      <c r="C151" s="17" t="inlineStr">
        <is>
          <t>/v1/platform/payouts</t>
        </is>
      </c>
      <c r="D151" s="17" t="inlineStr">
        <is>
          <t>PlatformPayoutController</t>
        </is>
      </c>
      <c r="E151" s="17" t="inlineStr">
        <is>
          <t>đăng nhập</t>
        </is>
      </c>
      <c r="F151" s="17" t="inlineStr">
        <is>
          <t>PlatformPayoutControllerWebTest</t>
        </is>
      </c>
    </row>
    <row r="152">
      <c r="A152" s="17" t="inlineStr">
        <is>
          <t>payout-service</t>
        </is>
      </c>
      <c r="B152" s="16" t="inlineStr">
        <is>
          <t>POST</t>
        </is>
      </c>
      <c r="C152" s="17" t="inlineStr">
        <is>
          <t>/v1/platform/payouts/{batchId}/approve</t>
        </is>
      </c>
      <c r="D152" s="17" t="inlineStr">
        <is>
          <t>PlatformPayoutController</t>
        </is>
      </c>
      <c r="E152" s="17" t="inlineStr">
        <is>
          <t>đăng nhập</t>
        </is>
      </c>
      <c r="F152" s="17" t="inlineStr">
        <is>
          <t>PlatformPayoutControllerWebTest</t>
        </is>
      </c>
    </row>
    <row r="153">
      <c r="A153" s="17" t="inlineStr">
        <is>
          <t>payout-service</t>
        </is>
      </c>
      <c r="B153" s="16" t="inlineStr">
        <is>
          <t>POST</t>
        </is>
      </c>
      <c r="C153" s="17" t="inlineStr">
        <is>
          <t>/v1/platform/payouts/{batchId}/mark-completed</t>
        </is>
      </c>
      <c r="D153" s="17" t="inlineStr">
        <is>
          <t>PlatformPayoutController</t>
        </is>
      </c>
      <c r="E153" s="17" t="inlineStr">
        <is>
          <t>đăng nhập</t>
        </is>
      </c>
      <c r="F153" s="17" t="inlineStr">
        <is>
          <t>PlatformPayoutControllerWebTest</t>
        </is>
      </c>
    </row>
    <row r="154">
      <c r="A154" s="17" t="inlineStr">
        <is>
          <t>payout-service</t>
        </is>
      </c>
      <c r="B154" s="16" t="inlineStr">
        <is>
          <t>POST</t>
        </is>
      </c>
      <c r="C154" s="17" t="inlineStr">
        <is>
          <t>/v1/platform/payouts/{batchId}/reject</t>
        </is>
      </c>
      <c r="D154" s="17" t="inlineStr">
        <is>
          <t>PlatformPayoutController</t>
        </is>
      </c>
      <c r="E154" s="17" t="inlineStr">
        <is>
          <t>đăng nhập</t>
        </is>
      </c>
      <c r="F154" s="17" t="inlineStr">
        <is>
          <t>PlatformPayoutControllerWebTest</t>
        </is>
      </c>
    </row>
    <row r="155">
      <c r="A155" s="17" t="inlineStr">
        <is>
          <t>ticketing-service</t>
        </is>
      </c>
      <c r="B155" s="16" t="inlineStr">
        <is>
          <t>GET</t>
        </is>
      </c>
      <c r="C155" s="17" t="inlineStr">
        <is>
          <t>/internal/checkin-assignments/{organizationId}</t>
        </is>
      </c>
      <c r="D155" s="17" t="inlineStr">
        <is>
          <t>InternalCheckinAssignmentController</t>
        </is>
      </c>
      <c r="E155" s="17" t="inlineStr">
        <is>
          <t>internal</t>
        </is>
      </c>
      <c r="F155" s="17" t="inlineStr">
        <is>
          <t>InternalControllersWebTest</t>
        </is>
      </c>
    </row>
    <row r="156">
      <c r="A156" s="17" t="inlineStr">
        <is>
          <t>ticketing-service</t>
        </is>
      </c>
      <c r="B156" s="16" t="inlineStr">
        <is>
          <t>GET</t>
        </is>
      </c>
      <c r="C156" s="17" t="inlineStr">
        <is>
          <t>/internal/checkin-assignments/{organizationId}/coverage</t>
        </is>
      </c>
      <c r="D156" s="17" t="inlineStr">
        <is>
          <t>InternalCheckinAssignmentController</t>
        </is>
      </c>
      <c r="E156" s="17" t="inlineStr">
        <is>
          <t>internal</t>
        </is>
      </c>
      <c r="F156" s="17" t="inlineStr">
        <is>
          <t>InternalControllersWebTest</t>
        </is>
      </c>
    </row>
    <row r="157">
      <c r="A157" s="17" t="inlineStr">
        <is>
          <t>ticketing-service</t>
        </is>
      </c>
      <c r="B157" s="16" t="inlineStr">
        <is>
          <t>PUT</t>
        </is>
      </c>
      <c r="C157" s="17" t="inlineStr">
        <is>
          <t>/internal/checkin-assignments/{organizationId}/users/{userId}</t>
        </is>
      </c>
      <c r="D157" s="17" t="inlineStr">
        <is>
          <t>InternalCheckinAssignmentController</t>
        </is>
      </c>
      <c r="E157" s="17" t="inlineStr">
        <is>
          <t>internal</t>
        </is>
      </c>
      <c r="F157" s="17" t="inlineStr">
        <is>
          <t>InternalControllersWebTest</t>
        </is>
      </c>
    </row>
    <row r="158">
      <c r="A158" s="17" t="inlineStr">
        <is>
          <t>ticketing-service</t>
        </is>
      </c>
      <c r="B158" s="16" t="inlineStr">
        <is>
          <t>POST</t>
        </is>
      </c>
      <c r="C158" s="17" t="inlineStr">
        <is>
          <t>/internal/tickets</t>
        </is>
      </c>
      <c r="D158" s="17" t="inlineStr">
        <is>
          <t>InternalTicketController</t>
        </is>
      </c>
      <c r="E158" s="17" t="inlineStr">
        <is>
          <t>internal</t>
        </is>
      </c>
      <c r="F158" s="17" t="inlineStr">
        <is>
          <t>InternalControllersWebTest</t>
        </is>
      </c>
    </row>
    <row r="159">
      <c r="A159" s="17" t="inlineStr">
        <is>
          <t>ticketing-service</t>
        </is>
      </c>
      <c r="B159" s="16" t="inlineStr">
        <is>
          <t>GET</t>
        </is>
      </c>
      <c r="C159" s="17" t="inlineStr">
        <is>
          <t>/v1/me/tickets</t>
        </is>
      </c>
      <c r="D159" s="17" t="inlineStr">
        <is>
          <t>MyTicketsController</t>
        </is>
      </c>
      <c r="E159" s="17" t="inlineStr">
        <is>
          <t>đăng nhập</t>
        </is>
      </c>
      <c r="F159" s="17" t="inlineStr">
        <is>
          <t>TicketReadControllersWebTest</t>
        </is>
      </c>
    </row>
    <row r="160">
      <c r="A160" s="17" t="inlineStr">
        <is>
          <t>ticketing-service</t>
        </is>
      </c>
      <c r="B160" s="16" t="inlineStr">
        <is>
          <t>GET</t>
        </is>
      </c>
      <c r="C160" s="17" t="inlineStr">
        <is>
          <t>/v1/orders/{orderId}/tickets</t>
        </is>
      </c>
      <c r="D160" s="17" t="inlineStr">
        <is>
          <t>MyTicketsController</t>
        </is>
      </c>
      <c r="E160" s="17" t="inlineStr">
        <is>
          <t>đăng nhập</t>
        </is>
      </c>
      <c r="F160" s="17" t="inlineStr">
        <is>
          <t>TicketReadControllersWebTest</t>
        </is>
      </c>
    </row>
    <row r="161">
      <c r="A161" s="17" t="inlineStr">
        <is>
          <t>ticketing-service</t>
        </is>
      </c>
      <c r="B161" s="16" t="inlineStr">
        <is>
          <t>GET</t>
        </is>
      </c>
      <c r="C161" s="17" t="inlineStr">
        <is>
          <t>/v1/organizations/{organizationId}/checkin/events/{eventId}/gates</t>
        </is>
      </c>
      <c r="D161" s="17" t="inlineStr">
        <is>
          <t>CheckinShiftController</t>
        </is>
      </c>
      <c r="E161" s="17" t="inlineStr">
        <is>
          <t>CATALOG_MANAGE</t>
        </is>
      </c>
      <c r="F161" s="17" t="inlineStr"/>
    </row>
    <row r="162">
      <c r="A162" s="17" t="inlineStr">
        <is>
          <t>ticketing-service</t>
        </is>
      </c>
      <c r="B162" s="16" t="inlineStr">
        <is>
          <t>POST</t>
        </is>
      </c>
      <c r="C162" s="17" t="inlineStr">
        <is>
          <t>/v1/organizations/{organizationId}/checkin/events/{eventId}/gates</t>
        </is>
      </c>
      <c r="D162" s="17" t="inlineStr">
        <is>
          <t>CheckinShiftController</t>
        </is>
      </c>
      <c r="E162" s="17" t="inlineStr">
        <is>
          <t>CATALOG_MANAGE</t>
        </is>
      </c>
      <c r="F162" s="17" t="inlineStr"/>
    </row>
    <row r="163">
      <c r="A163" s="17" t="inlineStr">
        <is>
          <t>ticketing-service</t>
        </is>
      </c>
      <c r="B163" s="16" t="inlineStr">
        <is>
          <t>GET</t>
        </is>
      </c>
      <c r="C163" s="17" t="inlineStr">
        <is>
          <t>/v1/organizations/{organizationId}/checkin/events/{eventId}/shifts</t>
        </is>
      </c>
      <c r="D163" s="17" t="inlineStr">
        <is>
          <t>CheckinShiftController</t>
        </is>
      </c>
      <c r="E163" s="17" t="inlineStr">
        <is>
          <t>CATALOG_MANAGE</t>
        </is>
      </c>
      <c r="F163" s="17" t="inlineStr"/>
    </row>
    <row r="164">
      <c r="A164" s="17" t="inlineStr">
        <is>
          <t>ticketing-service</t>
        </is>
      </c>
      <c r="B164" s="16" t="inlineStr">
        <is>
          <t>DELETE</t>
        </is>
      </c>
      <c r="C164" s="17" t="inlineStr">
        <is>
          <t>/v1/organizations/{organizationId}/checkin/gates/{gateId}</t>
        </is>
      </c>
      <c r="D164" s="17" t="inlineStr">
        <is>
          <t>CheckinShiftController</t>
        </is>
      </c>
      <c r="E164" s="17" t="inlineStr">
        <is>
          <t>CATALOG_MANAGE</t>
        </is>
      </c>
      <c r="F164" s="17" t="inlineStr"/>
    </row>
    <row r="165">
      <c r="A165" s="17" t="inlineStr">
        <is>
          <t>ticketing-service</t>
        </is>
      </c>
      <c r="B165" s="16" t="inlineStr">
        <is>
          <t>PUT</t>
        </is>
      </c>
      <c r="C165" s="17" t="inlineStr">
        <is>
          <t>/v1/organizations/{organizationId}/checkin/gates/{gateId}</t>
        </is>
      </c>
      <c r="D165" s="17" t="inlineStr">
        <is>
          <t>CheckinShiftController</t>
        </is>
      </c>
      <c r="E165" s="17" t="inlineStr">
        <is>
          <t>CATALOG_MANAGE</t>
        </is>
      </c>
      <c r="F165" s="17" t="inlineStr"/>
    </row>
    <row r="166">
      <c r="A166" s="17" t="inlineStr">
        <is>
          <t>ticketing-service</t>
        </is>
      </c>
      <c r="B166" s="16" t="inlineStr">
        <is>
          <t>GET</t>
        </is>
      </c>
      <c r="C166" s="17" t="inlineStr">
        <is>
          <t>/v1/organizations/{organizationId}/checkin/my-shifts</t>
        </is>
      </c>
      <c r="D166" s="17" t="inlineStr">
        <is>
          <t>CheckinShiftController</t>
        </is>
      </c>
      <c r="E166" s="17" t="inlineStr">
        <is>
          <t>CHECKIN_SCAN</t>
        </is>
      </c>
      <c r="F166" s="17" t="inlineStr"/>
    </row>
    <row r="167">
      <c r="A167" s="17" t="inlineStr">
        <is>
          <t>ticketing-service</t>
        </is>
      </c>
      <c r="B167" s="16" t="inlineStr">
        <is>
          <t>POST</t>
        </is>
      </c>
      <c r="C167" s="17" t="inlineStr">
        <is>
          <t>/v1/organizations/{organizationId}/checkin/shifts</t>
        </is>
      </c>
      <c r="D167" s="17" t="inlineStr">
        <is>
          <t>CheckinShiftController</t>
        </is>
      </c>
      <c r="E167" s="17" t="inlineStr">
        <is>
          <t>CATALOG_MANAGE</t>
        </is>
      </c>
      <c r="F167" s="17" t="inlineStr"/>
    </row>
    <row r="168">
      <c r="A168" s="17" t="inlineStr">
        <is>
          <t>ticketing-service</t>
        </is>
      </c>
      <c r="B168" s="16" t="inlineStr">
        <is>
          <t>DELETE</t>
        </is>
      </c>
      <c r="C168" s="17" t="inlineStr">
        <is>
          <t>/v1/organizations/{organizationId}/checkin/shifts/{shiftId}</t>
        </is>
      </c>
      <c r="D168" s="17" t="inlineStr">
        <is>
          <t>CheckinShiftController</t>
        </is>
      </c>
      <c r="E168" s="17" t="inlineStr">
        <is>
          <t>CATALOG_MANAGE</t>
        </is>
      </c>
      <c r="F168" s="17" t="inlineStr"/>
    </row>
    <row r="169">
      <c r="A169" s="17" t="inlineStr">
        <is>
          <t>ticketing-service</t>
        </is>
      </c>
      <c r="B169" s="16" t="inlineStr">
        <is>
          <t>PUT</t>
        </is>
      </c>
      <c r="C169" s="17" t="inlineStr">
        <is>
          <t>/v1/organizations/{organizationId}/checkin/shifts/{shiftId}</t>
        </is>
      </c>
      <c r="D169" s="17" t="inlineStr">
        <is>
          <t>CheckinShiftController</t>
        </is>
      </c>
      <c r="E169" s="17" t="inlineStr">
        <is>
          <t>CATALOG_MANAGE</t>
        </is>
      </c>
      <c r="F169" s="17" t="inlineStr"/>
    </row>
    <row r="170">
      <c r="A170" s="17" t="inlineStr">
        <is>
          <t>ticketing-service</t>
        </is>
      </c>
      <c r="B170" s="16" t="inlineStr">
        <is>
          <t>POST</t>
        </is>
      </c>
      <c r="C170" s="17" t="inlineStr">
        <is>
          <t>/v1/organizations/{organizationId}/checkin/shifts/{shiftId}/end</t>
        </is>
      </c>
      <c r="D170" s="17" t="inlineStr">
        <is>
          <t>CheckinShiftController</t>
        </is>
      </c>
      <c r="E170" s="17" t="inlineStr">
        <is>
          <t>CHECKIN_SCAN</t>
        </is>
      </c>
      <c r="F170" s="17" t="inlineStr"/>
    </row>
    <row r="171">
      <c r="A171" s="17" t="inlineStr">
        <is>
          <t>ticketing-service</t>
        </is>
      </c>
      <c r="B171" s="16" t="inlineStr">
        <is>
          <t>POST</t>
        </is>
      </c>
      <c r="C171" s="17" t="inlineStr">
        <is>
          <t>/v1/organizations/{organizationId}/checkin/shifts/{shiftId}/start</t>
        </is>
      </c>
      <c r="D171" s="17" t="inlineStr">
        <is>
          <t>CheckinShiftController</t>
        </is>
      </c>
      <c r="E171" s="17" t="inlineStr">
        <is>
          <t>CHECKIN_SCAN</t>
        </is>
      </c>
      <c r="F171" s="17" t="inlineStr"/>
    </row>
    <row r="172">
      <c r="A172" s="17" t="inlineStr">
        <is>
          <t>ticketing-service</t>
        </is>
      </c>
      <c r="B172" s="16" t="inlineStr">
        <is>
          <t>GET</t>
        </is>
      </c>
      <c r="C172" s="17" t="inlineStr">
        <is>
          <t>/v1/organizations/{organizationId}/sessions/{eventSessionId}/checkins</t>
        </is>
      </c>
      <c r="D172" s="17" t="inlineStr">
        <is>
          <t>OrganizationCheckinController</t>
        </is>
      </c>
      <c r="E172" s="17" t="inlineStr">
        <is>
          <t>CHECKIN_SCAN</t>
        </is>
      </c>
      <c r="F172" s="17" t="inlineStr">
        <is>
          <t>CheckinControllerWebTest</t>
        </is>
      </c>
    </row>
    <row r="173">
      <c r="A173" s="17" t="inlineStr">
        <is>
          <t>ticketing-service</t>
        </is>
      </c>
      <c r="B173" s="16" t="inlineStr">
        <is>
          <t>POST</t>
        </is>
      </c>
      <c r="C173" s="17" t="inlineStr">
        <is>
          <t>/v1/organizations/{organizationId}/sessions/{eventSessionId}/checkins</t>
        </is>
      </c>
      <c r="D173" s="17" t="inlineStr">
        <is>
          <t>OrganizationCheckinController</t>
        </is>
      </c>
      <c r="E173" s="17" t="inlineStr">
        <is>
          <t>CHECKIN_SCAN</t>
        </is>
      </c>
      <c r="F173" s="17" t="inlineStr">
        <is>
          <t>CheckinControllerWebTest</t>
        </is>
      </c>
    </row>
    <row r="174">
      <c r="A174" s="17" t="inlineStr">
        <is>
          <t>ticketing-service</t>
        </is>
      </c>
      <c r="B174" s="16" t="inlineStr">
        <is>
          <t>GET</t>
        </is>
      </c>
      <c r="C174" s="17" t="inlineStr">
        <is>
          <t>/v1/organizations/{organizationId}/sessions/{eventSessionId}/checkins/bundle</t>
        </is>
      </c>
      <c r="D174" s="17" t="inlineStr">
        <is>
          <t>OfflineCheckinController</t>
        </is>
      </c>
      <c r="E174" s="17" t="inlineStr">
        <is>
          <t>CHECKIN_SCAN</t>
        </is>
      </c>
      <c r="F174" s="17" t="inlineStr"/>
    </row>
    <row r="175">
      <c r="A175" s="17" t="inlineStr">
        <is>
          <t>ticketing-service</t>
        </is>
      </c>
      <c r="B175" s="16" t="inlineStr">
        <is>
          <t>GET</t>
        </is>
      </c>
      <c r="C175" s="17" t="inlineStr">
        <is>
          <t>/v1/organizations/{organizationId}/sessions/{eventSessionId}/checkins/conflicts</t>
        </is>
      </c>
      <c r="D175" s="17" t="inlineStr">
        <is>
          <t>OfflineCheckinController</t>
        </is>
      </c>
      <c r="E175" s="17" t="inlineStr">
        <is>
          <t>CHECKIN_SCAN</t>
        </is>
      </c>
      <c r="F175" s="17" t="inlineStr"/>
    </row>
    <row r="176">
      <c r="A176" s="17" t="inlineStr">
        <is>
          <t>ticketing-service</t>
        </is>
      </c>
      <c r="B176" s="16" t="inlineStr">
        <is>
          <t>GET</t>
        </is>
      </c>
      <c r="C176" s="17" t="inlineStr">
        <is>
          <t>/v1/organizations/{organizationId}/sessions/{eventSessionId}/checkins/lookup</t>
        </is>
      </c>
      <c r="D176" s="17" t="inlineStr">
        <is>
          <t>OfflineCheckinController</t>
        </is>
      </c>
      <c r="E176" s="17" t="inlineStr">
        <is>
          <t>CHECKIN_SCAN</t>
        </is>
      </c>
      <c r="F176" s="17" t="inlineStr"/>
    </row>
    <row r="177">
      <c r="A177" s="17" t="inlineStr">
        <is>
          <t>ticketing-service</t>
        </is>
      </c>
      <c r="B177" s="16" t="inlineStr">
        <is>
          <t>POST</t>
        </is>
      </c>
      <c r="C177" s="17" t="inlineStr">
        <is>
          <t>/v1/organizations/{organizationId}/sessions/{eventSessionId}/checkins/lookup</t>
        </is>
      </c>
      <c r="D177" s="17" t="inlineStr">
        <is>
          <t>OfflineCheckinController</t>
        </is>
      </c>
      <c r="E177" s="17" t="inlineStr">
        <is>
          <t>CHECKIN_SCAN</t>
        </is>
      </c>
      <c r="F177" s="17" t="inlineStr"/>
    </row>
    <row r="178">
      <c r="A178" s="17" t="inlineStr">
        <is>
          <t>ticketing-service</t>
        </is>
      </c>
      <c r="B178" s="16" t="inlineStr">
        <is>
          <t>POST</t>
        </is>
      </c>
      <c r="C178" s="17" t="inlineStr">
        <is>
          <t>/v1/organizations/{organizationId}/sessions/{eventSessionId}/checkins/sync</t>
        </is>
      </c>
      <c r="D178" s="17" t="inlineStr">
        <is>
          <t>OfflineCheckinController</t>
        </is>
      </c>
      <c r="E178" s="17" t="inlineStr">
        <is>
          <t>CHECKIN_SCAN</t>
        </is>
      </c>
      <c r="F178" s="17" t="inlineStr"/>
    </row>
    <row r="179">
      <c r="A179" s="17" t="inlineStr">
        <is>
          <t>ticketing-service</t>
        </is>
      </c>
      <c r="B179" s="16" t="inlineStr">
        <is>
          <t>GET</t>
        </is>
      </c>
      <c r="C179" s="17" t="inlineStr">
        <is>
          <t>/v1/organizations/{organizationId}/stats/checkins/activity</t>
        </is>
      </c>
      <c r="D179" s="17" t="inlineStr">
        <is>
          <t>OrganizationGateStatsController</t>
        </is>
      </c>
      <c r="E179" s="17" t="inlineStr">
        <is>
          <t>đăng nhập</t>
        </is>
      </c>
      <c r="F179" s="17" t="inlineStr">
        <is>
          <t>GateStatsControllerWebTest</t>
        </is>
      </c>
    </row>
    <row r="180">
      <c r="A180" s="17" t="inlineStr">
        <is>
          <t>ticketing-service</t>
        </is>
      </c>
      <c r="B180" s="16" t="inlineStr">
        <is>
          <t>GET</t>
        </is>
      </c>
      <c r="C180" s="17" t="inlineStr">
        <is>
          <t>/v1/organizations/{organizationId}/stats/checkins/buyers</t>
        </is>
      </c>
      <c r="D180" s="17" t="inlineStr">
        <is>
          <t>OrganizationGateStatsController</t>
        </is>
      </c>
      <c r="E180" s="17" t="inlineStr">
        <is>
          <t>đăng nhập</t>
        </is>
      </c>
      <c r="F180" s="17" t="inlineStr">
        <is>
          <t>GateStatsControllerWebTest</t>
        </is>
      </c>
    </row>
    <row r="181">
      <c r="A181" s="17" t="inlineStr">
        <is>
          <t>ticketing-service</t>
        </is>
      </c>
      <c r="B181" s="16" t="inlineStr">
        <is>
          <t>POST</t>
        </is>
      </c>
      <c r="C181" s="17" t="inlineStr">
        <is>
          <t>/v1/organizations/{organizationId}/stats/checkins/buyers/export</t>
        </is>
      </c>
      <c r="D181" s="17" t="inlineStr">
        <is>
          <t>OrganizationGateStatsController</t>
        </is>
      </c>
      <c r="E181" s="17" t="inlineStr">
        <is>
          <t>ORG_MEMBERS_MANAGE</t>
        </is>
      </c>
      <c r="F181" s="17" t="inlineStr">
        <is>
          <t>GateStatsControllerWebTest</t>
        </is>
      </c>
    </row>
    <row r="182">
      <c r="A182" s="17" t="inlineStr">
        <is>
          <t>ticketing-service</t>
        </is>
      </c>
      <c r="B182" s="16" t="inlineStr">
        <is>
          <t>GET</t>
        </is>
      </c>
      <c r="C182" s="17" t="inlineStr">
        <is>
          <t>/v1/organizations/{organizationId}/stats/checkins/no-shows</t>
        </is>
      </c>
      <c r="D182" s="17" t="inlineStr">
        <is>
          <t>OrganizationGateStatsController</t>
        </is>
      </c>
      <c r="E182" s="17" t="inlineStr">
        <is>
          <t>đăng nhập</t>
        </is>
      </c>
      <c r="F182" s="17" t="inlineStr">
        <is>
          <t>GateStatsControllerWebTest</t>
        </is>
      </c>
    </row>
    <row r="183">
      <c r="A183" s="17" t="inlineStr">
        <is>
          <t>ticketing-service</t>
        </is>
      </c>
      <c r="B183" s="16" t="inlineStr">
        <is>
          <t>GET</t>
        </is>
      </c>
      <c r="C183" s="17" t="inlineStr">
        <is>
          <t>/v1/organizations/{organizationId}/stats/checkins/presence</t>
        </is>
      </c>
      <c r="D183" s="17" t="inlineStr">
        <is>
          <t>OrganizationGateStatsController</t>
        </is>
      </c>
      <c r="E183" s="17" t="inlineStr">
        <is>
          <t>đăng nhập</t>
        </is>
      </c>
      <c r="F183" s="17" t="inlineStr">
        <is>
          <t>GateStatsControllerWebTest</t>
        </is>
      </c>
    </row>
    <row r="184">
      <c r="A184" s="17" t="inlineStr">
        <is>
          <t>ticketing-service</t>
        </is>
      </c>
      <c r="B184" s="16" t="inlineStr">
        <is>
          <t>GET</t>
        </is>
      </c>
      <c r="C184" s="17" t="inlineStr">
        <is>
          <t>/v1/organizations/{organizationId}/tickets</t>
        </is>
      </c>
      <c r="D184" s="17" t="inlineStr">
        <is>
          <t>OrganizationTicketController</t>
        </is>
      </c>
      <c r="E184" s="17" t="inlineStr">
        <is>
          <t>đăng nhập</t>
        </is>
      </c>
      <c r="F184" s="17" t="inlineStr">
        <is>
          <t>TicketReadControllersWebTest</t>
        </is>
      </c>
    </row>
    <row r="185">
      <c r="A185" s="17" t="inlineStr">
        <is>
          <t>ticketing-service</t>
        </is>
      </c>
      <c r="B185" s="16" t="inlineStr">
        <is>
          <t>POST</t>
        </is>
      </c>
      <c r="C185" s="17" t="inlineStr">
        <is>
          <t>/v1/sessions/{eventSessionId}/checkins</t>
        </is>
      </c>
      <c r="D185" s="17" t="inlineStr">
        <is>
          <t>CheckinController</t>
        </is>
      </c>
      <c r="E185" s="17" t="inlineStr">
        <is>
          <t>đăng nhập</t>
        </is>
      </c>
      <c r="F185" s="17" t="inlineStr">
        <is>
          <t>CheckinControllerWebTest</t>
        </is>
      </c>
    </row>
  </sheetData>
  <autoFilter ref="A4:F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95" customWidth="1" min="3" max="3"/>
  </cols>
  <sheetData>
    <row r="1">
      <c r="A1" s="1" t="inlineStr">
        <is>
          <t>Lỗi ứng dụng do test phát hiện và đã sửa</t>
        </is>
      </c>
    </row>
    <row r="2">
      <c r="A2" s="2" t="inlineStr">
        <is>
          <t>Mỗi lỗi do một test đỏ chỉ ra; sau khi sửa, test giữ lại làm hồi quy.</t>
        </is>
      </c>
    </row>
    <row r="4" ht="30" customHeight="1">
      <c r="A4" s="4" t="inlineStr">
        <is>
          <t>STT</t>
        </is>
      </c>
      <c r="B4" s="4" t="inlineStr">
        <is>
          <t>Lỗi</t>
        </is>
      </c>
      <c r="C4" s="4" t="inlineStr">
        <is>
          <t>Cách sửa</t>
        </is>
      </c>
    </row>
    <row r="5">
      <c r="A5" s="16" t="n">
        <v>1</v>
      </c>
      <c r="B5" s="17" t="inlineStr">
        <is>
          <t>Javadoc nói có filter Idempotency-Key chặn POST thiếu khoá nhưng filter không tồn tại — đặt đơn trùng chỉ dựa vào tra theo holdId và unique index</t>
        </is>
      </c>
      <c r="C5" s="17" t="inlineStr">
        <is>
          <t>Hiện thực IdempotencyFilter trong starter-idempotency (bật theo route bằng nexaticket.idempotency.required-paths; áp cho POST /v1/orders và POST /v1/sessions/*/holds): thiếu / sai khoá → 400 IDEMPOTENCY_KEY_REQUIRED; gửi lại cùng khoá và nội dung → phát lại đúng câu trả lời 2xx đã lưu (Idempotent-Replayed: true), handler không chạy lần hai; cùng khoá khác nội dung → 409 IDEMPOTENCY_KEY_REUSED; đang chạy → 409 REQUEST_IN_PROGRESS; handler lỗi → bỏ chỗ giữ để thử lại; bản ghi dở quá 2 phút (tiến trình chết) được nhận lại. Khoá có phạm vi theo người dùng. Kiểm bằng IdempotencyFilterTest (11), IdempotencyFilterIT (4, PostgreSQL thật, gồm 4 luồng song song cùng khoá), OrderIdempotencyIT (5, qua chuỗi bảo mật + saga thật), HoldControllerTest</t>
        </is>
      </c>
    </row>
    <row r="6">
      <c r="A6" s="16" t="n">
        <v>2</v>
      </c>
      <c r="B6" s="17" t="inlineStr">
        <is>
          <t>Route quét vé cũ POST /v1/sessions/{id}/checkins gắn @RequiresPermission(CHECKIN_SCAN) nhưng đường dẫn không có organizationId nên PermissionGuard từ chối mọi người (ts-sdk.scanTicket còn gọi route này)</t>
        </is>
      </c>
      <c r="C6" s="17" t="inlineStr">
        <is>
          <t>Bỏ annotation; quyền CHECKIN_SCAN và việc gán sự kiện vẫn được kiểm trong CheckinAccess.requireScanner theo tổ chức của membership đang hoạt động. Thêm test: chưa được gán → 403 NOT_YOUR_EVENT, khách → 4xx</t>
        </is>
      </c>
    </row>
    <row r="7">
      <c r="A7" s="16" t="n">
        <v>3</v>
      </c>
      <c r="B7" s="17" t="inlineStr">
        <is>
          <t>Giá catalog ≠ giá tồn kho (25.000đ niêm yết, đơn tính 2.500.000đ): sửa giá hạng vé khi sự kiện đã rút xuống rồi publish lại không đồng bộ giá sang tồn kho — khách thấy một giá, bị tính giá khác</t>
        </is>
      </c>
      <c r="C7" s="17" t="inlineStr">
        <is>
          <t>JdbcSessionMaterializer.syncUnsoldPrices đồng bộ giá và tên hạng vé cho chỗ chưa bán (AVAILABLE, BLOCKED, cả đơn vị ảo vé đứng); chỗ đã bán / đang giữ giữ giá cũ. MaterializeSessionIT.publish_lai_thi_dong_bo_gia_cho_chua_ban. Sự kiện đã lệch sẵn: resync-inventory</t>
        </is>
      </c>
    </row>
    <row r="8">
      <c r="A8" s="16" t="n">
        <v>4</v>
      </c>
      <c r="B8" s="17" t="inlineStr">
        <is>
          <t>Bán trùng ghế: bỏ giữ chỗ chạy chồng lên đặt chỗ — bên đến sau ghi đè trạng thái giữ chỗ vô điều kiện, ghế RESERVED bị trả về kho và bán lần hai (tái hiện bằng ReleaseReserveRaceIT trên PostgreSQL thật)</t>
        </is>
      </c>
      <c r="C8" s="17" t="inlineStr">
        <is>
          <t>SeatHoldRepository.updateStatus thành compare-and-set (WHERE status='ACTIVE', trả boolean); ReleaseHoldHandler, ReserveSeatsHandler, ExpireHoldsJob xử lý bên thua</t>
        </is>
      </c>
    </row>
    <row r="9">
      <c r="A9" s="16" t="n">
        <v>5</v>
      </c>
      <c r="B9" s="17" t="inlineStr">
        <is>
          <t>Lối tắt holdId của PlaceOrderHandler trả đơn của người khác kèm QR và link thanh toán</t>
        </is>
      </c>
      <c r="C9" s="17" t="inlineStr">
        <is>
          <t>kiểm chủ đơn, trả 404</t>
        </is>
      </c>
    </row>
    <row r="10">
      <c r="A10" s="16" t="n">
        <v>6</v>
      </c>
      <c r="B10" s="17" t="inlineStr">
        <is>
          <t>Giảm giá làm tròn dồn vào dòng cuối; dòng cuối là vé 0đ thì vượt đơn giá, OrderItem từ chối, khách nhận "thử lại" mãi</t>
        </is>
      </c>
      <c r="C10" s="17" t="inlineStr">
        <is>
          <t>dồn phần dư vào dòng giá cao nhất</t>
        </is>
      </c>
    </row>
    <row r="11">
      <c r="A11" s="16" t="n">
        <v>7</v>
      </c>
      <c r="B11" s="17" t="inlineStr">
        <is>
          <t>Order.close() nhận PAID/REFUNDED/MANUAL_REVIEW làm lý do — đường vào PAID không qua markPaid, không có paidAt</t>
        </is>
      </c>
      <c r="C11" s="17" t="inlineStr">
        <is>
          <t>chỉ EXPIRED / CANCELLED</t>
        </is>
      </c>
    </row>
    <row r="12">
      <c r="A12" s="16" t="n">
        <v>8</v>
      </c>
      <c r="B12" s="17" t="inlineStr">
        <is>
          <t>limit/offset âm xuống tới SQL → 500</t>
        </is>
      </c>
      <c r="C12" s="17" t="inlineStr">
        <is>
          <t>kẹp ở OrderController, MyTicketsController</t>
        </is>
      </c>
    </row>
    <row r="13">
      <c r="A13" s="16" t="n">
        <v>9</v>
      </c>
      <c r="B13" s="17" t="inlineStr">
        <is>
          <t>ORG_ADMIN mời email mình kiểm soát làm ORG_OWNER, và hạ / gỡ được ORG_OWNER khác (leo thang đặc quyền)</t>
        </is>
      </c>
      <c r="C13" s="17" t="inlineStr">
        <is>
          <t>InviteMemberHandler, ManageMembersHandler</t>
        </is>
      </c>
    </row>
    <row r="14">
      <c r="A14" s="16" t="n">
        <v>10</v>
      </c>
      <c r="B14" s="17" t="inlineStr">
        <is>
          <t>Đổi vai trò sang SUPER_ADMIN/CUSTOMER lọt qua aggregate rồi nổ CHECK của DB → 500</t>
        </is>
      </c>
      <c r="C14" s="17" t="inlineStr">
        <is>
          <t>Organization.changeRole, handlers → 400</t>
        </is>
      </c>
    </row>
    <row r="15">
      <c r="A15" s="16" t="n">
        <v>11</v>
      </c>
      <c r="B15" s="17" t="inlineStr">
        <is>
          <t>Hai lệnh sửa thành viên chạy chồng: lệnh sau xoá mất người vừa nhận lời mời / chèn lại người vừa bị gỡ</t>
        </is>
      </c>
      <c r="C15" s="17" t="inlineStr">
        <is>
          <t>khoá dòng tổ chức (FOR UPDATE) trong giao dịch ghi (OrganizationConcurrencyIT)</t>
        </is>
      </c>
    </row>
    <row r="16">
      <c r="A16" s="16" t="n">
        <v>12</v>
      </c>
      <c r="B16" s="17" t="inlineStr">
        <is>
          <t>Huỷ lời mời nhân viên xoá tài khoản Keycloak rồi mới phát hiện tổ chức bị khoá — rollback DB nhưng tài khoản đã mất</t>
        </is>
      </c>
      <c r="C16" s="17" t="inlineStr">
        <is>
          <t>kiểm tổ chức trước khi gọi hệ thống ngoài</t>
        </is>
      </c>
    </row>
    <row r="17">
      <c r="A17" s="16" t="n">
        <v>13</v>
      </c>
      <c r="B17" s="17" t="inlineStr">
        <is>
          <t>Kích hoạt tổ chức đang hoạt động ghi dòng audit sai ("trước: SUSPENDED")</t>
        </is>
      </c>
      <c r="C17" s="17" t="inlineStr">
        <is>
          <t>no-op idempotent</t>
        </is>
      </c>
    </row>
    <row r="18">
      <c r="A18" s="16" t="n">
        <v>14</v>
      </c>
      <c r="B18" s="17" t="inlineStr">
        <is>
          <t>Slug sai định dạng / tên 64 ký tự trùng → 500</t>
        </is>
      </c>
      <c r="C18" s="17" t="inlineStr">
        <is>
          <t>400 / SLUG_ALREADY_TAKEN</t>
        </is>
      </c>
    </row>
    <row r="19">
      <c r="A19" s="16" t="n">
        <v>15</v>
      </c>
      <c r="B19" s="17" t="inlineStr">
        <is>
          <t>Email có + gửi thô sang Keycloak (đọc thành dấu cách)</t>
        </is>
      </c>
      <c r="C19" s="17" t="inlineStr">
        <is>
          <t>biến mẫu URI</t>
        </is>
      </c>
    </row>
    <row r="20">
      <c r="A20" s="16" t="n">
        <v>16</v>
      </c>
      <c r="B20" s="17" t="inlineStr">
        <is>
          <t>PlatformUserController.disable thiếu @Valid</t>
        </is>
      </c>
      <c r="C20" s="17" t="inlineStr">
        <is>
          <t>thêm</t>
        </is>
      </c>
    </row>
    <row r="21">
      <c r="A21" s="16" t="n">
        <v>17</v>
      </c>
      <c r="B21" s="17" t="inlineStr">
        <is>
          <t>ConsumedEvent.uuid ném IllegalArgumentException với UUID hỏng → message giao lại mãi, chặn đầu hàng đợi (inventory, ticketing, ledger)</t>
        </is>
      </c>
      <c r="C21" s="17" t="inlineStr">
        <is>
          <t>trả null, consumer vốn đã ack và log</t>
        </is>
      </c>
    </row>
    <row r="22">
      <c r="A22" s="16" t="n">
        <v>18</v>
      </c>
      <c r="B22" s="17" t="inlineStr">
        <is>
          <t>SessionPublishedListener ném NPE với payload thiếu limits → giao lại mãi</t>
        </is>
      </c>
      <c r="C22" s="17" t="inlineStr">
        <is>
          <t>ack + log lỗi cho payload sai khuôn</t>
        </is>
      </c>
    </row>
    <row r="23">
      <c r="A23" s="16" t="n">
        <v>19</v>
      </c>
      <c r="B23" s="17" t="inlineStr">
        <is>
          <t>OrderPaidListener (ledger) ném với tổng âm → giao lại mãi; hoa hồng 100% tạo định khoản 0đ làm hỏng bút toán</t>
        </is>
      </c>
      <c r="C23" s="17" t="inlineStr">
        <is>
          <t>ack số tiền vô lý; bỏ dòng 0đ</t>
        </is>
      </c>
    </row>
    <row r="24">
      <c r="A24" s="16" t="n">
        <v>20</v>
      </c>
      <c r="B24" s="17" t="inlineStr">
        <is>
          <t>PayosHttpGateway: 5xx kèm JSON bị coi là Rejected (502) thay vì Unavailable (503, thử lại)</t>
        </is>
      </c>
      <c r="C24" s="17" t="inlineStr">
        <is>
          <t>phân loại theo mã HTTP trước</t>
        </is>
      </c>
    </row>
    <row r="25">
      <c r="A25" s="16" t="n">
        <v>21</v>
      </c>
      <c r="B25" s="17" t="inlineStr">
        <is>
          <t>PayoutGate: hai tên không có chữ Latin cùng chuẩn hoá thành "" và "khớp"</t>
        </is>
      </c>
      <c r="C25" s="17" t="inlineStr">
        <is>
          <t>từ chối tên rỗng sau chuẩn hoá</t>
        </is>
      </c>
    </row>
    <row r="26">
      <c r="A26" s="16" t="n">
        <v>22</v>
      </c>
      <c r="B26" s="17" t="inlineStr">
        <is>
          <t>GlobalExceptionHandler: UUID sai trong đường dẫn, thiếu tham số, sai method, sai content-type, @Size trên tham số → 500 + stack trace trong log ERROR; thân lỗi ghi status 400 trong khi HTTP là 409</t>
        </is>
      </c>
      <c r="C26" s="17" t="inlineStr">
        <is>
          <t>400/405/415/406 đúng, meta.fields cho validation tham số, status trong thân khớp HTTP</t>
        </is>
      </c>
    </row>
    <row r="27">
      <c r="A27" s="16" t="n">
        <v>23</v>
      </c>
      <c r="B27" s="17" t="inlineStr">
        <is>
          <t>CorrelationIdFilter: CR/LF trong X-Correlation-Id đi vào log và header phản hồi (CWE-117)</t>
        </is>
      </c>
      <c r="C27" s="17" t="inlineStr">
        <is>
          <t>whitelist [A-Za-z0-9._:-]{1,64}</t>
        </is>
      </c>
    </row>
    <row r="28">
      <c r="A28" s="16" t="n">
        <v>24</v>
      </c>
      <c r="B28" s="17" t="inlineStr">
        <is>
          <t>/v1/admin/organizations/{id}/sales không kiểm quyền: nhân viên soát vé đọc được doanh thu cả tổ chức</t>
        </is>
      </c>
      <c r="C28" s="17" t="inlineStr">
        <is>
          <t>@RequiresPermission(ORG_METRICS_VIEW)</t>
        </is>
      </c>
    </row>
    <row r="29">
      <c r="A29" s="16" t="n">
        <v>25</v>
      </c>
      <c r="B29" s="17" t="inlineStr">
        <is>
          <t>GET /v1/chat/agent/sessions/{id}/messages của người khác → 500</t>
        </is>
      </c>
      <c r="C29" s="17" t="inlineStr">
        <is>
          <t>404</t>
        </is>
      </c>
    </row>
    <row r="30">
      <c r="A30" s="16" t="n">
        <v>26</v>
      </c>
      <c r="B30" s="17" t="inlineStr">
        <is>
          <t>Chủ đề email chứa CR/LF → chèn header SMTP</t>
        </is>
      </c>
      <c r="C30" s="17" t="inlineStr">
        <is>
          <t>thay ký tự điều khiển bằng dấu cách</t>
        </is>
      </c>
    </row>
    <row r="31">
      <c r="A31" s="16" t="n">
        <v>27</v>
      </c>
      <c r="B31" s="17" t="inlineStr">
        <is>
          <t>Catalog: giá vé thiếu → vé 0đ, 1.5 bị cắt thành 1; PATCH suất không @Valid; page=Integer.MAX_VALUE tràn thành offset âm; khu ngồi 50.000×50.000 tràn int thành sức chứa âm; cửa bán đóng trước khi mở và nhiều luật domain → 500; hình TABLE không tạo được qua HTTP; PricingQuery tạm tính âm → 500</t>
        </is>
      </c>
      <c r="C31" s="17" t="inlineStr">
        <is>
          <t>@NotNull Long, accept-float-as-int: false, @Valid, kẹp offset, kiểm tràn, InputRules + DomainRuleExceptionAdvice → 400, thêm TABLE</t>
        </is>
      </c>
    </row>
    <row r="32">
      <c r="A32" s="16" t="n">
        <v>28</v>
      </c>
      <c r="B32" s="17" t="inlineStr">
        <is>
          <t>api-gateway: không có route /v1/platform/payouts/ (biến PAYOUT_URL đã khai nhưng không dùng)</t>
        </is>
      </c>
      <c r="C32" s="17" t="inlineStr">
        <is>
          <t>thêm route payout</t>
        </is>
      </c>
    </row>
    <row r="33">
      <c r="A33" s="16" t="n">
        <v>29</v>
      </c>
      <c r="B33" s="17" t="inlineStr">
        <is>
          <t>Frontend: csv.ts không chặn công thức bắt đầu bằng TAB/CR (CSV injection); event-report.ts xuất giờ theo múi giờ máy thay vì giờ Việt Nam</t>
        </is>
      </c>
      <c r="C33" s="17" t="inlineStr">
        <is>
          <t>sửa trong packages/ui, apps/web-admin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70" customWidth="1" min="3" max="3"/>
    <col width="60" customWidth="1" min="4" max="4"/>
  </cols>
  <sheetData>
    <row r="1">
      <c r="A1" s="1" t="inlineStr">
        <is>
          <t>Khoảng trống kiểm thử đã biết</t>
        </is>
      </c>
    </row>
    <row r="2">
      <c r="A2" s="2" t="inlineStr">
        <is>
          <t>Những gì chưa kiểm được, vì sao, và test cần viết tiếp.</t>
        </is>
      </c>
    </row>
    <row r="4" ht="30" customHeight="1">
      <c r="A4" s="4" t="inlineStr">
        <is>
          <t>STT</t>
        </is>
      </c>
      <c r="B4" s="4" t="inlineStr">
        <is>
          <t>Khoảng trống</t>
        </is>
      </c>
      <c r="C4" s="4" t="inlineStr">
        <is>
          <t>Lý do</t>
        </is>
      </c>
      <c r="D4" s="4" t="inlineStr">
        <is>
          <t>Test cần viết tiếp</t>
        </is>
      </c>
    </row>
    <row r="5">
      <c r="A5" s="16" t="n">
        <v>1</v>
      </c>
      <c r="B5" s="17" t="inlineStr">
        <is>
          <t>Mobile (4 app React Native)</t>
        </is>
      </c>
      <c r="C5" s="17" t="inlineStr">
        <is>
          <t>Ngoài phạm vi đợt này; có thay đổi chưa commit của người dùng ở apps/mobile-*</t>
        </is>
      </c>
      <c r="D5" s="17" t="inlineStr">
        <is>
          <t>Jest + React Native Testing Library; Maestro/Detox cho E2E</t>
        </is>
      </c>
    </row>
    <row r="6">
      <c r="A6" s="16" t="n">
        <v>2</v>
      </c>
      <c r="B6" s="17" t="inlineStr">
        <is>
          <t>Đăng nhập Keycloak thật, đăng ký, Google IdP</t>
        </is>
      </c>
      <c r="C6" s="17" t="inlineStr">
        <is>
          <t>Cần Keycloak + realm thật; E2E dùng nhà phát hành OIDC giả (Authorization Code + PKCE)</t>
        </is>
      </c>
      <c r="D6" s="17" t="inlineStr">
        <is>
          <t>E2E nightly với deploy/compose/infra.yml</t>
        </is>
      </c>
    </row>
    <row r="7">
      <c r="A7" s="16" t="n">
        <v>3</v>
      </c>
      <c r="B7" s="17" t="inlineStr">
        <is>
          <t>Trang thanh toán payOS</t>
        </is>
      </c>
      <c r="C7" s="17" t="inlineStr">
        <is>
          <t>payOS không có sandbox (README gốc). Luồng được kiểm bằng FakePayos và simulate-transfer</t>
        </is>
      </c>
      <c r="D7" s="17" t="inlineStr">
        <is>
          <t>Không thể tự động hoá an toàn; kiểm tay với tài khoản thật số tiền nhỏ</t>
        </is>
      </c>
    </row>
    <row r="8">
      <c r="A8" s="16" t="n">
        <v>4</v>
      </c>
      <c r="B8" s="17" t="inlineStr">
        <is>
          <t>Hết hạn / làm mới token giữa phiên</t>
        </is>
      </c>
      <c r="C8" s="17" t="inlineStr">
        <is>
          <t>Token giả sống 300 giây</t>
        </is>
      </c>
      <c r="D8" s="17" t="inlineStr">
        <is>
          <t>Test với đồng hồ giả + Keycloak thật</t>
        </is>
      </c>
    </row>
    <row r="9">
      <c r="A9" s="16" t="n">
        <v>5</v>
      </c>
      <c r="B9" s="17" t="inlineStr">
        <is>
          <t>Cập nhật chỗ ngồi realtime ở trình duyệt</t>
        </is>
      </c>
      <c r="C9" s="17" t="inlineStr">
        <is>
          <t>Cần realtime-gateway + RabbitMQ trong E2E</t>
        </is>
      </c>
      <c r="D9" s="17" t="inlineStr">
        <is>
          <t>E2E có hạ tầng đầy đủ</t>
        </is>
      </c>
    </row>
    <row r="10">
      <c r="A10" s="16" t="n">
        <v>6</v>
      </c>
      <c r="B10" s="17" t="inlineStr">
        <is>
          <t>Sơ đồ chỗ ngồi vẽ trên trang đặt vé</t>
        </is>
      </c>
      <c r="C10" s="17" t="inlineStr">
        <is>
          <t>Fixture cố ý không có floor plan</t>
        </is>
      </c>
      <c r="D10" s="17" t="inlineStr">
        <is>
          <t>Thêm fixture floor plan và kiểm chọn ghế bằng chuột</t>
        </is>
      </c>
    </row>
    <row r="11">
      <c r="A11" s="16" t="n">
        <v>7</v>
      </c>
      <c r="B11" s="17" t="inlineStr">
        <is>
          <t>payOS thật (trang thanh toán, webhook thật)</t>
        </is>
      </c>
      <c r="C11" s="17" t="inlineStr">
        <is>
          <t>payOS không có sandbox; checkout.js đã chạy với payOS giả (load-tests/fake-payos), xem load-test-report.md</t>
        </is>
      </c>
      <c r="D11" s="17" t="inlineStr">
        <is>
          <t>Kiểm tay một lần với số tiền nhỏ trước khi lên production — không tự động hoá an toàn được</t>
        </is>
      </c>
    </row>
    <row r="12">
      <c r="A12" s="16" t="n">
        <v>8</v>
      </c>
      <c r="B12" s="17" t="inlineStr">
        <is>
          <t>Đạt 10.000 VU / p95 hold ≤ 300 ms (load-test-plan.md)</t>
        </is>
      </c>
      <c r="C12" s="17" t="inlineStr">
        <is>
          <t>Như trên</t>
        </is>
      </c>
      <c r="D12" s="17" t="inlineStr">
        <is>
          <t>Gatling/k6 phân tán</t>
        </is>
      </c>
    </row>
    <row r="13">
      <c r="A13" s="16" t="n">
        <v>9</v>
      </c>
      <c r="B13" s="17" t="inlineStr">
        <is>
          <t>Kill Redis giữa lúc giữ chỗ → 503 retryable, worker khởi động lại → hết hạn bù</t>
        </is>
      </c>
      <c r="C13" s="17" t="inlineStr">
        <is>
          <t>Cần phá hạ tầng có chủ đích</t>
        </is>
      </c>
      <c r="D13" s="17" t="inlineStr">
        <is>
          <t>IT với Toxiproxy / container dừng giữa chừng</t>
        </is>
      </c>
    </row>
    <row r="14">
      <c r="A14" s="16" t="n">
        <v>10</v>
      </c>
      <c r="B14" s="17" t="inlineStr">
        <is>
          <t>Webhook payOS đến cùng lúc ExpireOrdersJob đóng đơn</t>
        </is>
      </c>
      <c r="C14" s="17" t="inlineStr">
        <is>
          <t>Cuộc đua giữa hai service</t>
        </is>
      </c>
      <c r="D14" s="17" t="inlineStr">
        <is>
          <t>IT hai service hoặc test đồng thời ở ordering với hàng giả điều khiển được</t>
        </is>
      </c>
    </row>
    <row r="15">
      <c r="A15" s="16" t="n">
        <v>11</v>
      </c>
      <c r="B15" s="17" t="inlineStr">
        <is>
          <t>Tải thực tế của JDBC repository (truy vấn thống kê)</t>
        </is>
      </c>
      <c r="C15" s="17" t="inlineStr">
        <is>
          <t>Chỉ kiểm đúng/sai qua IT có sẵn</t>
        </is>
      </c>
      <c r="D15" s="17" t="inlineStr">
        <is>
          <t>EXPLAIN + dữ liệu lớn</t>
        </is>
      </c>
    </row>
    <row r="16">
      <c r="A16" s="16" t="n">
        <v>12</v>
      </c>
      <c r="B16" s="17" t="inlineStr">
        <is>
          <t>Tệp tải lên (poster, ảnh sơ đồ)</t>
        </is>
      </c>
      <c r="C16" s="17" t="inlineStr">
        <is>
          <t>Đã kiểm content-type, kích thước, đuôi và không phục vụ SVG/HTML; chưa kiểm quét mã độc</t>
        </is>
      </c>
      <c r="D16" s="17" t="inlineStr">
        <is>
          <t>Tích hợp ClamAV nếu cần</t>
        </is>
      </c>
    </row>
    <row r="17">
      <c r="A17" s="16" t="n">
        <v>13</v>
      </c>
      <c r="B17" s="17" t="inlineStr">
        <is>
          <t>Điều kiện @Conditional của OutboxAutoConfiguration, IdempotencyAutoConfiguration</t>
        </is>
      </c>
      <c r="C17" s="17" t="inlineStr">
        <is>
          <t>Chỉ là wiring</t>
        </is>
      </c>
      <c r="D17" s="17" t="inlineStr">
        <is>
          <t>ApplicationContextRunner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82" customWidth="1" min="3" max="3"/>
    <col width="60" customWidth="1" min="4" max="4"/>
  </cols>
  <sheetData>
    <row r="1">
      <c r="A1" s="1" t="inlineStr">
        <is>
          <t>Lệnh chạy từng bộ test</t>
        </is>
      </c>
    </row>
    <row r="2">
      <c r="A2" s="2" t="inlineStr">
        <is>
          <t>Chạy từ thư mục được ghi trong cột 'Thư mục'.</t>
        </is>
      </c>
    </row>
    <row r="4" ht="30" customHeight="1">
      <c r="A4" s="4" t="inlineStr">
        <is>
          <t>Hệ</t>
        </is>
      </c>
      <c r="B4" s="4" t="inlineStr">
        <is>
          <t>Thư mục</t>
        </is>
      </c>
      <c r="C4" s="4" t="inlineStr">
        <is>
          <t>Lệnh</t>
        </is>
      </c>
      <c r="D4" s="4" t="inlineStr">
        <is>
          <t>Ghi chú</t>
        </is>
      </c>
    </row>
    <row r="5">
      <c r="A5" s="17" t="inlineStr">
        <is>
          <t>Backend</t>
        </is>
      </c>
      <c r="B5" s="17" t="inlineStr">
        <is>
          <t>backend/</t>
        </is>
      </c>
      <c r="C5" s="17" t="inlineStr">
        <is>
          <t>./mvnw -B verify -DskipITs</t>
        </is>
      </c>
      <c r="D5" s="17" t="inlineStr">
        <is>
          <t>Unit + API slice + ArchUnit (không cần Docker)</t>
        </is>
      </c>
    </row>
    <row r="6">
      <c r="A6" s="17" t="inlineStr">
        <is>
          <t>Backend</t>
        </is>
      </c>
      <c r="B6" s="17" t="inlineStr">
        <is>
          <t>backend/</t>
        </is>
      </c>
      <c r="C6" s="17" t="inlineStr">
        <is>
          <t>./mvnw -B -pl services/ordering-service verify -DskipITs</t>
        </is>
      </c>
      <c r="D6" s="17" t="inlineStr">
        <is>
          <t>Một service</t>
        </is>
      </c>
    </row>
    <row r="7">
      <c r="A7" s="17" t="inlineStr">
        <is>
          <t>Backend</t>
        </is>
      </c>
      <c r="B7" s="17" t="inlineStr">
        <is>
          <t>backend/</t>
        </is>
      </c>
      <c r="C7" s="17" t="inlineStr">
        <is>
          <t>./mvnw -B -pl services/ordering-service test -Dtest=PlaceOrderHandlerTest</t>
        </is>
      </c>
      <c r="D7" s="17" t="inlineStr">
        <is>
          <t>Một lớp test</t>
        </is>
      </c>
    </row>
    <row r="8">
      <c r="A8" s="17" t="inlineStr">
        <is>
          <t>Backend</t>
        </is>
      </c>
      <c r="B8" s="17" t="inlineStr">
        <is>
          <t>backend/</t>
        </is>
      </c>
      <c r="C8" s="17" t="inlineStr">
        <is>
          <t>./mvnw -B verify -Dsurefire.skip=true</t>
        </is>
      </c>
      <c r="D8" s="17" t="inlineStr">
        <is>
          <t>Chỉ integration (cần Docker Desktop đang chạy)</t>
        </is>
      </c>
    </row>
    <row r="9">
      <c r="A9" s="17" t="inlineStr">
        <is>
          <t>Backend</t>
        </is>
      </c>
      <c r="B9" s="17" t="inlineStr">
        <is>
          <t>backend/</t>
        </is>
      </c>
      <c r="C9" s="17" t="inlineStr">
        <is>
          <t>./mvnw -B verify</t>
        </is>
      </c>
      <c r="D9" s="17" t="inlineStr">
        <is>
          <t>Mọi thứ an toàn cho CI</t>
        </is>
      </c>
    </row>
    <row r="10">
      <c r="A10" s="17" t="inlineStr">
        <is>
          <t>Backend</t>
        </is>
      </c>
      <c r="B10" s="17" t="inlineStr">
        <is>
          <t>backend/</t>
        </is>
      </c>
      <c r="C10" s="17" t="inlineStr">
        <is>
          <t>./mvnw -B verify -Pcoverage</t>
        </is>
      </c>
      <c r="D10" s="17" t="inlineStr">
        <is>
          <t>Thêm JaCoCo; báo cáo gộp ở target/site/jacoco-merged/ mỗi module</t>
        </is>
      </c>
    </row>
    <row r="11">
      <c r="A11" s="17" t="inlineStr">
        <is>
          <t>Backend</t>
        </is>
      </c>
      <c r="B11" s="17" t="inlineStr">
        <is>
          <t>repo gốc</t>
        </is>
      </c>
      <c r="C11" s="17" t="inlineStr">
        <is>
          <t>python scripts/coverage-summary.py --classes</t>
        </is>
      </c>
      <c r="D11" s="17" t="inlineStr">
        <is>
          <t>Bảng coverage toàn repo + 25 lớp thiếu nhiều dòng nhất</t>
        </is>
      </c>
    </row>
    <row r="12">
      <c r="A12" s="17" t="inlineStr">
        <is>
          <t>Backend</t>
        </is>
      </c>
      <c r="B12" s="17" t="inlineStr">
        <is>
          <t>backend/</t>
        </is>
      </c>
      <c r="C12" s="17" t="inlineStr">
        <is>
          <t>./mvnw -B spotless:check</t>
        </is>
      </c>
      <c r="D12" s="17" t="inlineStr">
        <is>
          <t>Lint (sửa: spotless:apply)</t>
        </is>
      </c>
    </row>
    <row r="13">
      <c r="A13" s="17" t="inlineStr">
        <is>
          <t>Frontend</t>
        </is>
      </c>
      <c r="B13" s="17" t="inlineStr">
        <is>
          <t>frontend/</t>
        </is>
      </c>
      <c r="C13" s="17" t="inlineStr">
        <is>
          <t>corepack pnpm test</t>
        </is>
      </c>
      <c r="D13" s="17" t="inlineStr">
        <is>
          <t>Unit mọi gói/app</t>
        </is>
      </c>
    </row>
    <row r="14">
      <c r="A14" s="17" t="inlineStr">
        <is>
          <t>Frontend</t>
        </is>
      </c>
      <c r="B14" s="17" t="inlineStr">
        <is>
          <t>frontend/</t>
        </is>
      </c>
      <c r="C14" s="17" t="inlineStr">
        <is>
          <t>corepack pnpm test:coverage</t>
        </is>
      </c>
      <c r="D14" s="17" t="inlineStr">
        <is>
          <t>Coverage</t>
        </is>
      </c>
    </row>
    <row r="15">
      <c r="A15" s="17" t="inlineStr">
        <is>
          <t>Frontend</t>
        </is>
      </c>
      <c r="B15" s="17" t="inlineStr">
        <is>
          <t>frontend/</t>
        </is>
      </c>
      <c r="C15" s="17" t="inlineStr">
        <is>
          <t>corepack pnpm --filter @nexaticket/web-customer test:e2e</t>
        </is>
      </c>
      <c r="D15" s="17" t="inlineStr">
        <is>
          <t>E2E Playwright (một next dev, tự dừng khi xong)</t>
        </is>
      </c>
    </row>
    <row r="16">
      <c r="A16" s="17" t="inlineStr">
        <is>
          <t>Frontend</t>
        </is>
      </c>
      <c r="B16" s="17" t="inlineStr">
        <is>
          <t>frontend/</t>
        </is>
      </c>
      <c r="C16" s="17" t="inlineStr">
        <is>
          <t>corepack pnpm typecheck ; corepack pnpm lint</t>
        </is>
      </c>
      <c r="D16" s="17" t="inlineStr">
        <is>
          <t>Typecheck + lint</t>
        </is>
      </c>
    </row>
    <row r="17">
      <c r="A17" s="17" t="inlineStr">
        <is>
          <t>Load</t>
        </is>
      </c>
      <c r="B17" s="17" t="inlineStr">
        <is>
          <t>repo gốc</t>
        </is>
      </c>
      <c r="C17" s="17" t="inlineStr">
        <is>
          <t>k6 run load-tests/k6/discovery.js</t>
        </is>
      </c>
      <c r="D17" s="17" t="inlineStr">
        <is>
          <t>Tải đọc (không cần đăng nhập); xem load-tests/README.md</t>
        </is>
      </c>
    </row>
    <row r="18">
      <c r="A18" s="17" t="inlineStr">
        <is>
          <t>Load</t>
        </is>
      </c>
      <c r="B18" s="17" t="inlineStr">
        <is>
          <t>repo gốc</t>
        </is>
      </c>
      <c r="C18" s="17" t="inlineStr">
        <is>
          <t>k6 run -e TOKENS_FILE=tokens.txt -e SEATS=4 load-tests/k6/hold-contention.js</t>
        </is>
      </c>
      <c r="D18" s="17" t="inlineStr">
        <is>
          <t>Tranh chấp ghế qua gateway thật</t>
        </is>
      </c>
    </row>
    <row r="19">
      <c r="A19" s="17" t="inlineStr">
        <is>
          <t>Báo cáo</t>
        </is>
      </c>
      <c r="B19" s="17" t="inlineStr">
        <is>
          <t>repo gốc</t>
        </is>
      </c>
      <c r="C19" s="17" t="inlineStr">
        <is>
          <t>python scripts/build-test-report.py</t>
        </is>
      </c>
      <c r="D19" s="17" t="inlineStr">
        <is>
          <t>Sinh lại workbook này từ kết quả chạy gần nhất</t>
        </is>
      </c>
    </row>
    <row r="21">
      <c r="A21" s="13" t="inlineStr">
        <is>
          <t>• Yêu cầu: JDK 21 (JAVA_HOME), Docker Desktop đang chạy (cho integration), Node ≥ 20 + corepack, Playwright Chromium (corepack pnpm exec playwright install chromium).</t>
        </is>
      </c>
    </row>
    <row r="22">
      <c r="A22" s="13" t="inlineStr">
        <is>
          <t>• Không cần biến môi trường cho unit/slice test. E2E tự sinh AUTH_SECRET và dùng nhà phát hành OIDC giả — không đọc .env.local.</t>
        </is>
      </c>
    </row>
    <row r="23">
      <c r="A23" s="13" t="inlineStr">
        <is>
          <t>• Máy 16 GB: chạy integration tuần tự, MAVEN_OPTS=-Xmx512m; Docker Desktop (WSL) chiếm ~6 GB.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J4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34" customWidth="1" min="5" max="5"/>
    <col width="34" customWidth="1" min="6" max="6"/>
    <col width="70" customWidth="1" min="7" max="7"/>
    <col width="34" customWidth="1" min="8" max="8"/>
    <col width="10" customWidth="1" min="9" max="9"/>
    <col width="11" customWidth="1" min="10" max="10"/>
  </cols>
  <sheetData>
    <row r="1">
      <c r="A1" s="1" t="inlineStr">
        <is>
          <t>Danh mục test tự động — mọi test đã chạy</t>
        </is>
      </c>
    </row>
    <row r="2">
      <c r="A2" s="2" t="inlineStr">
        <is>
          <t>Nguồn: báo cáo Surefire/Failsafe, Vitest, Playwright của lần chạy gần nhất. Tên = @DisplayName trong mã.</t>
        </is>
      </c>
    </row>
    <row r="4" ht="30" customHeight="1">
      <c r="A4" s="4" t="inlineStr">
        <is>
          <t>STT</t>
        </is>
      </c>
      <c r="B4" s="4" t="inlineStr">
        <is>
          <t>Hệ</t>
        </is>
      </c>
      <c r="C4" s="4" t="inlineStr">
        <is>
          <t>Module</t>
        </is>
      </c>
      <c r="D4" s="4" t="inlineStr">
        <is>
          <t>Mức</t>
        </is>
      </c>
      <c r="E4" s="4" t="inlineStr">
        <is>
          <t>Lớp test</t>
        </is>
      </c>
      <c r="F4" s="4" t="inlineStr">
        <is>
          <t>Nhóm</t>
        </is>
      </c>
      <c r="G4" s="4" t="inlineStr">
        <is>
          <t>Tên test (hành vi được kiểm)</t>
        </is>
      </c>
      <c r="H4" s="4" t="inlineStr">
        <is>
          <t>Phương thức</t>
        </is>
      </c>
      <c r="I4" s="4" t="inlineStr">
        <is>
          <t>Kết quả</t>
        </is>
      </c>
      <c r="J4" s="4" t="inlineStr">
        <is>
          <t>Thời gian (s)</t>
        </is>
      </c>
    </row>
    <row r="5">
      <c r="A5" s="16" t="n">
        <v>1</v>
      </c>
      <c r="B5" s="16" t="inlineStr">
        <is>
          <t>Backend</t>
        </is>
      </c>
      <c r="C5" s="17" t="inlineStr">
        <is>
          <t>shared-kernel</t>
        </is>
      </c>
      <c r="D5" s="16" t="inlineStr">
        <is>
          <t>Unit</t>
        </is>
      </c>
      <c r="E5" s="17" t="inlineStr">
        <is>
          <t>RoleMatrixTest</t>
        </is>
      </c>
      <c r="F5" s="17" t="inlineStr"/>
      <c r="G5" s="17" t="inlineStr">
        <is>
          <t>PLATFORM_SUPPORT_HANDLE chỉ SUPER_ADMIN có — ban tổ chức không đọc được chat của khách</t>
        </is>
      </c>
      <c r="H5" s="17" t="inlineStr">
        <is>
          <t>support_handle_chi_super_admin</t>
        </is>
      </c>
      <c r="I5" s="16" t="inlineStr">
        <is>
          <t>Đạt</t>
        </is>
      </c>
      <c r="J5" s="16" t="n">
        <v>0.17</v>
      </c>
    </row>
    <row r="6">
      <c r="A6" s="16" t="n">
        <v>2</v>
      </c>
      <c r="B6" s="16" t="inlineStr">
        <is>
          <t>Backend</t>
        </is>
      </c>
      <c r="C6" s="17" t="inlineStr">
        <is>
          <t>shared-kernel</t>
        </is>
      </c>
      <c r="D6" s="16" t="inlineStr">
        <is>
          <t>Unit</t>
        </is>
      </c>
      <c r="E6" s="17" t="inlineStr">
        <is>
          <t>RoleMatrixTest</t>
        </is>
      </c>
      <c r="F6" s="17" t="inlineStr"/>
      <c r="G6" s="17" t="inlineStr">
        <is>
          <t>không vai trò tổ chức nào có quyền PLATFORM_* — kể cả chủ sở hữu</t>
        </is>
      </c>
      <c r="H6" s="17" t="inlineStr">
        <is>
          <t>khong_ai_ngoai_super_admin_co_quyen_nen_tang(Role)[1]</t>
        </is>
      </c>
      <c r="I6" s="16" t="inlineStr">
        <is>
          <t>Đạt</t>
        </is>
      </c>
      <c r="J6" s="16" t="n">
        <v>0.037</v>
      </c>
    </row>
    <row r="7">
      <c r="A7" s="16" t="n">
        <v>3</v>
      </c>
      <c r="B7" s="16" t="inlineStr">
        <is>
          <t>Backend</t>
        </is>
      </c>
      <c r="C7" s="17" t="inlineStr">
        <is>
          <t>shared-kernel</t>
        </is>
      </c>
      <c r="D7" s="16" t="inlineStr">
        <is>
          <t>Unit</t>
        </is>
      </c>
      <c r="E7" s="17" t="inlineStr">
        <is>
          <t>RoleMatrixTest</t>
        </is>
      </c>
      <c r="F7" s="17" t="inlineStr"/>
      <c r="G7" s="17" t="inlineStr">
        <is>
          <t>không vai trò tổ chức nào có quyền PLATFORM_* — kể cả chủ sở hữu</t>
        </is>
      </c>
      <c r="H7" s="17" t="inlineStr">
        <is>
          <t>khong_ai_ngoai_super_admin_co_quyen_nen_tang(Role)[2]</t>
        </is>
      </c>
      <c r="I7" s="16" t="inlineStr">
        <is>
          <t>Đạt</t>
        </is>
      </c>
      <c r="J7" s="16" t="n">
        <v>0.007</v>
      </c>
    </row>
    <row r="8">
      <c r="A8" s="16" t="n">
        <v>4</v>
      </c>
      <c r="B8" s="16" t="inlineStr">
        <is>
          <t>Backend</t>
        </is>
      </c>
      <c r="C8" s="17" t="inlineStr">
        <is>
          <t>shared-kernel</t>
        </is>
      </c>
      <c r="D8" s="16" t="inlineStr">
        <is>
          <t>Unit</t>
        </is>
      </c>
      <c r="E8" s="17" t="inlineStr">
        <is>
          <t>RoleMatrixTest</t>
        </is>
      </c>
      <c r="F8" s="17" t="inlineStr"/>
      <c r="G8" s="17" t="inlineStr">
        <is>
          <t>không vai trò tổ chức nào có quyền PLATFORM_* — kể cả chủ sở hữu</t>
        </is>
      </c>
      <c r="H8" s="17" t="inlineStr">
        <is>
          <t>khong_ai_ngoai_super_admin_co_quyen_nen_tang(Role)[3]</t>
        </is>
      </c>
      <c r="I8" s="16" t="inlineStr">
        <is>
          <t>Đạt</t>
        </is>
      </c>
      <c r="J8" s="16" t="n">
        <v>0.006</v>
      </c>
    </row>
    <row r="9">
      <c r="A9" s="16" t="n">
        <v>5</v>
      </c>
      <c r="B9" s="16" t="inlineStr">
        <is>
          <t>Backend</t>
        </is>
      </c>
      <c r="C9" s="17" t="inlineStr">
        <is>
          <t>shared-kernel</t>
        </is>
      </c>
      <c r="D9" s="16" t="inlineStr">
        <is>
          <t>Unit</t>
        </is>
      </c>
      <c r="E9" s="17" t="inlineStr">
        <is>
          <t>RoleMatrixTest</t>
        </is>
      </c>
      <c r="F9" s="17" t="inlineStr"/>
      <c r="G9" s="17" t="inlineStr">
        <is>
          <t>không vai trò tổ chức nào có quyền PLATFORM_* — kể cả chủ sở hữu</t>
        </is>
      </c>
      <c r="H9" s="17" t="inlineStr">
        <is>
          <t>khong_ai_ngoai_super_admin_co_quyen_nen_tang(Role)[4]</t>
        </is>
      </c>
      <c r="I9" s="16" t="inlineStr">
        <is>
          <t>Đạt</t>
        </is>
      </c>
      <c r="J9" s="16" t="n">
        <v>0.003</v>
      </c>
    </row>
    <row r="10">
      <c r="A10" s="16" t="n">
        <v>6</v>
      </c>
      <c r="B10" s="16" t="inlineStr">
        <is>
          <t>Backend</t>
        </is>
      </c>
      <c r="C10" s="17" t="inlineStr">
        <is>
          <t>shared-kernel</t>
        </is>
      </c>
      <c r="D10" s="16" t="inlineStr">
        <is>
          <t>Unit</t>
        </is>
      </c>
      <c r="E10" s="17" t="inlineStr">
        <is>
          <t>RoleMatrixTest</t>
        </is>
      </c>
      <c r="F10" s="17" t="inlineStr"/>
      <c r="G10" s="17" t="inlineStr">
        <is>
          <t>không vai trò tổ chức nào có quyền PLATFORM_* — kể cả chủ sở hữu</t>
        </is>
      </c>
      <c r="H10" s="17" t="inlineStr">
        <is>
          <t>khong_ai_ngoai_super_admin_co_quyen_nen_tang(Role)[5]</t>
        </is>
      </c>
      <c r="I10" s="16" t="inlineStr">
        <is>
          <t>Đạt</t>
        </is>
      </c>
      <c r="J10" s="16" t="n">
        <v>0.003</v>
      </c>
    </row>
    <row r="11">
      <c r="A11" s="16" t="n">
        <v>7</v>
      </c>
      <c r="B11" s="16" t="inlineStr">
        <is>
          <t>Backend</t>
        </is>
      </c>
      <c r="C11" s="17" t="inlineStr">
        <is>
          <t>shared-kernel</t>
        </is>
      </c>
      <c r="D11" s="16" t="inlineStr">
        <is>
          <t>Unit</t>
        </is>
      </c>
      <c r="E11" s="17" t="inlineStr">
        <is>
          <t>RoleMatrixTest</t>
        </is>
      </c>
      <c r="F11" s="17" t="inlineStr"/>
      <c r="G11" s="17" t="inlineStr">
        <is>
          <t>SUPER_ADMIN: đúng sáu quyền nền tảng, không có quyền tổ chức nào</t>
        </is>
      </c>
      <c r="H11" s="17" t="inlineStr">
        <is>
          <t>super_admin</t>
        </is>
      </c>
      <c r="I11" s="16" t="inlineStr">
        <is>
          <t>Đạt</t>
        </is>
      </c>
      <c r="J11" s="16" t="n">
        <v>0.002</v>
      </c>
    </row>
    <row r="12">
      <c r="A12" s="16" t="n">
        <v>8</v>
      </c>
      <c r="B12" s="16" t="inlineStr">
        <is>
          <t>Backend</t>
        </is>
      </c>
      <c r="C12" s="17" t="inlineStr">
        <is>
          <t>shared-kernel</t>
        </is>
      </c>
      <c r="D12" s="16" t="inlineStr">
        <is>
          <t>Unit</t>
        </is>
      </c>
      <c r="E12" s="17" t="inlineStr">
        <is>
          <t>RoleMatrixTest</t>
        </is>
      </c>
      <c r="F12" s="17" t="inlineStr"/>
      <c r="G12" s="17" t="inlineStr">
        <is>
          <t>PLATFORM_FINANCE_VIEW chỉ SUPER_ADMIN có — tổ chức không thấy sổ cái (ADR-1010)</t>
        </is>
      </c>
      <c r="H12" s="17" t="inlineStr">
        <is>
          <t>finance_chi_super_admin</t>
        </is>
      </c>
      <c r="I12" s="16" t="inlineStr">
        <is>
          <t>Đạt</t>
        </is>
      </c>
      <c r="J12" s="16" t="n">
        <v>0.003</v>
      </c>
    </row>
    <row r="13">
      <c r="A13" s="16" t="n">
        <v>9</v>
      </c>
      <c r="B13" s="16" t="inlineStr">
        <is>
          <t>Backend</t>
        </is>
      </c>
      <c r="C13" s="17" t="inlineStr">
        <is>
          <t>shared-kernel</t>
        </is>
      </c>
      <c r="D13" s="16" t="inlineStr">
        <is>
          <t>Unit</t>
        </is>
      </c>
      <c r="E13" s="17" t="inlineStr">
        <is>
          <t>RoleMatrixTest</t>
        </is>
      </c>
      <c r="F13" s="17" t="inlineStr"/>
      <c r="G13" s="17" t="inlineStr">
        <is>
          <t>isOrganizationScoped: SUPER_ADMIN và CUSTOMER không gắn tổ chức, bốn vai trò còn lại có</t>
        </is>
      </c>
      <c r="H13" s="17" t="inlineStr">
        <is>
          <t>pham_vi_to_chuc</t>
        </is>
      </c>
      <c r="I13" s="16" t="inlineStr">
        <is>
          <t>Đạt</t>
        </is>
      </c>
      <c r="J13" s="16" t="n">
        <v>0.008999999999999999</v>
      </c>
    </row>
    <row r="14">
      <c r="A14" s="16" t="n">
        <v>10</v>
      </c>
      <c r="B14" s="16" t="inlineStr">
        <is>
          <t>Backend</t>
        </is>
      </c>
      <c r="C14" s="17" t="inlineStr">
        <is>
          <t>shared-kernel</t>
        </is>
      </c>
      <c r="D14" s="16" t="inlineStr">
        <is>
          <t>Unit</t>
        </is>
      </c>
      <c r="E14" s="17" t="inlineStr">
        <is>
          <t>RoleMatrixTest</t>
        </is>
      </c>
      <c r="F14" s="17" t="inlineStr"/>
      <c r="G14" s="17" t="inlineStr">
        <is>
          <t>CHECKIN_STAFF chỉ quét vé; CUSTOMER không có quyền nào</t>
        </is>
      </c>
      <c r="H14" s="17" t="inlineStr">
        <is>
          <t>staff_va_customer</t>
        </is>
      </c>
      <c r="I14" s="16" t="inlineStr">
        <is>
          <t>Đạt</t>
        </is>
      </c>
      <c r="J14" s="16" t="n">
        <v>0.005</v>
      </c>
    </row>
    <row r="15">
      <c r="A15" s="16" t="n">
        <v>11</v>
      </c>
      <c r="B15" s="16" t="inlineStr">
        <is>
          <t>Backend</t>
        </is>
      </c>
      <c r="C15" s="17" t="inlineStr">
        <is>
          <t>shared-kernel</t>
        </is>
      </c>
      <c r="D15" s="16" t="inlineStr">
        <is>
          <t>Unit</t>
        </is>
      </c>
      <c r="E15" s="17" t="inlineStr">
        <is>
          <t>RoleMatrixTest</t>
        </is>
      </c>
      <c r="F15" s="17" t="inlineStr"/>
      <c r="G15" s="17" t="inlineStr">
        <is>
          <t>mỗi quyền được gán cho ít nhất một vai trò — không có quyền mồ côi</t>
        </is>
      </c>
      <c r="H15" s="17" t="inlineStr">
        <is>
          <t>khong_co_quyen_mo_coi(Permission)[1]</t>
        </is>
      </c>
      <c r="I15" s="16" t="inlineStr">
        <is>
          <t>Đạt</t>
        </is>
      </c>
      <c r="J15" s="16" t="n">
        <v>0.005</v>
      </c>
    </row>
    <row r="16">
      <c r="A16" s="16" t="n">
        <v>12</v>
      </c>
      <c r="B16" s="16" t="inlineStr">
        <is>
          <t>Backend</t>
        </is>
      </c>
      <c r="C16" s="17" t="inlineStr">
        <is>
          <t>shared-kernel</t>
        </is>
      </c>
      <c r="D16" s="16" t="inlineStr">
        <is>
          <t>Unit</t>
        </is>
      </c>
      <c r="E16" s="17" t="inlineStr">
        <is>
          <t>RoleMatrixTest</t>
        </is>
      </c>
      <c r="F16" s="17" t="inlineStr"/>
      <c r="G16" s="17" t="inlineStr">
        <is>
          <t>mỗi quyền được gán cho ít nhất một vai trò — không có quyền mồ côi</t>
        </is>
      </c>
      <c r="H16" s="17" t="inlineStr">
        <is>
          <t>khong_co_quyen_mo_coi(Permission)[2]</t>
        </is>
      </c>
      <c r="I16" s="16" t="inlineStr">
        <is>
          <t>Đạt</t>
        </is>
      </c>
      <c r="J16" s="16" t="n">
        <v>0.002</v>
      </c>
    </row>
    <row r="17">
      <c r="A17" s="16" t="n">
        <v>13</v>
      </c>
      <c r="B17" s="16" t="inlineStr">
        <is>
          <t>Backend</t>
        </is>
      </c>
      <c r="C17" s="17" t="inlineStr">
        <is>
          <t>shared-kernel</t>
        </is>
      </c>
      <c r="D17" s="16" t="inlineStr">
        <is>
          <t>Unit</t>
        </is>
      </c>
      <c r="E17" s="17" t="inlineStr">
        <is>
          <t>RoleMatrixTest</t>
        </is>
      </c>
      <c r="F17" s="17" t="inlineStr"/>
      <c r="G17" s="17" t="inlineStr">
        <is>
          <t>mỗi quyền được gán cho ít nhất một vai trò — không có quyền mồ côi</t>
        </is>
      </c>
      <c r="H17" s="17" t="inlineStr">
        <is>
          <t>khong_co_quyen_mo_coi(Permission)[3]</t>
        </is>
      </c>
      <c r="I17" s="16" t="inlineStr">
        <is>
          <t>Đạt</t>
        </is>
      </c>
      <c r="J17" s="16" t="n">
        <v>0.003</v>
      </c>
    </row>
    <row r="18">
      <c r="A18" s="16" t="n">
        <v>14</v>
      </c>
      <c r="B18" s="16" t="inlineStr">
        <is>
          <t>Backend</t>
        </is>
      </c>
      <c r="C18" s="17" t="inlineStr">
        <is>
          <t>shared-kernel</t>
        </is>
      </c>
      <c r="D18" s="16" t="inlineStr">
        <is>
          <t>Unit</t>
        </is>
      </c>
      <c r="E18" s="17" t="inlineStr">
        <is>
          <t>RoleMatrixTest</t>
        </is>
      </c>
      <c r="F18" s="17" t="inlineStr"/>
      <c r="G18" s="17" t="inlineStr">
        <is>
          <t>mỗi quyền được gán cho ít nhất một vai trò — không có quyền mồ côi</t>
        </is>
      </c>
      <c r="H18" s="17" t="inlineStr">
        <is>
          <t>khong_co_quyen_mo_coi(Permission)[4]</t>
        </is>
      </c>
      <c r="I18" s="16" t="inlineStr">
        <is>
          <t>Đạt</t>
        </is>
      </c>
      <c r="J18" s="16" t="n">
        <v>0.003</v>
      </c>
    </row>
    <row r="19">
      <c r="A19" s="16" t="n">
        <v>15</v>
      </c>
      <c r="B19" s="16" t="inlineStr">
        <is>
          <t>Backend</t>
        </is>
      </c>
      <c r="C19" s="17" t="inlineStr">
        <is>
          <t>shared-kernel</t>
        </is>
      </c>
      <c r="D19" s="16" t="inlineStr">
        <is>
          <t>Unit</t>
        </is>
      </c>
      <c r="E19" s="17" t="inlineStr">
        <is>
          <t>RoleMatrixTest</t>
        </is>
      </c>
      <c r="F19" s="17" t="inlineStr"/>
      <c r="G19" s="17" t="inlineStr">
        <is>
          <t>mỗi quyền được gán cho ít nhất một vai trò — không có quyền mồ côi</t>
        </is>
      </c>
      <c r="H19" s="17" t="inlineStr">
        <is>
          <t>khong_co_quyen_mo_coi(Permission)[5]</t>
        </is>
      </c>
      <c r="I19" s="16" t="inlineStr">
        <is>
          <t>Đạt</t>
        </is>
      </c>
      <c r="J19" s="16" t="n">
        <v>0.019</v>
      </c>
    </row>
    <row r="20">
      <c r="A20" s="16" t="n">
        <v>16</v>
      </c>
      <c r="B20" s="16" t="inlineStr">
        <is>
          <t>Backend</t>
        </is>
      </c>
      <c r="C20" s="17" t="inlineStr">
        <is>
          <t>shared-kernel</t>
        </is>
      </c>
      <c r="D20" s="16" t="inlineStr">
        <is>
          <t>Unit</t>
        </is>
      </c>
      <c r="E20" s="17" t="inlineStr">
        <is>
          <t>RoleMatrixTest</t>
        </is>
      </c>
      <c r="F20" s="17" t="inlineStr"/>
      <c r="G20" s="17" t="inlineStr">
        <is>
          <t>mỗi quyền được gán cho ít nhất một vai trò — không có quyền mồ côi</t>
        </is>
      </c>
      <c r="H20" s="17" t="inlineStr">
        <is>
          <t>khong_co_quyen_mo_coi(Permission)[6]</t>
        </is>
      </c>
      <c r="I20" s="16" t="inlineStr">
        <is>
          <t>Đạt</t>
        </is>
      </c>
      <c r="J20" s="16" t="n">
        <v>0.002</v>
      </c>
    </row>
    <row r="21">
      <c r="A21" s="16" t="n">
        <v>17</v>
      </c>
      <c r="B21" s="16" t="inlineStr">
        <is>
          <t>Backend</t>
        </is>
      </c>
      <c r="C21" s="17" t="inlineStr">
        <is>
          <t>shared-kernel</t>
        </is>
      </c>
      <c r="D21" s="16" t="inlineStr">
        <is>
          <t>Unit</t>
        </is>
      </c>
      <c r="E21" s="17" t="inlineStr">
        <is>
          <t>RoleMatrixTest</t>
        </is>
      </c>
      <c r="F21" s="17" t="inlineStr"/>
      <c r="G21" s="17" t="inlineStr">
        <is>
          <t>mỗi quyền được gán cho ít nhất một vai trò — không có quyền mồ côi</t>
        </is>
      </c>
      <c r="H21" s="17" t="inlineStr">
        <is>
          <t>khong_co_quyen_mo_coi(Permission)[7]</t>
        </is>
      </c>
      <c r="I21" s="16" t="inlineStr">
        <is>
          <t>Đạt</t>
        </is>
      </c>
      <c r="J21" s="16" t="n">
        <v>0.003</v>
      </c>
    </row>
    <row r="22">
      <c r="A22" s="16" t="n">
        <v>18</v>
      </c>
      <c r="B22" s="16" t="inlineStr">
        <is>
          <t>Backend</t>
        </is>
      </c>
      <c r="C22" s="17" t="inlineStr">
        <is>
          <t>shared-kernel</t>
        </is>
      </c>
      <c r="D22" s="16" t="inlineStr">
        <is>
          <t>Unit</t>
        </is>
      </c>
      <c r="E22" s="17" t="inlineStr">
        <is>
          <t>RoleMatrixTest</t>
        </is>
      </c>
      <c r="F22" s="17" t="inlineStr"/>
      <c r="G22" s="17" t="inlineStr">
        <is>
          <t>mỗi quyền được gán cho ít nhất một vai trò — không có quyền mồ côi</t>
        </is>
      </c>
      <c r="H22" s="17" t="inlineStr">
        <is>
          <t>khong_co_quyen_mo_coi(Permission)[8]</t>
        </is>
      </c>
      <c r="I22" s="16" t="inlineStr">
        <is>
          <t>Đạt</t>
        </is>
      </c>
      <c r="J22" s="16" t="n">
        <v>0.007</v>
      </c>
    </row>
    <row r="23">
      <c r="A23" s="16" t="n">
        <v>19</v>
      </c>
      <c r="B23" s="16" t="inlineStr">
        <is>
          <t>Backend</t>
        </is>
      </c>
      <c r="C23" s="17" t="inlineStr">
        <is>
          <t>shared-kernel</t>
        </is>
      </c>
      <c r="D23" s="16" t="inlineStr">
        <is>
          <t>Unit</t>
        </is>
      </c>
      <c r="E23" s="17" t="inlineStr">
        <is>
          <t>RoleMatrixTest</t>
        </is>
      </c>
      <c r="F23" s="17" t="inlineStr"/>
      <c r="G23" s="17" t="inlineStr">
        <is>
          <t>mỗi quyền được gán cho ít nhất một vai trò — không có quyền mồ côi</t>
        </is>
      </c>
      <c r="H23" s="17" t="inlineStr">
        <is>
          <t>khong_co_quyen_mo_coi(Permission)[9]</t>
        </is>
      </c>
      <c r="I23" s="16" t="inlineStr">
        <is>
          <t>Đạt</t>
        </is>
      </c>
      <c r="J23" s="16" t="n">
        <v>0.01</v>
      </c>
    </row>
    <row r="24">
      <c r="A24" s="16" t="n">
        <v>20</v>
      </c>
      <c r="B24" s="16" t="inlineStr">
        <is>
          <t>Backend</t>
        </is>
      </c>
      <c r="C24" s="17" t="inlineStr">
        <is>
          <t>shared-kernel</t>
        </is>
      </c>
      <c r="D24" s="16" t="inlineStr">
        <is>
          <t>Unit</t>
        </is>
      </c>
      <c r="E24" s="17" t="inlineStr">
        <is>
          <t>RoleMatrixTest</t>
        </is>
      </c>
      <c r="F24" s="17" t="inlineStr"/>
      <c r="G24" s="17" t="inlineStr">
        <is>
          <t>mỗi quyền được gán cho ít nhất một vai trò — không có quyền mồ côi</t>
        </is>
      </c>
      <c r="H24" s="17" t="inlineStr">
        <is>
          <t>khong_co_quyen_mo_coi(Permission)[10]</t>
        </is>
      </c>
      <c r="I24" s="16" t="inlineStr">
        <is>
          <t>Đạt</t>
        </is>
      </c>
      <c r="J24" s="16" t="n">
        <v>0.006</v>
      </c>
    </row>
    <row r="25">
      <c r="A25" s="16" t="n">
        <v>21</v>
      </c>
      <c r="B25" s="16" t="inlineStr">
        <is>
          <t>Backend</t>
        </is>
      </c>
      <c r="C25" s="17" t="inlineStr">
        <is>
          <t>shared-kernel</t>
        </is>
      </c>
      <c r="D25" s="16" t="inlineStr">
        <is>
          <t>Unit</t>
        </is>
      </c>
      <c r="E25" s="17" t="inlineStr">
        <is>
          <t>RoleMatrixTest</t>
        </is>
      </c>
      <c r="F25" s="17" t="inlineStr"/>
      <c r="G25" s="17" t="inlineStr">
        <is>
          <t>mỗi quyền được gán cho ít nhất một vai trò — không có quyền mồ côi</t>
        </is>
      </c>
      <c r="H25" s="17" t="inlineStr">
        <is>
          <t>khong_co_quyen_mo_coi(Permission)[11]</t>
        </is>
      </c>
      <c r="I25" s="16" t="inlineStr">
        <is>
          <t>Đạt</t>
        </is>
      </c>
      <c r="J25" s="16" t="n">
        <v>0.006</v>
      </c>
    </row>
    <row r="26">
      <c r="A26" s="16" t="n">
        <v>22</v>
      </c>
      <c r="B26" s="16" t="inlineStr">
        <is>
          <t>Backend</t>
        </is>
      </c>
      <c r="C26" s="17" t="inlineStr">
        <is>
          <t>shared-kernel</t>
        </is>
      </c>
      <c r="D26" s="16" t="inlineStr">
        <is>
          <t>Unit</t>
        </is>
      </c>
      <c r="E26" s="17" t="inlineStr">
        <is>
          <t>RoleMatrixTest</t>
        </is>
      </c>
      <c r="F26" s="17" t="inlineStr"/>
      <c r="G26" s="17" t="inlineStr">
        <is>
          <t>mỗi quyền được gán cho ít nhất một vai trò — không có quyền mồ côi</t>
        </is>
      </c>
      <c r="H26" s="17" t="inlineStr">
        <is>
          <t>khong_co_quyen_mo_coi(Permission)[12]</t>
        </is>
      </c>
      <c r="I26" s="16" t="inlineStr">
        <is>
          <t>Đạt</t>
        </is>
      </c>
      <c r="J26" s="16" t="n">
        <v>0.003</v>
      </c>
    </row>
    <row r="27">
      <c r="A27" s="16" t="n">
        <v>23</v>
      </c>
      <c r="B27" s="16" t="inlineStr">
        <is>
          <t>Backend</t>
        </is>
      </c>
      <c r="C27" s="17" t="inlineStr">
        <is>
          <t>shared-kernel</t>
        </is>
      </c>
      <c r="D27" s="16" t="inlineStr">
        <is>
          <t>Unit</t>
        </is>
      </c>
      <c r="E27" s="17" t="inlineStr">
        <is>
          <t>RoleMatrixTest</t>
        </is>
      </c>
      <c r="F27" s="17" t="inlineStr"/>
      <c r="G27" s="17" t="inlineStr">
        <is>
          <t>mỗi quyền được gán cho ít nhất một vai trò — không có quyền mồ côi</t>
        </is>
      </c>
      <c r="H27" s="17" t="inlineStr">
        <is>
          <t>khong_co_quyen_mo_coi(Permission)[13]</t>
        </is>
      </c>
      <c r="I27" s="16" t="inlineStr">
        <is>
          <t>Đạt</t>
        </is>
      </c>
      <c r="J27" s="16" t="n">
        <v>0.002</v>
      </c>
    </row>
    <row r="28">
      <c r="A28" s="16" t="n">
        <v>24</v>
      </c>
      <c r="B28" s="16" t="inlineStr">
        <is>
          <t>Backend</t>
        </is>
      </c>
      <c r="C28" s="17" t="inlineStr">
        <is>
          <t>shared-kernel</t>
        </is>
      </c>
      <c r="D28" s="16" t="inlineStr">
        <is>
          <t>Unit</t>
        </is>
      </c>
      <c r="E28" s="17" t="inlineStr">
        <is>
          <t>RoleMatrixTest</t>
        </is>
      </c>
      <c r="F28" s="17" t="inlineStr"/>
      <c r="G28" s="17" t="inlineStr">
        <is>
          <t>mỗi quyền được gán cho ít nhất một vai trò — không có quyền mồ côi</t>
        </is>
      </c>
      <c r="H28" s="17" t="inlineStr">
        <is>
          <t>khong_co_quyen_mo_coi(Permission)[14]</t>
        </is>
      </c>
      <c r="I28" s="16" t="inlineStr">
        <is>
          <t>Đạt</t>
        </is>
      </c>
      <c r="J28" s="16" t="n">
        <v>0.002</v>
      </c>
    </row>
    <row r="29">
      <c r="A29" s="16" t="n">
        <v>25</v>
      </c>
      <c r="B29" s="16" t="inlineStr">
        <is>
          <t>Backend</t>
        </is>
      </c>
      <c r="C29" s="17" t="inlineStr">
        <is>
          <t>shared-kernel</t>
        </is>
      </c>
      <c r="D29" s="16" t="inlineStr">
        <is>
          <t>Unit</t>
        </is>
      </c>
      <c r="E29" s="17" t="inlineStr">
        <is>
          <t>RoleMatrixTest</t>
        </is>
      </c>
      <c r="F29" s="17" t="inlineStr"/>
      <c r="G29" s="17" t="inlineStr">
        <is>
          <t>mỗi quyền được gán cho ít nhất một vai trò — không có quyền mồ côi</t>
        </is>
      </c>
      <c r="H29" s="17" t="inlineStr">
        <is>
          <t>khong_co_quyen_mo_coi(Permission)[15]</t>
        </is>
      </c>
      <c r="I29" s="16" t="inlineStr">
        <is>
          <t>Đạt</t>
        </is>
      </c>
      <c r="J29" s="16" t="n">
        <v>0.007</v>
      </c>
    </row>
    <row r="30">
      <c r="A30" s="16" t="n">
        <v>26</v>
      </c>
      <c r="B30" s="16" t="inlineStr">
        <is>
          <t>Backend</t>
        </is>
      </c>
      <c r="C30" s="17" t="inlineStr">
        <is>
          <t>shared-kernel</t>
        </is>
      </c>
      <c r="D30" s="16" t="inlineStr">
        <is>
          <t>Unit</t>
        </is>
      </c>
      <c r="E30" s="17" t="inlineStr">
        <is>
          <t>RoleMatrixTest</t>
        </is>
      </c>
      <c r="F30" s="17" t="inlineStr"/>
      <c r="G30" s="17" t="inlineStr">
        <is>
          <t>các hàm deprecated trả lời giống hệt hàm hỏi quyền</t>
        </is>
      </c>
      <c r="H30" s="17" t="inlineStr">
        <is>
          <t>ham_cu_khop_ma_tran</t>
        </is>
      </c>
      <c r="I30" s="16" t="inlineStr">
        <is>
          <t>Đạt</t>
        </is>
      </c>
      <c r="J30" s="16" t="n">
        <v>0.003</v>
      </c>
    </row>
    <row r="31">
      <c r="A31" s="16" t="n">
        <v>27</v>
      </c>
      <c r="B31" s="16" t="inlineStr">
        <is>
          <t>Backend</t>
        </is>
      </c>
      <c r="C31" s="17" t="inlineStr">
        <is>
          <t>shared-kernel</t>
        </is>
      </c>
      <c r="D31" s="16" t="inlineStr">
        <is>
          <t>Unit</t>
        </is>
      </c>
      <c r="E31" s="17" t="inlineStr">
        <is>
          <t>RoleMatrixTest</t>
        </is>
      </c>
      <c r="F31" s="17" t="inlineStr"/>
      <c r="G31" s="17" t="inlineStr">
        <is>
          <t>ORG_OWNER và ORG_ADMIN có cùng tập quyền tổ chức</t>
        </is>
      </c>
      <c r="H31" s="17" t="inlineStr">
        <is>
          <t>owner_va_admin</t>
        </is>
      </c>
      <c r="I31" s="16" t="inlineStr">
        <is>
          <t>Đạt</t>
        </is>
      </c>
      <c r="J31" s="16" t="n">
        <v>0</v>
      </c>
    </row>
    <row r="32">
      <c r="A32" s="16" t="n">
        <v>28</v>
      </c>
      <c r="B32" s="16" t="inlineStr">
        <is>
          <t>Backend</t>
        </is>
      </c>
      <c r="C32" s="17" t="inlineStr">
        <is>
          <t>shared-kernel</t>
        </is>
      </c>
      <c r="D32" s="16" t="inlineStr">
        <is>
          <t>Unit</t>
        </is>
      </c>
      <c r="E32" s="17" t="inlineStr">
        <is>
          <t>RoleMatrixTest</t>
        </is>
      </c>
      <c r="F32" s="17" t="inlineStr"/>
      <c r="G32" s="17" t="inlineStr">
        <is>
          <t>EVENT_MANAGER: dựng, bán, soát vé, xem số liệu; KHÔNG quản lý người</t>
        </is>
      </c>
      <c r="H32" s="17" t="inlineStr">
        <is>
          <t>event_manager</t>
        </is>
      </c>
      <c r="I32" s="16" t="inlineStr">
        <is>
          <t>Đạt</t>
        </is>
      </c>
      <c r="J32" s="16" t="n">
        <v>0.002</v>
      </c>
    </row>
    <row r="33">
      <c r="A33" s="16" t="n">
        <v>29</v>
      </c>
      <c r="B33" s="16" t="inlineStr">
        <is>
          <t>Backend</t>
        </is>
      </c>
      <c r="C33" s="17" t="inlineStr">
        <is>
          <t>shared-kernel</t>
        </is>
      </c>
      <c r="D33" s="16" t="inlineStr">
        <is>
          <t>Unit</t>
        </is>
      </c>
      <c r="E33" s="17" t="inlineStr">
        <is>
          <t>RoleMatrixTest</t>
        </is>
      </c>
      <c r="F33" s="17" t="inlineStr"/>
      <c r="G33" s="17" t="inlineStr">
        <is>
          <t>isPlatformScoped khớp tiền tố PLATFORM_ của tên quyền</t>
        </is>
      </c>
      <c r="H33" s="17" t="inlineStr">
        <is>
          <t>pham_vi_theo_ten(Permission)[1]</t>
        </is>
      </c>
      <c r="I33" s="16" t="inlineStr">
        <is>
          <t>Đạt</t>
        </is>
      </c>
      <c r="J33" s="16" t="n">
        <v>0.003</v>
      </c>
    </row>
    <row r="34">
      <c r="A34" s="16" t="n">
        <v>30</v>
      </c>
      <c r="B34" s="16" t="inlineStr">
        <is>
          <t>Backend</t>
        </is>
      </c>
      <c r="C34" s="17" t="inlineStr">
        <is>
          <t>shared-kernel</t>
        </is>
      </c>
      <c r="D34" s="16" t="inlineStr">
        <is>
          <t>Unit</t>
        </is>
      </c>
      <c r="E34" s="17" t="inlineStr">
        <is>
          <t>RoleMatrixTest</t>
        </is>
      </c>
      <c r="F34" s="17" t="inlineStr"/>
      <c r="G34" s="17" t="inlineStr">
        <is>
          <t>isPlatformScoped khớp tiền tố PLATFORM_ của tên quyền</t>
        </is>
      </c>
      <c r="H34" s="17" t="inlineStr">
        <is>
          <t>pham_vi_theo_ten(Permission)[2]</t>
        </is>
      </c>
      <c r="I34" s="16" t="inlineStr">
        <is>
          <t>Đạt</t>
        </is>
      </c>
      <c r="J34" s="16" t="n">
        <v>0.003</v>
      </c>
    </row>
    <row r="35">
      <c r="A35" s="16" t="n">
        <v>31</v>
      </c>
      <c r="B35" s="16" t="inlineStr">
        <is>
          <t>Backend</t>
        </is>
      </c>
      <c r="C35" s="17" t="inlineStr">
        <is>
          <t>shared-kernel</t>
        </is>
      </c>
      <c r="D35" s="16" t="inlineStr">
        <is>
          <t>Unit</t>
        </is>
      </c>
      <c r="E35" s="17" t="inlineStr">
        <is>
          <t>RoleMatrixTest</t>
        </is>
      </c>
      <c r="F35" s="17" t="inlineStr"/>
      <c r="G35" s="17" t="inlineStr">
        <is>
          <t>isPlatformScoped khớp tiền tố PLATFORM_ của tên quyền</t>
        </is>
      </c>
      <c r="H35" s="17" t="inlineStr">
        <is>
          <t>pham_vi_theo_ten(Permission)[3]</t>
        </is>
      </c>
      <c r="I35" s="16" t="inlineStr">
        <is>
          <t>Đạt</t>
        </is>
      </c>
      <c r="J35" s="16" t="n">
        <v>0.006</v>
      </c>
    </row>
    <row r="36">
      <c r="A36" s="16" t="n">
        <v>32</v>
      </c>
      <c r="B36" s="16" t="inlineStr">
        <is>
          <t>Backend</t>
        </is>
      </c>
      <c r="C36" s="17" t="inlineStr">
        <is>
          <t>shared-kernel</t>
        </is>
      </c>
      <c r="D36" s="16" t="inlineStr">
        <is>
          <t>Unit</t>
        </is>
      </c>
      <c r="E36" s="17" t="inlineStr">
        <is>
          <t>RoleMatrixTest</t>
        </is>
      </c>
      <c r="F36" s="17" t="inlineStr"/>
      <c r="G36" s="17" t="inlineStr">
        <is>
          <t>isPlatformScoped khớp tiền tố PLATFORM_ của tên quyền</t>
        </is>
      </c>
      <c r="H36" s="17" t="inlineStr">
        <is>
          <t>pham_vi_theo_ten(Permission)[4]</t>
        </is>
      </c>
      <c r="I36" s="16" t="inlineStr">
        <is>
          <t>Đạt</t>
        </is>
      </c>
      <c r="J36" s="16" t="n">
        <v>0.002</v>
      </c>
    </row>
    <row r="37">
      <c r="A37" s="16" t="n">
        <v>33</v>
      </c>
      <c r="B37" s="16" t="inlineStr">
        <is>
          <t>Backend</t>
        </is>
      </c>
      <c r="C37" s="17" t="inlineStr">
        <is>
          <t>shared-kernel</t>
        </is>
      </c>
      <c r="D37" s="16" t="inlineStr">
        <is>
          <t>Unit</t>
        </is>
      </c>
      <c r="E37" s="17" t="inlineStr">
        <is>
          <t>RoleMatrixTest</t>
        </is>
      </c>
      <c r="F37" s="17" t="inlineStr"/>
      <c r="G37" s="17" t="inlineStr">
        <is>
          <t>isPlatformScoped khớp tiền tố PLATFORM_ của tên quyền</t>
        </is>
      </c>
      <c r="H37" s="17" t="inlineStr">
        <is>
          <t>pham_vi_theo_ten(Permission)[5]</t>
        </is>
      </c>
      <c r="I37" s="16" t="inlineStr">
        <is>
          <t>Đạt</t>
        </is>
      </c>
      <c r="J37" s="16" t="n">
        <v>0.004</v>
      </c>
    </row>
    <row r="38">
      <c r="A38" s="16" t="n">
        <v>34</v>
      </c>
      <c r="B38" s="16" t="inlineStr">
        <is>
          <t>Backend</t>
        </is>
      </c>
      <c r="C38" s="17" t="inlineStr">
        <is>
          <t>shared-kernel</t>
        </is>
      </c>
      <c r="D38" s="16" t="inlineStr">
        <is>
          <t>Unit</t>
        </is>
      </c>
      <c r="E38" s="17" t="inlineStr">
        <is>
          <t>RoleMatrixTest</t>
        </is>
      </c>
      <c r="F38" s="17" t="inlineStr"/>
      <c r="G38" s="17" t="inlineStr">
        <is>
          <t>isPlatformScoped khớp tiền tố PLATFORM_ của tên quyền</t>
        </is>
      </c>
      <c r="H38" s="17" t="inlineStr">
        <is>
          <t>pham_vi_theo_ten(Permission)[6]</t>
        </is>
      </c>
      <c r="I38" s="16" t="inlineStr">
        <is>
          <t>Đạt</t>
        </is>
      </c>
      <c r="J38" s="16" t="n">
        <v>0.003</v>
      </c>
    </row>
    <row r="39">
      <c r="A39" s="16" t="n">
        <v>35</v>
      </c>
      <c r="B39" s="16" t="inlineStr">
        <is>
          <t>Backend</t>
        </is>
      </c>
      <c r="C39" s="17" t="inlineStr">
        <is>
          <t>shared-kernel</t>
        </is>
      </c>
      <c r="D39" s="16" t="inlineStr">
        <is>
          <t>Unit</t>
        </is>
      </c>
      <c r="E39" s="17" t="inlineStr">
        <is>
          <t>RoleMatrixTest</t>
        </is>
      </c>
      <c r="F39" s="17" t="inlineStr"/>
      <c r="G39" s="17" t="inlineStr">
        <is>
          <t>isPlatformScoped khớp tiền tố PLATFORM_ của tên quyền</t>
        </is>
      </c>
      <c r="H39" s="17" t="inlineStr">
        <is>
          <t>pham_vi_theo_ten(Permission)[7]</t>
        </is>
      </c>
      <c r="I39" s="16" t="inlineStr">
        <is>
          <t>Đạt</t>
        </is>
      </c>
      <c r="J39" s="16" t="n">
        <v>0.003</v>
      </c>
    </row>
    <row r="40">
      <c r="A40" s="16" t="n">
        <v>36</v>
      </c>
      <c r="B40" s="16" t="inlineStr">
        <is>
          <t>Backend</t>
        </is>
      </c>
      <c r="C40" s="17" t="inlineStr">
        <is>
          <t>shared-kernel</t>
        </is>
      </c>
      <c r="D40" s="16" t="inlineStr">
        <is>
          <t>Unit</t>
        </is>
      </c>
      <c r="E40" s="17" t="inlineStr">
        <is>
          <t>RoleMatrixTest</t>
        </is>
      </c>
      <c r="F40" s="17" t="inlineStr"/>
      <c r="G40" s="17" t="inlineStr">
        <is>
          <t>isPlatformScoped khớp tiền tố PLATFORM_ của tên quyền</t>
        </is>
      </c>
      <c r="H40" s="17" t="inlineStr">
        <is>
          <t>pham_vi_theo_ten(Permission)[8]</t>
        </is>
      </c>
      <c r="I40" s="16" t="inlineStr">
        <is>
          <t>Đạt</t>
        </is>
      </c>
      <c r="J40" s="16" t="n">
        <v>0.003</v>
      </c>
    </row>
    <row r="41">
      <c r="A41" s="16" t="n">
        <v>37</v>
      </c>
      <c r="B41" s="16" t="inlineStr">
        <is>
          <t>Backend</t>
        </is>
      </c>
      <c r="C41" s="17" t="inlineStr">
        <is>
          <t>shared-kernel</t>
        </is>
      </c>
      <c r="D41" s="16" t="inlineStr">
        <is>
          <t>Unit</t>
        </is>
      </c>
      <c r="E41" s="17" t="inlineStr">
        <is>
          <t>RoleMatrixTest</t>
        </is>
      </c>
      <c r="F41" s="17" t="inlineStr"/>
      <c r="G41" s="17" t="inlineStr">
        <is>
          <t>isPlatformScoped khớp tiền tố PLATFORM_ của tên quyền</t>
        </is>
      </c>
      <c r="H41" s="17" t="inlineStr">
        <is>
          <t>pham_vi_theo_ten(Permission)[9]</t>
        </is>
      </c>
      <c r="I41" s="16" t="inlineStr">
        <is>
          <t>Đạt</t>
        </is>
      </c>
      <c r="J41" s="16" t="n">
        <v>0.002</v>
      </c>
    </row>
    <row r="42">
      <c r="A42" s="16" t="n">
        <v>38</v>
      </c>
      <c r="B42" s="16" t="inlineStr">
        <is>
          <t>Backend</t>
        </is>
      </c>
      <c r="C42" s="17" t="inlineStr">
        <is>
          <t>shared-kernel</t>
        </is>
      </c>
      <c r="D42" s="16" t="inlineStr">
        <is>
          <t>Unit</t>
        </is>
      </c>
      <c r="E42" s="17" t="inlineStr">
        <is>
          <t>RoleMatrixTest</t>
        </is>
      </c>
      <c r="F42" s="17" t="inlineStr"/>
      <c r="G42" s="17" t="inlineStr">
        <is>
          <t>isPlatformScoped khớp tiền tố PLATFORM_ của tên quyền</t>
        </is>
      </c>
      <c r="H42" s="17" t="inlineStr">
        <is>
          <t>pham_vi_theo_ten(Permission)[10]</t>
        </is>
      </c>
      <c r="I42" s="16" t="inlineStr">
        <is>
          <t>Đạt</t>
        </is>
      </c>
      <c r="J42" s="16" t="n">
        <v>0.004</v>
      </c>
    </row>
    <row r="43">
      <c r="A43" s="16" t="n">
        <v>39</v>
      </c>
      <c r="B43" s="16" t="inlineStr">
        <is>
          <t>Backend</t>
        </is>
      </c>
      <c r="C43" s="17" t="inlineStr">
        <is>
          <t>shared-kernel</t>
        </is>
      </c>
      <c r="D43" s="16" t="inlineStr">
        <is>
          <t>Unit</t>
        </is>
      </c>
      <c r="E43" s="17" t="inlineStr">
        <is>
          <t>RoleMatrixTest</t>
        </is>
      </c>
      <c r="F43" s="17" t="inlineStr"/>
      <c r="G43" s="17" t="inlineStr">
        <is>
          <t>isPlatformScoped khớp tiền tố PLATFORM_ của tên quyền</t>
        </is>
      </c>
      <c r="H43" s="17" t="inlineStr">
        <is>
          <t>pham_vi_theo_ten(Permission)[11]</t>
        </is>
      </c>
      <c r="I43" s="16" t="inlineStr">
        <is>
          <t>Đạt</t>
        </is>
      </c>
      <c r="J43" s="16" t="n">
        <v>0.004</v>
      </c>
    </row>
    <row r="44">
      <c r="A44" s="16" t="n">
        <v>40</v>
      </c>
      <c r="B44" s="16" t="inlineStr">
        <is>
          <t>Backend</t>
        </is>
      </c>
      <c r="C44" s="17" t="inlineStr">
        <is>
          <t>shared-kernel</t>
        </is>
      </c>
      <c r="D44" s="16" t="inlineStr">
        <is>
          <t>Unit</t>
        </is>
      </c>
      <c r="E44" s="17" t="inlineStr">
        <is>
          <t>RoleMatrixTest</t>
        </is>
      </c>
      <c r="F44" s="17" t="inlineStr"/>
      <c r="G44" s="17" t="inlineStr">
        <is>
          <t>isPlatformScoped khớp tiền tố PLATFORM_ của tên quyền</t>
        </is>
      </c>
      <c r="H44" s="17" t="inlineStr">
        <is>
          <t>pham_vi_theo_ten(Permission)[12]</t>
        </is>
      </c>
      <c r="I44" s="16" t="inlineStr">
        <is>
          <t>Đạt</t>
        </is>
      </c>
      <c r="J44" s="16" t="n">
        <v>0.002</v>
      </c>
    </row>
    <row r="45">
      <c r="A45" s="16" t="n">
        <v>41</v>
      </c>
      <c r="B45" s="16" t="inlineStr">
        <is>
          <t>Backend</t>
        </is>
      </c>
      <c r="C45" s="17" t="inlineStr">
        <is>
          <t>shared-kernel</t>
        </is>
      </c>
      <c r="D45" s="16" t="inlineStr">
        <is>
          <t>Unit</t>
        </is>
      </c>
      <c r="E45" s="17" t="inlineStr">
        <is>
          <t>RoleMatrixTest</t>
        </is>
      </c>
      <c r="F45" s="17" t="inlineStr"/>
      <c r="G45" s="17" t="inlineStr">
        <is>
          <t>isPlatformScoped khớp tiền tố PLATFORM_ của tên quyền</t>
        </is>
      </c>
      <c r="H45" s="17" t="inlineStr">
        <is>
          <t>pham_vi_theo_ten(Permission)[13]</t>
        </is>
      </c>
      <c r="I45" s="16" t="inlineStr">
        <is>
          <t>Đạt</t>
        </is>
      </c>
      <c r="J45" s="16" t="n">
        <v>0.005</v>
      </c>
    </row>
    <row r="46">
      <c r="A46" s="16" t="n">
        <v>42</v>
      </c>
      <c r="B46" s="16" t="inlineStr">
        <is>
          <t>Backend</t>
        </is>
      </c>
      <c r="C46" s="17" t="inlineStr">
        <is>
          <t>shared-kernel</t>
        </is>
      </c>
      <c r="D46" s="16" t="inlineStr">
        <is>
          <t>Unit</t>
        </is>
      </c>
      <c r="E46" s="17" t="inlineStr">
        <is>
          <t>RoleMatrixTest</t>
        </is>
      </c>
      <c r="F46" s="17" t="inlineStr"/>
      <c r="G46" s="17" t="inlineStr">
        <is>
          <t>isPlatformScoped khớp tiền tố PLATFORM_ của tên quyền</t>
        </is>
      </c>
      <c r="H46" s="17" t="inlineStr">
        <is>
          <t>pham_vi_theo_ten(Permission)[14]</t>
        </is>
      </c>
      <c r="I46" s="16" t="inlineStr">
        <is>
          <t>Đạt</t>
        </is>
      </c>
      <c r="J46" s="16" t="n">
        <v>0.001</v>
      </c>
    </row>
    <row r="47">
      <c r="A47" s="16" t="n">
        <v>43</v>
      </c>
      <c r="B47" s="16" t="inlineStr">
        <is>
          <t>Backend</t>
        </is>
      </c>
      <c r="C47" s="17" t="inlineStr">
        <is>
          <t>shared-kernel</t>
        </is>
      </c>
      <c r="D47" s="16" t="inlineStr">
        <is>
          <t>Unit</t>
        </is>
      </c>
      <c r="E47" s="17" t="inlineStr">
        <is>
          <t>RoleMatrixTest</t>
        </is>
      </c>
      <c r="F47" s="17" t="inlineStr"/>
      <c r="G47" s="17" t="inlineStr">
        <is>
          <t>isPlatformScoped khớp tiền tố PLATFORM_ của tên quyền</t>
        </is>
      </c>
      <c r="H47" s="17" t="inlineStr">
        <is>
          <t>pham_vi_theo_ten(Permission)[15]</t>
        </is>
      </c>
      <c r="I47" s="16" t="inlineStr">
        <is>
          <t>Đạt</t>
        </is>
      </c>
      <c r="J47" s="16" t="n">
        <v>0.001</v>
      </c>
    </row>
    <row r="48">
      <c r="A48" s="16" t="n">
        <v>44</v>
      </c>
      <c r="B48" s="16" t="inlineStr">
        <is>
          <t>Backend</t>
        </is>
      </c>
      <c r="C48" s="17" t="inlineStr">
        <is>
          <t>shared-kernel</t>
        </is>
      </c>
      <c r="D48" s="16" t="inlineStr">
        <is>
          <t>Unit</t>
        </is>
      </c>
      <c r="E48" s="17" t="inlineStr">
        <is>
          <t>RoleMatrixTest</t>
        </is>
      </c>
      <c r="F48" s="17" t="inlineStr"/>
      <c r="G48" s="17" t="inlineStr">
        <is>
          <t>tập quyền không sửa được từ bên ngoài</t>
        </is>
      </c>
      <c r="H48" s="17" t="inlineStr">
        <is>
          <t>tap_quyen_bat_bien</t>
        </is>
      </c>
      <c r="I48" s="16" t="inlineStr">
        <is>
          <t>Đạt</t>
        </is>
      </c>
      <c r="J48" s="16" t="n">
        <v>0.019</v>
      </c>
    </row>
    <row r="49">
      <c r="A49" s="16" t="n">
        <v>45</v>
      </c>
      <c r="B49" s="16" t="inlineStr">
        <is>
          <t>Backend</t>
        </is>
      </c>
      <c r="C49" s="17" t="inlineStr">
        <is>
          <t>shared-kernel</t>
        </is>
      </c>
      <c r="D49" s="16" t="inlineStr">
        <is>
          <t>Unit</t>
        </is>
      </c>
      <c r="E49" s="17" t="inlineStr">
        <is>
          <t>IdentifiersTest › Context</t>
        </is>
      </c>
      <c r="F49" s="17" t="inlineStr">
        <is>
          <t>CorrelationContext</t>
        </is>
      </c>
      <c r="G49" s="17" t="inlineStr">
        <is>
          <t>chưa set: current() là 'unknown', không bao giờ null</t>
        </is>
      </c>
      <c r="H49" s="17" t="inlineStr">
        <is>
          <t>mac_dinh_unknown</t>
        </is>
      </c>
      <c r="I49" s="16" t="inlineStr">
        <is>
          <t>Đạt</t>
        </is>
      </c>
      <c r="J49" s="16" t="n">
        <v>0.032</v>
      </c>
    </row>
    <row r="50">
      <c r="A50" s="16" t="n">
        <v>46</v>
      </c>
      <c r="B50" s="16" t="inlineStr">
        <is>
          <t>Backend</t>
        </is>
      </c>
      <c r="C50" s="17" t="inlineStr">
        <is>
          <t>shared-kernel</t>
        </is>
      </c>
      <c r="D50" s="16" t="inlineStr">
        <is>
          <t>Unit</t>
        </is>
      </c>
      <c r="E50" s="17" t="inlineStr">
        <is>
          <t>IdentifiersTest › Context</t>
        </is>
      </c>
      <c r="F50" s="17" t="inlineStr">
        <is>
          <t>CorrelationContext</t>
        </is>
      </c>
      <c r="G50" s="17" t="inlineStr">
        <is>
          <t>currentOrGenerate: sinh và GIỮ lại mã nếu chưa có; có rồi thì giữ nguyên</t>
        </is>
      </c>
      <c r="H50" s="17" t="inlineStr">
        <is>
          <t>current_or_generate</t>
        </is>
      </c>
      <c r="I50" s="16" t="inlineStr">
        <is>
          <t>Đạt</t>
        </is>
      </c>
      <c r="J50" s="16" t="n">
        <v>0.272</v>
      </c>
    </row>
    <row r="51">
      <c r="A51" s="16" t="n">
        <v>47</v>
      </c>
      <c r="B51" s="16" t="inlineStr">
        <is>
          <t>Backend</t>
        </is>
      </c>
      <c r="C51" s="17" t="inlineStr">
        <is>
          <t>shared-kernel</t>
        </is>
      </c>
      <c r="D51" s="16" t="inlineStr">
        <is>
          <t>Unit</t>
        </is>
      </c>
      <c r="E51" s="17" t="inlineStr">
        <is>
          <t>IdentifiersTest › Context</t>
        </is>
      </c>
      <c r="F51" s="17" t="inlineStr">
        <is>
          <t>CorrelationContext</t>
        </is>
      </c>
      <c r="G51" s="17" t="inlineStr">
        <is>
          <t>ngữ cảnh theo từng luồng: luồng khác không thấy mã của luồng này</t>
        </is>
      </c>
      <c r="H51" s="17" t="inlineStr">
        <is>
          <t>theo_tung_luong</t>
        </is>
      </c>
      <c r="I51" s="16" t="inlineStr">
        <is>
          <t>Đạt</t>
        </is>
      </c>
      <c r="J51" s="16" t="n">
        <v>0.02</v>
      </c>
    </row>
    <row r="52">
      <c r="A52" s="16" t="n">
        <v>48</v>
      </c>
      <c r="B52" s="16" t="inlineStr">
        <is>
          <t>Backend</t>
        </is>
      </c>
      <c r="C52" s="17" t="inlineStr">
        <is>
          <t>shared-kernel</t>
        </is>
      </c>
      <c r="D52" s="16" t="inlineStr">
        <is>
          <t>Unit</t>
        </is>
      </c>
      <c r="E52" s="17" t="inlineStr">
        <is>
          <t>IdentifiersTest › Context</t>
        </is>
      </c>
      <c r="F52" s="17" t="inlineStr">
        <is>
          <t>CorrelationContext</t>
        </is>
      </c>
      <c r="G52" s="17" t="inlineStr">
        <is>
          <t>set rồi current() trả đúng; clear() về unknown</t>
        </is>
      </c>
      <c r="H52" s="17" t="inlineStr">
        <is>
          <t>set_clear</t>
        </is>
      </c>
      <c r="I52" s="16" t="inlineStr">
        <is>
          <t>Đạt</t>
        </is>
      </c>
      <c r="J52" s="16" t="n">
        <v>0.006</v>
      </c>
    </row>
    <row r="53">
      <c r="A53" s="16" t="n">
        <v>49</v>
      </c>
      <c r="B53" s="16" t="inlineStr">
        <is>
          <t>Backend</t>
        </is>
      </c>
      <c r="C53" s="17" t="inlineStr">
        <is>
          <t>shared-kernel</t>
        </is>
      </c>
      <c r="D53" s="16" t="inlineStr">
        <is>
          <t>Unit</t>
        </is>
      </c>
      <c r="E53" s="17" t="inlineStr">
        <is>
          <t>IdentifiersTest › Correlation</t>
        </is>
      </c>
      <c r="F53" s="17" t="inlineStr">
        <is>
          <t>CorrelationId</t>
        </is>
      </c>
      <c r="G53" s="17" t="inlineStr">
        <is>
          <t>toString là chính giá trị</t>
        </is>
      </c>
      <c r="H53" s="17" t="inlineStr">
        <is>
          <t>to_string</t>
        </is>
      </c>
      <c r="I53" s="16" t="inlineStr">
        <is>
          <t>Đạt</t>
        </is>
      </c>
      <c r="J53" s="16" t="n">
        <v>0.002</v>
      </c>
    </row>
    <row r="54">
      <c r="A54" s="16" t="n">
        <v>50</v>
      </c>
      <c r="B54" s="16" t="inlineStr">
        <is>
          <t>Backend</t>
        </is>
      </c>
      <c r="C54" s="17" t="inlineStr">
        <is>
          <t>shared-kernel</t>
        </is>
      </c>
      <c r="D54" s="16" t="inlineStr">
        <is>
          <t>Unit</t>
        </is>
      </c>
      <c r="E54" s="17" t="inlineStr">
        <is>
          <t>IdentifiersTest › Correlation</t>
        </is>
      </c>
      <c r="F54" s="17" t="inlineStr">
        <is>
          <t>CorrelationId</t>
        </is>
      </c>
      <c r="G54" s="17" t="inlineStr">
        <is>
          <t>generate: 26 ký tự Crockford Base32 (không I, L, O, U), hoa</t>
        </is>
      </c>
      <c r="H54" s="17" t="inlineStr">
        <is>
          <t>generate_dung_khuon</t>
        </is>
      </c>
      <c r="I54" s="16" t="inlineStr">
        <is>
          <t>Đạt</t>
        </is>
      </c>
      <c r="J54" s="16" t="n">
        <v>0.08599999999999999</v>
      </c>
    </row>
    <row r="55">
      <c r="A55" s="16" t="n">
        <v>51</v>
      </c>
      <c r="B55" s="16" t="inlineStr">
        <is>
          <t>Backend</t>
        </is>
      </c>
      <c r="C55" s="17" t="inlineStr">
        <is>
          <t>shared-kernel</t>
        </is>
      </c>
      <c r="D55" s="16" t="inlineStr">
        <is>
          <t>Unit</t>
        </is>
      </c>
      <c r="E55" s="17" t="inlineStr">
        <is>
          <t>IdentifiersTest › Correlation</t>
        </is>
      </c>
      <c r="F55" s="17" t="inlineStr">
        <is>
          <t>CorrelationId</t>
        </is>
      </c>
      <c r="G55" s="17" t="inlineStr">
        <is>
          <t>generate: không trùng trong 10.000 lần sinh</t>
        </is>
      </c>
      <c r="H55" s="17" t="inlineStr">
        <is>
          <t>generate_khong_trung</t>
        </is>
      </c>
      <c r="I55" s="16" t="inlineStr">
        <is>
          <t>Đạt</t>
        </is>
      </c>
      <c r="J55" s="16" t="n">
        <v>0.288</v>
      </c>
    </row>
    <row r="56">
      <c r="A56" s="16" t="n">
        <v>52</v>
      </c>
      <c r="B56" s="16" t="inlineStr">
        <is>
          <t>Backend</t>
        </is>
      </c>
      <c r="C56" s="17" t="inlineStr">
        <is>
          <t>shared-kernel</t>
        </is>
      </c>
      <c r="D56" s="16" t="inlineStr">
        <is>
          <t>Unit</t>
        </is>
      </c>
      <c r="E56" s="17" t="inlineStr">
        <is>
          <t>IdentifiersTest › Correlation</t>
        </is>
      </c>
      <c r="F56" s="17" t="inlineStr">
        <is>
          <t>CorrelationId</t>
        </is>
      </c>
      <c r="G56" s="17" t="inlineStr">
        <is>
          <t>giá trị hợp lệ: 1 tới 64 ký tự; rỗng, trắng, 65 ký tự, null bị từ chối</t>
        </is>
      </c>
      <c r="H56" s="17" t="inlineStr">
        <is>
          <t>rang_buoc_do_dai</t>
        </is>
      </c>
      <c r="I56" s="16" t="inlineStr">
        <is>
          <t>Đạt</t>
        </is>
      </c>
      <c r="J56" s="16" t="n">
        <v>0.01</v>
      </c>
    </row>
    <row r="57">
      <c r="A57" s="16" t="n">
        <v>53</v>
      </c>
      <c r="B57" s="16" t="inlineStr">
        <is>
          <t>Backend</t>
        </is>
      </c>
      <c r="C57" s="17" t="inlineStr">
        <is>
          <t>shared-kernel</t>
        </is>
      </c>
      <c r="D57" s="16" t="inlineStr">
        <is>
          <t>Unit</t>
        </is>
      </c>
      <c r="E57" s="17" t="inlineStr">
        <is>
          <t>IdentifiersTest › Correlation</t>
        </is>
      </c>
      <c r="F57" s="17" t="inlineStr">
        <is>
          <t>CorrelationId</t>
        </is>
      </c>
      <c r="G57" s="17" t="inlineStr">
        <is>
          <t>10 ký tự đầu mã hoá thời gian nên sắp xếp được theo thứ tự sinh</t>
        </is>
      </c>
      <c r="H57" s="17" t="inlineStr">
        <is>
          <t>sap_xep_theo_thoi_gian</t>
        </is>
      </c>
      <c r="I57" s="16" t="inlineStr">
        <is>
          <t>Đạt</t>
        </is>
      </c>
      <c r="J57" s="16" t="n">
        <v>0.017</v>
      </c>
    </row>
    <row r="58">
      <c r="A58" s="16" t="n">
        <v>54</v>
      </c>
      <c r="B58" s="16" t="inlineStr">
        <is>
          <t>Backend</t>
        </is>
      </c>
      <c r="C58" s="17" t="inlineStr">
        <is>
          <t>shared-kernel</t>
        </is>
      </c>
      <c r="D58" s="16" t="inlineStr">
        <is>
          <t>Unit</t>
        </is>
      </c>
      <c r="E58" s="17" t="inlineStr">
        <is>
          <t>IdentifiersTest › Ids</t>
        </is>
      </c>
      <c r="F58" s="17" t="inlineStr">
        <is>
          <t>TenantId / UserId</t>
        </is>
      </c>
      <c r="G58" s="17" t="inlineStr">
        <is>
          <t>dùng được làm khoá map/set</t>
        </is>
      </c>
      <c r="H58" s="17" t="inlineStr">
        <is>
          <t>khoa_map</t>
        </is>
      </c>
      <c r="I58" s="16" t="inlineStr">
        <is>
          <t>Đạt</t>
        </is>
      </c>
      <c r="J58" s="16" t="n">
        <v>0.045</v>
      </c>
    </row>
    <row r="59">
      <c r="A59" s="16" t="n">
        <v>55</v>
      </c>
      <c r="B59" s="16" t="inlineStr">
        <is>
          <t>Backend</t>
        </is>
      </c>
      <c r="C59" s="17" t="inlineStr">
        <is>
          <t>shared-kernel</t>
        </is>
      </c>
      <c r="D59" s="16" t="inlineStr">
        <is>
          <t>Unit</t>
        </is>
      </c>
      <c r="E59" s="17" t="inlineStr">
        <is>
          <t>IdentifiersTest › Ids</t>
        </is>
      </c>
      <c r="F59" s="17" t="inlineStr">
        <is>
          <t>TenantId / UserId</t>
        </is>
      </c>
      <c r="G59" s="17" t="inlineStr">
        <is>
          <t>hai kiểu id không bao giờ bằng nhau dù cùng UUID — nhầm thứ tự tham số không lọt</t>
        </is>
      </c>
      <c r="H59" s="17" t="inlineStr">
        <is>
          <t>khac_kieu_khong_bang_nhau</t>
        </is>
      </c>
      <c r="I59" s="16" t="inlineStr">
        <is>
          <t>Đạt</t>
        </is>
      </c>
      <c r="J59" s="16" t="n">
        <v>0.008</v>
      </c>
    </row>
    <row r="60">
      <c r="A60" s="16" t="n">
        <v>56</v>
      </c>
      <c r="B60" s="16" t="inlineStr">
        <is>
          <t>Backend</t>
        </is>
      </c>
      <c r="C60" s="17" t="inlineStr">
        <is>
          <t>shared-kernel</t>
        </is>
      </c>
      <c r="D60" s="16" t="inlineStr">
        <is>
          <t>Unit</t>
        </is>
      </c>
      <c r="E60" s="17" t="inlineStr">
        <is>
          <t>IdentifiersTest › Ids</t>
        </is>
      </c>
      <c r="F60" s="17" t="inlineStr">
        <is>
          <t>TenantId / UserId</t>
        </is>
      </c>
      <c r="G60" s="17" t="inlineStr">
        <is>
          <t>parse và of cho cùng một giá trị; toString là chuỗi UUID</t>
        </is>
      </c>
      <c r="H60" s="17" t="inlineStr">
        <is>
          <t>parse_of_tostring</t>
        </is>
      </c>
      <c r="I60" s="16" t="inlineStr">
        <is>
          <t>Đạt</t>
        </is>
      </c>
      <c r="J60" s="16" t="n">
        <v>0.007</v>
      </c>
    </row>
    <row r="61">
      <c r="A61" s="16" t="n">
        <v>57</v>
      </c>
      <c r="B61" s="16" t="inlineStr">
        <is>
          <t>Backend</t>
        </is>
      </c>
      <c r="C61" s="17" t="inlineStr">
        <is>
          <t>shared-kernel</t>
        </is>
      </c>
      <c r="D61" s="16" t="inlineStr">
        <is>
          <t>Unit</t>
        </is>
      </c>
      <c r="E61" s="17" t="inlineStr">
        <is>
          <t>IdentifiersTest › Ids</t>
        </is>
      </c>
      <c r="F61" s="17" t="inlineStr">
        <is>
          <t>TenantId / UserId</t>
        </is>
      </c>
      <c r="G61" s="17" t="inlineStr">
        <is>
          <t>null bị từ chối; chuỗi không phải UUID ném IllegalArgumentException</t>
        </is>
      </c>
      <c r="H61" s="17" t="inlineStr">
        <is>
          <t>null_va_sai_khuon</t>
        </is>
      </c>
      <c r="I61" s="16" t="inlineStr">
        <is>
          <t>Đạt</t>
        </is>
      </c>
      <c r="J61" s="16" t="n">
        <v>0.004</v>
      </c>
    </row>
    <row r="62">
      <c r="A62" s="16" t="n">
        <v>58</v>
      </c>
      <c r="B62" s="16" t="inlineStr">
        <is>
          <t>Backend</t>
        </is>
      </c>
      <c r="C62" s="17" t="inlineStr">
        <is>
          <t>shared-kernel</t>
        </is>
      </c>
      <c r="D62" s="16" t="inlineStr">
        <is>
          <t>Unit</t>
        </is>
      </c>
      <c r="E62" s="17" t="inlineStr">
        <is>
          <t>MoneyEdgeCaseTest › Arithmetic</t>
        </is>
      </c>
      <c r="F62" s="17" t="inlineStr">
        <is>
          <t>Số học</t>
        </is>
      </c>
      <c r="G62" s="17" t="inlineStr">
        <is>
          <t>Long.MIN_VALUE và mọi số âm bị từ chối ngay khi tạo</t>
        </is>
      </c>
      <c r="H62" s="17" t="inlineStr">
        <is>
          <t>so_am</t>
        </is>
      </c>
      <c r="I62" s="16" t="inlineStr">
        <is>
          <t>Đạt</t>
        </is>
      </c>
      <c r="J62" s="16" t="n">
        <v>0.022</v>
      </c>
    </row>
    <row r="63">
      <c r="A63" s="16" t="n">
        <v>59</v>
      </c>
      <c r="B63" s="16" t="inlineStr">
        <is>
          <t>Backend</t>
        </is>
      </c>
      <c r="C63" s="17" t="inlineStr">
        <is>
          <t>shared-kernel</t>
        </is>
      </c>
      <c r="D63" s="16" t="inlineStr">
        <is>
          <t>Unit</t>
        </is>
      </c>
      <c r="E63" s="17" t="inlineStr">
        <is>
          <t>MoneyEdgeCaseTest › Arithmetic</t>
        </is>
      </c>
      <c r="F63" s="17" t="inlineStr">
        <is>
          <t>Số học</t>
        </is>
      </c>
      <c r="G63" s="17" t="inlineStr">
        <is>
          <t>times: hệ số 0 ra 0, hệ số âm bị từ chối, tràn bị chặn</t>
        </is>
      </c>
      <c r="H63" s="17" t="inlineStr">
        <is>
          <t>times</t>
        </is>
      </c>
      <c r="I63" s="16" t="inlineStr">
        <is>
          <t>Đạt</t>
        </is>
      </c>
      <c r="J63" s="16" t="n">
        <v>0.008999999999999999</v>
      </c>
    </row>
    <row r="64">
      <c r="A64" s="16" t="n">
        <v>60</v>
      </c>
      <c r="B64" s="16" t="inlineStr">
        <is>
          <t>Backend</t>
        </is>
      </c>
      <c r="C64" s="17" t="inlineStr">
        <is>
          <t>shared-kernel</t>
        </is>
      </c>
      <c r="D64" s="16" t="inlineStr">
        <is>
          <t>Unit</t>
        </is>
      </c>
      <c r="E64" s="17" t="inlineStr">
        <is>
          <t>MoneyEdgeCaseTest › Arithmetic</t>
        </is>
      </c>
      <c r="F64" s="17" t="inlineStr">
        <is>
          <t>Số học</t>
        </is>
      </c>
      <c r="G64" s="17" t="inlineStr">
        <is>
          <t>plus và minus về đúng giá trị; minus ra đúng 0 thì hợp lệ</t>
        </is>
      </c>
      <c r="H64" s="17" t="inlineStr">
        <is>
          <t>plus_minus</t>
        </is>
      </c>
      <c r="I64" s="16" t="inlineStr">
        <is>
          <t>Đạt</t>
        </is>
      </c>
      <c r="J64" s="16" t="n">
        <v>0.003</v>
      </c>
    </row>
    <row r="65">
      <c r="A65" s="16" t="n">
        <v>61</v>
      </c>
      <c r="B65" s="16" t="inlineStr">
        <is>
          <t>Backend</t>
        </is>
      </c>
      <c r="C65" s="17" t="inlineStr">
        <is>
          <t>shared-kernel</t>
        </is>
      </c>
      <c r="D65" s="16" t="inlineStr">
        <is>
          <t>Unit</t>
        </is>
      </c>
      <c r="E65" s="17" t="inlineStr">
        <is>
          <t>MoneyEdgeCaseTest › Arithmetic</t>
        </is>
      </c>
      <c r="F65" s="17" t="inlineStr">
        <is>
          <t>Số học</t>
        </is>
      </c>
      <c r="G65" s="17" t="inlineStr">
        <is>
          <t>plus đúng tới Long.MAX_VALUE được; thêm 1 đồng thì tràn</t>
        </is>
      </c>
      <c r="H65" s="17" t="inlineStr">
        <is>
          <t>plus_bien_long</t>
        </is>
      </c>
      <c r="I65" s="16" t="inlineStr">
        <is>
          <t>Đạt</t>
        </is>
      </c>
      <c r="J65" s="16" t="n">
        <v>0.005</v>
      </c>
    </row>
    <row r="66">
      <c r="A66" s="16" t="n">
        <v>62</v>
      </c>
      <c r="B66" s="16" t="inlineStr">
        <is>
          <t>Backend</t>
        </is>
      </c>
      <c r="C66" s="17" t="inlineStr">
        <is>
          <t>shared-kernel</t>
        </is>
      </c>
      <c r="D66" s="16" t="inlineStr">
        <is>
          <t>Unit</t>
        </is>
      </c>
      <c r="E66" s="17" t="inlineStr">
        <is>
          <t>MoneyEdgeCaseTest › Arithmetic</t>
        </is>
      </c>
      <c r="F66" s="17" t="inlineStr">
        <is>
          <t>Số học</t>
        </is>
      </c>
      <c r="G66" s="17" t="inlineStr">
        <is>
          <t>trừ quá số dư: thông điệp nêu cả hai số</t>
        </is>
      </c>
      <c r="H66" s="17" t="inlineStr">
        <is>
          <t>tru_qua_so_du_thong_diep</t>
        </is>
      </c>
      <c r="I66" s="16" t="inlineStr">
        <is>
          <t>Đạt</t>
        </is>
      </c>
      <c r="J66" s="16" t="n">
        <v>0.01</v>
      </c>
    </row>
    <row r="67">
      <c r="A67" s="16" t="n">
        <v>63</v>
      </c>
      <c r="B67" s="16" t="inlineStr">
        <is>
          <t>Backend</t>
        </is>
      </c>
      <c r="C67" s="17" t="inlineStr">
        <is>
          <t>shared-kernel</t>
        </is>
      </c>
      <c r="D67" s="16" t="inlineStr">
        <is>
          <t>Unit</t>
        </is>
      </c>
      <c r="E67" s="17" t="inlineStr">
        <is>
          <t>MoneyEdgeCaseTest › Comparison</t>
        </is>
      </c>
      <c r="F67" s="17" t="inlineStr">
        <is>
          <t>So sánh, bằng nhau, hiển thị</t>
        </is>
      </c>
      <c r="G67" s="17" t="inlineStr">
        <is>
          <t>compareTo, isGreaterThan, equals theo giá trị</t>
        </is>
      </c>
      <c r="H67" s="17" t="inlineStr">
        <is>
          <t>so_sanh</t>
        </is>
      </c>
      <c r="I67" s="16" t="inlineStr">
        <is>
          <t>Đạt</t>
        </is>
      </c>
      <c r="J67" s="16" t="n">
        <v>0.022</v>
      </c>
    </row>
    <row r="68">
      <c r="A68" s="16" t="n">
        <v>64</v>
      </c>
      <c r="B68" s="16" t="inlineStr">
        <is>
          <t>Backend</t>
        </is>
      </c>
      <c r="C68" s="17" t="inlineStr">
        <is>
          <t>shared-kernel</t>
        </is>
      </c>
      <c r="D68" s="16" t="inlineStr">
        <is>
          <t>Unit</t>
        </is>
      </c>
      <c r="E68" s="17" t="inlineStr">
        <is>
          <t>MoneyEdgeCaseTest › Comparison</t>
        </is>
      </c>
      <c r="F68" s="17" t="inlineStr">
        <is>
          <t>So sánh, bằng nhau, hiển thị</t>
        </is>
      </c>
      <c r="G68" s="17" t="inlineStr">
        <is>
          <t>format: dấu chấm ngăn cách hàng nghìn, kèm ký hiệu ₫</t>
        </is>
      </c>
      <c r="H68" s="17" t="inlineStr">
        <is>
          <t>format(long, String)[1]</t>
        </is>
      </c>
      <c r="I68" s="16" t="inlineStr">
        <is>
          <t>Đạt</t>
        </is>
      </c>
      <c r="J68" s="16" t="n">
        <v>0.042</v>
      </c>
    </row>
    <row r="69">
      <c r="A69" s="16" t="n">
        <v>65</v>
      </c>
      <c r="B69" s="16" t="inlineStr">
        <is>
          <t>Backend</t>
        </is>
      </c>
      <c r="C69" s="17" t="inlineStr">
        <is>
          <t>shared-kernel</t>
        </is>
      </c>
      <c r="D69" s="16" t="inlineStr">
        <is>
          <t>Unit</t>
        </is>
      </c>
      <c r="E69" s="17" t="inlineStr">
        <is>
          <t>MoneyEdgeCaseTest › Comparison</t>
        </is>
      </c>
      <c r="F69" s="17" t="inlineStr">
        <is>
          <t>So sánh, bằng nhau, hiển thị</t>
        </is>
      </c>
      <c r="G69" s="17" t="inlineStr">
        <is>
          <t>format: dấu chấm ngăn cách hàng nghìn, kèm ký hiệu ₫</t>
        </is>
      </c>
      <c r="H69" s="17" t="inlineStr">
        <is>
          <t>format(long, String)[2]</t>
        </is>
      </c>
      <c r="I69" s="16" t="inlineStr">
        <is>
          <t>Đạt</t>
        </is>
      </c>
      <c r="J69" s="16" t="n">
        <v>0.003</v>
      </c>
    </row>
    <row r="70">
      <c r="A70" s="16" t="n">
        <v>66</v>
      </c>
      <c r="B70" s="16" t="inlineStr">
        <is>
          <t>Backend</t>
        </is>
      </c>
      <c r="C70" s="17" t="inlineStr">
        <is>
          <t>shared-kernel</t>
        </is>
      </c>
      <c r="D70" s="16" t="inlineStr">
        <is>
          <t>Unit</t>
        </is>
      </c>
      <c r="E70" s="17" t="inlineStr">
        <is>
          <t>MoneyEdgeCaseTest › Comparison</t>
        </is>
      </c>
      <c r="F70" s="17" t="inlineStr">
        <is>
          <t>So sánh, bằng nhau, hiển thị</t>
        </is>
      </c>
      <c r="G70" s="17" t="inlineStr">
        <is>
          <t>format: dấu chấm ngăn cách hàng nghìn, kèm ký hiệu ₫</t>
        </is>
      </c>
      <c r="H70" s="17" t="inlineStr">
        <is>
          <t>format(long, String)[3]</t>
        </is>
      </c>
      <c r="I70" s="16" t="inlineStr">
        <is>
          <t>Đạt</t>
        </is>
      </c>
      <c r="J70" s="16" t="n">
        <v>0.004</v>
      </c>
    </row>
    <row r="71">
      <c r="A71" s="16" t="n">
        <v>67</v>
      </c>
      <c r="B71" s="16" t="inlineStr">
        <is>
          <t>Backend</t>
        </is>
      </c>
      <c r="C71" s="17" t="inlineStr">
        <is>
          <t>shared-kernel</t>
        </is>
      </c>
      <c r="D71" s="16" t="inlineStr">
        <is>
          <t>Unit</t>
        </is>
      </c>
      <c r="E71" s="17" t="inlineStr">
        <is>
          <t>MoneyEdgeCaseTest › Comparison</t>
        </is>
      </c>
      <c r="F71" s="17" t="inlineStr">
        <is>
          <t>So sánh, bằng nhau, hiển thị</t>
        </is>
      </c>
      <c r="G71" s="17" t="inlineStr">
        <is>
          <t>format: dấu chấm ngăn cách hàng nghìn, kèm ký hiệu ₫</t>
        </is>
      </c>
      <c r="H71" s="17" t="inlineStr">
        <is>
          <t>format(long, String)[4]</t>
        </is>
      </c>
      <c r="I71" s="16" t="inlineStr">
        <is>
          <t>Đạt</t>
        </is>
      </c>
      <c r="J71" s="16" t="n">
        <v>0.017</v>
      </c>
    </row>
    <row r="72">
      <c r="A72" s="16" t="n">
        <v>68</v>
      </c>
      <c r="B72" s="16" t="inlineStr">
        <is>
          <t>Backend</t>
        </is>
      </c>
      <c r="C72" s="17" t="inlineStr">
        <is>
          <t>shared-kernel</t>
        </is>
      </c>
      <c r="D72" s="16" t="inlineStr">
        <is>
          <t>Unit</t>
        </is>
      </c>
      <c r="E72" s="17" t="inlineStr">
        <is>
          <t>MoneyEdgeCaseTest › Comparison</t>
        </is>
      </c>
      <c r="F72" s="17" t="inlineStr">
        <is>
          <t>So sánh, bằng nhau, hiển thị</t>
        </is>
      </c>
      <c r="G72" s="17" t="inlineStr">
        <is>
          <t>format: dấu chấm ngăn cách hàng nghìn, kèm ký hiệu ₫</t>
        </is>
      </c>
      <c r="H72" s="17" t="inlineStr">
        <is>
          <t>format(long, String)[5]</t>
        </is>
      </c>
      <c r="I72" s="16" t="inlineStr">
        <is>
          <t>Đạt</t>
        </is>
      </c>
      <c r="J72" s="16" t="n">
        <v>0.004</v>
      </c>
    </row>
    <row r="73">
      <c r="A73" s="16" t="n">
        <v>69</v>
      </c>
      <c r="B73" s="16" t="inlineStr">
        <is>
          <t>Backend</t>
        </is>
      </c>
      <c r="C73" s="17" t="inlineStr">
        <is>
          <t>shared-kernel</t>
        </is>
      </c>
      <c r="D73" s="16" t="inlineStr">
        <is>
          <t>Unit</t>
        </is>
      </c>
      <c r="E73" s="17" t="inlineStr">
        <is>
          <t>MoneyEdgeCaseTest › Comparison</t>
        </is>
      </c>
      <c r="F73" s="17" t="inlineStr">
        <is>
          <t>So sánh, bằng nhau, hiển thị</t>
        </is>
      </c>
      <c r="G73" s="17" t="inlineStr">
        <is>
          <t>format: dấu chấm ngăn cách hàng nghìn, kèm ký hiệu ₫</t>
        </is>
      </c>
      <c r="H73" s="17" t="inlineStr">
        <is>
          <t>format(long, String)[6]</t>
        </is>
      </c>
      <c r="I73" s="16" t="inlineStr">
        <is>
          <t>Đạt</t>
        </is>
      </c>
      <c r="J73" s="16" t="n">
        <v>0.004</v>
      </c>
    </row>
    <row r="74">
      <c r="A74" s="16" t="n">
        <v>70</v>
      </c>
      <c r="B74" s="16" t="inlineStr">
        <is>
          <t>Backend</t>
        </is>
      </c>
      <c r="C74" s="17" t="inlineStr">
        <is>
          <t>shared-kernel</t>
        </is>
      </c>
      <c r="D74" s="16" t="inlineStr">
        <is>
          <t>Unit</t>
        </is>
      </c>
      <c r="E74" s="17" t="inlineStr">
        <is>
          <t>MoneyEdgeCaseTest › Comparison</t>
        </is>
      </c>
      <c r="F74" s="17" t="inlineStr">
        <is>
          <t>So sánh, bằng nhau, hiển thị</t>
        </is>
      </c>
      <c r="G74" s="17" t="inlineStr">
        <is>
          <t>format: dấu chấm ngăn cách hàng nghìn, kèm ký hiệu ₫</t>
        </is>
      </c>
      <c r="H74" s="17" t="inlineStr">
        <is>
          <t>format(long, String)[7]</t>
        </is>
      </c>
      <c r="I74" s="16" t="inlineStr">
        <is>
          <t>Đạt</t>
        </is>
      </c>
      <c r="J74" s="16" t="n">
        <v>0.005</v>
      </c>
    </row>
    <row r="75">
      <c r="A75" s="16" t="n">
        <v>71</v>
      </c>
      <c r="B75" s="16" t="inlineStr">
        <is>
          <t>Backend</t>
        </is>
      </c>
      <c r="C75" s="17" t="inlineStr">
        <is>
          <t>shared-kernel</t>
        </is>
      </c>
      <c r="D75" s="16" t="inlineStr">
        <is>
          <t>Unit</t>
        </is>
      </c>
      <c r="E75" s="17" t="inlineStr">
        <is>
          <t>MoneyEdgeCaseTest › Comparison</t>
        </is>
      </c>
      <c r="F75" s="17" t="inlineStr">
        <is>
          <t>So sánh, bằng nhau, hiển thị</t>
        </is>
      </c>
      <c r="G75" s="17" t="inlineStr">
        <is>
          <t>format: dấu chấm ngăn cách hàng nghìn, kèm ký hiệu ₫</t>
        </is>
      </c>
      <c r="H75" s="17" t="inlineStr">
        <is>
          <t>format(long, String)[8]</t>
        </is>
      </c>
      <c r="I75" s="16" t="inlineStr">
        <is>
          <t>Đạt</t>
        </is>
      </c>
      <c r="J75" s="16" t="n">
        <v>0.005</v>
      </c>
    </row>
    <row r="76">
      <c r="A76" s="16" t="n">
        <v>72</v>
      </c>
      <c r="B76" s="16" t="inlineStr">
        <is>
          <t>Backend</t>
        </is>
      </c>
      <c r="C76" s="17" t="inlineStr">
        <is>
          <t>shared-kernel</t>
        </is>
      </c>
      <c r="D76" s="16" t="inlineStr">
        <is>
          <t>Unit</t>
        </is>
      </c>
      <c r="E76" s="17" t="inlineStr">
        <is>
          <t>MoneyEdgeCaseTest › Comparison</t>
        </is>
      </c>
      <c r="F76" s="17" t="inlineStr">
        <is>
          <t>So sánh, bằng nhau, hiển thị</t>
        </is>
      </c>
      <c r="G76" s="17" t="inlineStr">
        <is>
          <t>compareTo(null) ném NPE chứ không coi null là nhỏ nhất</t>
        </is>
      </c>
      <c r="H76" s="17" t="inlineStr">
        <is>
          <t>compare_null</t>
        </is>
      </c>
      <c r="I76" s="16" t="inlineStr">
        <is>
          <t>Đạt</t>
        </is>
      </c>
      <c r="J76" s="16" t="n">
        <v>0.003</v>
      </c>
    </row>
    <row r="77">
      <c r="A77" s="16" t="n">
        <v>73</v>
      </c>
      <c r="B77" s="16" t="inlineStr">
        <is>
          <t>Backend</t>
        </is>
      </c>
      <c r="C77" s="17" t="inlineStr">
        <is>
          <t>shared-kernel</t>
        </is>
      </c>
      <c r="D77" s="16" t="inlineStr">
        <is>
          <t>Unit</t>
        </is>
      </c>
      <c r="E77" s="17" t="inlineStr">
        <is>
          <t>MoneyEdgeCaseTest › PercentOf</t>
        </is>
      </c>
      <c r="F77" s="17" t="inlineStr">
        <is>
          <t>percentOf (basis point, làm tròn xuống)</t>
        </is>
      </c>
      <c r="G77" s="17" t="inlineStr">
        <is>
          <t>0 và 10000 là hai biên hợp lệ; -1 và 10001 bị từ chối</t>
        </is>
      </c>
      <c r="H77" s="17" t="inlineStr">
        <is>
          <t>bien_basis_point</t>
        </is>
      </c>
      <c r="I77" s="16" t="inlineStr">
        <is>
          <t>Đạt</t>
        </is>
      </c>
      <c r="J77" s="16" t="n">
        <v>0.008999999999999999</v>
      </c>
    </row>
    <row r="78">
      <c r="A78" s="16" t="n">
        <v>74</v>
      </c>
      <c r="B78" s="16" t="inlineStr">
        <is>
          <t>Backend</t>
        </is>
      </c>
      <c r="C78" s="17" t="inlineStr">
        <is>
          <t>shared-kernel</t>
        </is>
      </c>
      <c r="D78" s="16" t="inlineStr">
        <is>
          <t>Unit</t>
        </is>
      </c>
      <c r="E78" s="17" t="inlineStr">
        <is>
          <t>MoneyEdgeCaseTest › PercentOf</t>
        </is>
      </c>
      <c r="F78" s="17" t="inlineStr">
        <is>
          <t>percentOf (basis point, làm tròn xuống)</t>
        </is>
      </c>
      <c r="G78" s="17" t="inlineStr">
        <is>
          <t>số tiền rất lớn nhân basis point tràn long: ném ArithmeticException, không cho kết quả sai</t>
        </is>
      </c>
      <c r="H78" s="17" t="inlineStr">
        <is>
          <t>tran_so_khi_nhan_bps</t>
        </is>
      </c>
      <c r="I78" s="16" t="inlineStr">
        <is>
          <t>Đạt</t>
        </is>
      </c>
      <c r="J78" s="16" t="n">
        <v>0.005</v>
      </c>
    </row>
    <row r="79">
      <c r="A79" s="16" t="n">
        <v>75</v>
      </c>
      <c r="B79" s="16" t="inlineStr">
        <is>
          <t>Backend</t>
        </is>
      </c>
      <c r="C79" s="17" t="inlineStr">
        <is>
          <t>shared-kernel</t>
        </is>
      </c>
      <c r="D79" s="16" t="inlineStr">
        <is>
          <t>Unit</t>
        </is>
      </c>
      <c r="E79" s="17" t="inlineStr">
        <is>
          <t>MoneyEdgeCaseTest › PercentOf</t>
        </is>
      </c>
      <c r="F79" s="17" t="inlineStr">
        <is>
          <t>percentOf (basis point, làm tròn xuống)</t>
        </is>
      </c>
      <c r="G79" s="17" t="inlineStr">
        <is>
          <t>làm tròn xuống theo từng ca</t>
        </is>
      </c>
      <c r="H79" s="17" t="inlineStr">
        <is>
          <t>lam_tron_xuong(long, int, long)[1]</t>
        </is>
      </c>
      <c r="I79" s="16" t="inlineStr">
        <is>
          <t>Đạt</t>
        </is>
      </c>
      <c r="J79" s="16" t="n">
        <v>0.017</v>
      </c>
    </row>
    <row r="80">
      <c r="A80" s="16" t="n">
        <v>76</v>
      </c>
      <c r="B80" s="16" t="inlineStr">
        <is>
          <t>Backend</t>
        </is>
      </c>
      <c r="C80" s="17" t="inlineStr">
        <is>
          <t>shared-kernel</t>
        </is>
      </c>
      <c r="D80" s="16" t="inlineStr">
        <is>
          <t>Unit</t>
        </is>
      </c>
      <c r="E80" s="17" t="inlineStr">
        <is>
          <t>MoneyEdgeCaseTest › PercentOf</t>
        </is>
      </c>
      <c r="F80" s="17" t="inlineStr">
        <is>
          <t>percentOf (basis point, làm tròn xuống)</t>
        </is>
      </c>
      <c r="G80" s="17" t="inlineStr">
        <is>
          <t>làm tròn xuống theo từng ca</t>
        </is>
      </c>
      <c r="H80" s="17" t="inlineStr">
        <is>
          <t>lam_tron_xuong(long, int, long)[2]</t>
        </is>
      </c>
      <c r="I80" s="16" t="inlineStr">
        <is>
          <t>Đạt</t>
        </is>
      </c>
      <c r="J80" s="16" t="n">
        <v>0.003</v>
      </c>
    </row>
    <row r="81">
      <c r="A81" s="16" t="n">
        <v>77</v>
      </c>
      <c r="B81" s="16" t="inlineStr">
        <is>
          <t>Backend</t>
        </is>
      </c>
      <c r="C81" s="17" t="inlineStr">
        <is>
          <t>shared-kernel</t>
        </is>
      </c>
      <c r="D81" s="16" t="inlineStr">
        <is>
          <t>Unit</t>
        </is>
      </c>
      <c r="E81" s="17" t="inlineStr">
        <is>
          <t>MoneyEdgeCaseTest › PercentOf</t>
        </is>
      </c>
      <c r="F81" s="17" t="inlineStr">
        <is>
          <t>percentOf (basis point, làm tròn xuống)</t>
        </is>
      </c>
      <c r="G81" s="17" t="inlineStr">
        <is>
          <t>làm tròn xuống theo từng ca</t>
        </is>
      </c>
      <c r="H81" s="17" t="inlineStr">
        <is>
          <t>lam_tron_xuong(long, int, long)[3]</t>
        </is>
      </c>
      <c r="I81" s="16" t="inlineStr">
        <is>
          <t>Đạt</t>
        </is>
      </c>
      <c r="J81" s="16" t="n">
        <v>0.002</v>
      </c>
    </row>
    <row r="82">
      <c r="A82" s="16" t="n">
        <v>78</v>
      </c>
      <c r="B82" s="16" t="inlineStr">
        <is>
          <t>Backend</t>
        </is>
      </c>
      <c r="C82" s="17" t="inlineStr">
        <is>
          <t>shared-kernel</t>
        </is>
      </c>
      <c r="D82" s="16" t="inlineStr">
        <is>
          <t>Unit</t>
        </is>
      </c>
      <c r="E82" s="17" t="inlineStr">
        <is>
          <t>MoneyEdgeCaseTest › PercentOf</t>
        </is>
      </c>
      <c r="F82" s="17" t="inlineStr">
        <is>
          <t>percentOf (basis point, làm tròn xuống)</t>
        </is>
      </c>
      <c r="G82" s="17" t="inlineStr">
        <is>
          <t>làm tròn xuống theo từng ca</t>
        </is>
      </c>
      <c r="H82" s="17" t="inlineStr">
        <is>
          <t>lam_tron_xuong(long, int, long)[4]</t>
        </is>
      </c>
      <c r="I82" s="16" t="inlineStr">
        <is>
          <t>Đạt</t>
        </is>
      </c>
      <c r="J82" s="16" t="n">
        <v>0.003</v>
      </c>
    </row>
    <row r="83">
      <c r="A83" s="16" t="n">
        <v>79</v>
      </c>
      <c r="B83" s="16" t="inlineStr">
        <is>
          <t>Backend</t>
        </is>
      </c>
      <c r="C83" s="17" t="inlineStr">
        <is>
          <t>shared-kernel</t>
        </is>
      </c>
      <c r="D83" s="16" t="inlineStr">
        <is>
          <t>Unit</t>
        </is>
      </c>
      <c r="E83" s="17" t="inlineStr">
        <is>
          <t>MoneyEdgeCaseTest › PercentOf</t>
        </is>
      </c>
      <c r="F83" s="17" t="inlineStr">
        <is>
          <t>percentOf (basis point, làm tròn xuống)</t>
        </is>
      </c>
      <c r="G83" s="17" t="inlineStr">
        <is>
          <t>làm tròn xuống theo từng ca</t>
        </is>
      </c>
      <c r="H83" s="17" t="inlineStr">
        <is>
          <t>lam_tron_xuong(long, int, long)[5]</t>
        </is>
      </c>
      <c r="I83" s="16" t="inlineStr">
        <is>
          <t>Đạt</t>
        </is>
      </c>
      <c r="J83" s="16" t="n">
        <v>0.006</v>
      </c>
    </row>
    <row r="84">
      <c r="A84" s="16" t="n">
        <v>80</v>
      </c>
      <c r="B84" s="16" t="inlineStr">
        <is>
          <t>Backend</t>
        </is>
      </c>
      <c r="C84" s="17" t="inlineStr">
        <is>
          <t>shared-kernel</t>
        </is>
      </c>
      <c r="D84" s="16" t="inlineStr">
        <is>
          <t>Unit</t>
        </is>
      </c>
      <c r="E84" s="17" t="inlineStr">
        <is>
          <t>MoneyEdgeCaseTest › PercentOf</t>
        </is>
      </c>
      <c r="F84" s="17" t="inlineStr">
        <is>
          <t>percentOf (basis point, làm tròn xuống)</t>
        </is>
      </c>
      <c r="G84" s="17" t="inlineStr">
        <is>
          <t>làm tròn xuống theo từng ca</t>
        </is>
      </c>
      <c r="H84" s="17" t="inlineStr">
        <is>
          <t>lam_tron_xuong(long, int, long)[6]</t>
        </is>
      </c>
      <c r="I84" s="16" t="inlineStr">
        <is>
          <t>Đạt</t>
        </is>
      </c>
      <c r="J84" s="16" t="n">
        <v>0.003</v>
      </c>
    </row>
    <row r="85">
      <c r="A85" s="16" t="n">
        <v>81</v>
      </c>
      <c r="B85" s="16" t="inlineStr">
        <is>
          <t>Backend</t>
        </is>
      </c>
      <c r="C85" s="17" t="inlineStr">
        <is>
          <t>shared-kernel</t>
        </is>
      </c>
      <c r="D85" s="16" t="inlineStr">
        <is>
          <t>Unit</t>
        </is>
      </c>
      <c r="E85" s="17" t="inlineStr">
        <is>
          <t>MoneyEdgeCaseTest › PercentOf</t>
        </is>
      </c>
      <c r="F85" s="17" t="inlineStr">
        <is>
          <t>percentOf (basis point, làm tròn xuống)</t>
        </is>
      </c>
      <c r="G85" s="17" t="inlineStr">
        <is>
          <t>làm tròn xuống theo từng ca</t>
        </is>
      </c>
      <c r="H85" s="17" t="inlineStr">
        <is>
          <t>lam_tron_xuong(long, int, long)[7]</t>
        </is>
      </c>
      <c r="I85" s="16" t="inlineStr">
        <is>
          <t>Đạt</t>
        </is>
      </c>
      <c r="J85" s="16" t="n">
        <v>0.006</v>
      </c>
    </row>
    <row r="86">
      <c r="A86" s="16" t="n">
        <v>82</v>
      </c>
      <c r="B86" s="16" t="inlineStr">
        <is>
          <t>Backend</t>
        </is>
      </c>
      <c r="C86" s="17" t="inlineStr">
        <is>
          <t>shared-kernel</t>
        </is>
      </c>
      <c r="D86" s="16" t="inlineStr">
        <is>
          <t>Unit</t>
        </is>
      </c>
      <c r="E86" s="17" t="inlineStr">
        <is>
          <t>MoneyEdgeCaseTest › PercentOf</t>
        </is>
      </c>
      <c r="F86" s="17" t="inlineStr">
        <is>
          <t>percentOf (basis point, làm tròn xuống)</t>
        </is>
      </c>
      <c r="G86" s="17" t="inlineStr">
        <is>
          <t>làm tròn xuống theo từng ca</t>
        </is>
      </c>
      <c r="H86" s="17" t="inlineStr">
        <is>
          <t>lam_tron_xuong(long, int, long)[8]</t>
        </is>
      </c>
      <c r="I86" s="16" t="inlineStr">
        <is>
          <t>Đạt</t>
        </is>
      </c>
      <c r="J86" s="16" t="n">
        <v>0.004</v>
      </c>
    </row>
    <row r="87">
      <c r="A87" s="16" t="n">
        <v>83</v>
      </c>
      <c r="B87" s="16" t="inlineStr">
        <is>
          <t>Backend</t>
        </is>
      </c>
      <c r="C87" s="17" t="inlineStr">
        <is>
          <t>shared-kernel</t>
        </is>
      </c>
      <c r="D87" s="16" t="inlineStr">
        <is>
          <t>Unit</t>
        </is>
      </c>
      <c r="E87" s="17" t="inlineStr">
        <is>
          <t>MoneyEdgeCaseTest › PercentOf</t>
        </is>
      </c>
      <c r="F87" s="17" t="inlineStr">
        <is>
          <t>percentOf (basis point, làm tròn xuống)</t>
        </is>
      </c>
      <c r="G87" s="17" t="inlineStr">
        <is>
          <t>làm tròn xuống theo từng ca</t>
        </is>
      </c>
      <c r="H87" s="17" t="inlineStr">
        <is>
          <t>lam_tron_xuong(long, int, long)[9]</t>
        </is>
      </c>
      <c r="I87" s="16" t="inlineStr">
        <is>
          <t>Đạt</t>
        </is>
      </c>
      <c r="J87" s="16" t="n">
        <v>0.002</v>
      </c>
    </row>
    <row r="88">
      <c r="A88" s="16" t="n">
        <v>84</v>
      </c>
      <c r="B88" s="16" t="inlineStr">
        <is>
          <t>Backend</t>
        </is>
      </c>
      <c r="C88" s="17" t="inlineStr">
        <is>
          <t>shared-kernel</t>
        </is>
      </c>
      <c r="D88" s="16" t="inlineStr">
        <is>
          <t>Unit</t>
        </is>
      </c>
      <c r="E88" s="17" t="inlineStr">
        <is>
          <t>MoneyEdgeCaseTest › PercentOf</t>
        </is>
      </c>
      <c r="F88" s="17" t="inlineStr">
        <is>
          <t>percentOf (basis point, làm tròn xuống)</t>
        </is>
      </c>
      <c r="G88" s="17" t="inlineStr">
        <is>
          <t>làm tròn xuống theo từng ca</t>
        </is>
      </c>
      <c r="H88" s="17" t="inlineStr">
        <is>
          <t>lam_tron_xuong(long, int, long)[10]</t>
        </is>
      </c>
      <c r="I88" s="16" t="inlineStr">
        <is>
          <t>Đạt</t>
        </is>
      </c>
      <c r="J88" s="16" t="n">
        <v>0.008999999999999999</v>
      </c>
    </row>
    <row r="89">
      <c r="A89" s="16" t="n">
        <v>85</v>
      </c>
      <c r="B89" s="16" t="inlineStr">
        <is>
          <t>Backend</t>
        </is>
      </c>
      <c r="C89" s="17" t="inlineStr">
        <is>
          <t>shared-kernel</t>
        </is>
      </c>
      <c r="D89" s="16" t="inlineStr">
        <is>
          <t>Unit</t>
        </is>
      </c>
      <c r="E89" s="17" t="inlineStr">
        <is>
          <t>MoneyEdgeCaseTest › PercentOf</t>
        </is>
      </c>
      <c r="F89" s="17" t="inlineStr">
        <is>
          <t>percentOf (basis point, làm tròn xuống)</t>
        </is>
      </c>
      <c r="G89" s="17" t="inlineStr">
        <is>
          <t>làm tròn xuống theo từng ca</t>
        </is>
      </c>
      <c r="H89" s="17" t="inlineStr">
        <is>
          <t>lam_tron_xuong(long, int, long)[11]</t>
        </is>
      </c>
      <c r="I89" s="16" t="inlineStr">
        <is>
          <t>Đạt</t>
        </is>
      </c>
      <c r="J89" s="16" t="n">
        <v>0.012</v>
      </c>
    </row>
    <row r="90">
      <c r="A90" s="16" t="n">
        <v>86</v>
      </c>
      <c r="B90" s="16" t="inlineStr">
        <is>
          <t>Backend</t>
        </is>
      </c>
      <c r="C90" s="17" t="inlineStr">
        <is>
          <t>shared-kernel</t>
        </is>
      </c>
      <c r="D90" s="16" t="inlineStr">
        <is>
          <t>Unit</t>
        </is>
      </c>
      <c r="E90" s="17" t="inlineStr">
        <is>
          <t>MoneyEdgeCaseTest › PercentOf</t>
        </is>
      </c>
      <c r="F90" s="17" t="inlineStr">
        <is>
          <t>percentOf (basis point, làm tròn xuống)</t>
        </is>
      </c>
      <c r="G90" s="17" t="inlineStr">
        <is>
          <t>hoa hồng + phần còn lại luôn bằng đúng tổng — không rơi mất một đồng</t>
        </is>
      </c>
      <c r="H90" s="17" t="inlineStr">
        <is>
          <t>khong_mat_dong_nao</t>
        </is>
      </c>
      <c r="I90" s="16" t="inlineStr">
        <is>
          <t>Đạt</t>
        </is>
      </c>
      <c r="J90" s="16" t="n">
        <v>0.004</v>
      </c>
    </row>
    <row r="91">
      <c r="A91" s="16" t="n">
        <v>87</v>
      </c>
      <c r="B91" s="16" t="inlineStr">
        <is>
          <t>Backend</t>
        </is>
      </c>
      <c r="C91" s="17" t="inlineStr">
        <is>
          <t>shared-kernel</t>
        </is>
      </c>
      <c r="D91" s="16" t="inlineStr">
        <is>
          <t>Unit</t>
        </is>
      </c>
      <c r="E91" s="17" t="inlineStr">
        <is>
          <t>MoneyTest</t>
        </is>
      </c>
      <c r="F91" s="17" t="inlineStr"/>
      <c r="G91" s="17" t="inlineStr">
        <is>
          <t>khong cho so am</t>
        </is>
      </c>
      <c r="H91" s="17" t="inlineStr">
        <is>
          <t>khong_cho_so_am</t>
        </is>
      </c>
      <c r="I91" s="16" t="inlineStr">
        <is>
          <t>Đạt</t>
        </is>
      </c>
      <c r="J91" s="16" t="n">
        <v>0.002</v>
      </c>
    </row>
    <row r="92">
      <c r="A92" s="16" t="n">
        <v>88</v>
      </c>
      <c r="B92" s="16" t="inlineStr">
        <is>
          <t>Backend</t>
        </is>
      </c>
      <c r="C92" s="17" t="inlineStr">
        <is>
          <t>shared-kernel</t>
        </is>
      </c>
      <c r="D92" s="16" t="inlineStr">
        <is>
          <t>Unit</t>
        </is>
      </c>
      <c r="E92" s="17" t="inlineStr">
        <is>
          <t>MoneyTest</t>
        </is>
      </c>
      <c r="F92" s="17" t="inlineStr"/>
      <c r="G92" s="17" t="inlineStr">
        <is>
          <t>tru qua so du bi chan</t>
        </is>
      </c>
      <c r="H92" s="17" t="inlineStr">
        <is>
          <t>tru_qua_so_du_bi_chan</t>
        </is>
      </c>
      <c r="I92" s="16" t="inlineStr">
        <is>
          <t>Đạt</t>
        </is>
      </c>
      <c r="J92" s="16" t="n">
        <v>0.005</v>
      </c>
    </row>
    <row r="93">
      <c r="A93" s="16" t="n">
        <v>89</v>
      </c>
      <c r="B93" s="16" t="inlineStr">
        <is>
          <t>Backend</t>
        </is>
      </c>
      <c r="C93" s="17" t="inlineStr">
        <is>
          <t>shared-kernel</t>
        </is>
      </c>
      <c r="D93" s="16" t="inlineStr">
        <is>
          <t>Unit</t>
        </is>
      </c>
      <c r="E93" s="17" t="inlineStr">
        <is>
          <t>MoneyTest</t>
        </is>
      </c>
      <c r="F93" s="17" t="inlineStr"/>
      <c r="G93" s="17" t="inlineStr">
        <is>
          <t>hoa hong 5 phan tram lam tron xuong</t>
        </is>
      </c>
      <c r="H93" s="17" t="inlineStr">
        <is>
          <t>hoa_hong_5_phan_tram_lam_tron_xuong</t>
        </is>
      </c>
      <c r="I93" s="16" t="inlineStr">
        <is>
          <t>Đạt</t>
        </is>
      </c>
      <c r="J93" s="16" t="n">
        <v>0.001</v>
      </c>
    </row>
    <row r="94">
      <c r="A94" s="16" t="n">
        <v>90</v>
      </c>
      <c r="B94" s="16" t="inlineStr">
        <is>
          <t>Backend</t>
        </is>
      </c>
      <c r="C94" s="17" t="inlineStr">
        <is>
          <t>shared-kernel</t>
        </is>
      </c>
      <c r="D94" s="16" t="inlineStr">
        <is>
          <t>Unit</t>
        </is>
      </c>
      <c r="E94" s="17" t="inlineStr">
        <is>
          <t>MoneyTest</t>
        </is>
      </c>
      <c r="F94" s="17" t="inlineStr"/>
      <c r="G94" s="17" t="inlineStr">
        <is>
          <t>format theo kieu viet nam</t>
        </is>
      </c>
      <c r="H94" s="17" t="inlineStr">
        <is>
          <t>format_theo_kieu_viet_nam</t>
        </is>
      </c>
      <c r="I94" s="16" t="inlineStr">
        <is>
          <t>Đạt</t>
        </is>
      </c>
      <c r="J94" s="16" t="n">
        <v>0.001</v>
      </c>
    </row>
    <row r="95">
      <c r="A95" s="16" t="n">
        <v>91</v>
      </c>
      <c r="B95" s="16" t="inlineStr">
        <is>
          <t>Backend</t>
        </is>
      </c>
      <c r="C95" s="17" t="inlineStr">
        <is>
          <t>shared-kernel</t>
        </is>
      </c>
      <c r="D95" s="16" t="inlineStr">
        <is>
          <t>Unit</t>
        </is>
      </c>
      <c r="E95" s="17" t="inlineStr">
        <is>
          <t>MoneyTest</t>
        </is>
      </c>
      <c r="F95" s="17" t="inlineStr"/>
      <c r="G95" s="17" t="inlineStr">
        <is>
          <t>tran so nem exception thay vi cho ket qua sai</t>
        </is>
      </c>
      <c r="H95" s="17" t="inlineStr">
        <is>
          <t>tran_so_nem_exception_thay_vi_cho_ket_qua_sai</t>
        </is>
      </c>
      <c r="I95" s="16" t="inlineStr">
        <is>
          <t>Đạt</t>
        </is>
      </c>
      <c r="J95" s="16" t="n">
        <v>0.001</v>
      </c>
    </row>
    <row r="96">
      <c r="A96" s="16" t="n">
        <v>92</v>
      </c>
      <c r="B96" s="16" t="inlineStr">
        <is>
          <t>Backend</t>
        </is>
      </c>
      <c r="C96" s="17" t="inlineStr">
        <is>
          <t>shared-kernel</t>
        </is>
      </c>
      <c r="D96" s="16" t="inlineStr">
        <is>
          <t>Unit</t>
        </is>
      </c>
      <c r="E96" s="17" t="inlineStr">
        <is>
          <t>TimeWindowEdgeCaseTest</t>
        </is>
      </c>
      <c r="F96" s="17" t="inlineStr"/>
      <c r="G96" s="17" t="inlineStr">
        <is>
          <t>duration bằng end - start</t>
        </is>
      </c>
      <c r="H96" s="17" t="inlineStr">
        <is>
          <t>duration</t>
        </is>
      </c>
      <c r="I96" s="16" t="inlineStr">
        <is>
          <t>Đạt</t>
        </is>
      </c>
      <c r="J96" s="16" t="n">
        <v>0.003</v>
      </c>
    </row>
    <row r="97">
      <c r="A97" s="16" t="n">
        <v>93</v>
      </c>
      <c r="B97" s="16" t="inlineStr">
        <is>
          <t>Backend</t>
        </is>
      </c>
      <c r="C97" s="17" t="inlineStr">
        <is>
          <t>shared-kernel</t>
        </is>
      </c>
      <c r="D97" s="16" t="inlineStr">
        <is>
          <t>Unit</t>
        </is>
      </c>
      <c r="E97" s="17" t="inlineStr">
        <is>
          <t>TimeWindowEdgeCaseTest</t>
        </is>
      </c>
      <c r="F97" s="17" t="inlineStr"/>
      <c r="G97" s="17" t="inlineStr">
        <is>
          <t>đệm âm thu hẹp khoảng; thu hẹp quá mức thì bị từ chối thay vì tạo khoảng ngược</t>
        </is>
      </c>
      <c r="H97" s="17" t="inlineStr">
        <is>
          <t>dem_am</t>
        </is>
      </c>
      <c r="I97" s="16" t="inlineStr">
        <is>
          <t>Đạt</t>
        </is>
      </c>
      <c r="J97" s="16" t="n">
        <v>0.008</v>
      </c>
    </row>
    <row r="98">
      <c r="A98" s="16" t="n">
        <v>94</v>
      </c>
      <c r="B98" s="16" t="inlineStr">
        <is>
          <t>Backend</t>
        </is>
      </c>
      <c r="C98" s="17" t="inlineStr">
        <is>
          <t>shared-kernel</t>
        </is>
      </c>
      <c r="D98" s="16" t="inlineStr">
        <is>
          <t>Unit</t>
        </is>
      </c>
      <c r="E98" s="17" t="inlineStr">
        <is>
          <t>TimeWindowEdgeCaseTest</t>
        </is>
      </c>
      <c r="F98" s="17" t="inlineStr"/>
      <c r="G98" s="17" t="inlineStr">
        <is>
          <t>contains: gồm start, loại end, loại điểm ngoài</t>
        </is>
      </c>
      <c r="H98" s="17" t="inlineStr">
        <is>
          <t>contains</t>
        </is>
      </c>
      <c r="I98" s="16" t="inlineStr">
        <is>
          <t>Đạt</t>
        </is>
      </c>
      <c r="J98" s="16" t="n">
        <v>0.001</v>
      </c>
    </row>
    <row r="99">
      <c r="A99" s="16" t="n">
        <v>95</v>
      </c>
      <c r="B99" s="16" t="inlineStr">
        <is>
          <t>Backend</t>
        </is>
      </c>
      <c r="C99" s="17" t="inlineStr">
        <is>
          <t>shared-kernel</t>
        </is>
      </c>
      <c r="D99" s="16" t="inlineStr">
        <is>
          <t>Unit</t>
        </is>
      </c>
      <c r="E99" s="17" t="inlineStr">
        <is>
          <t>TimeWindowEdgeCaseTest</t>
        </is>
      </c>
      <c r="F99" s="17" t="inlineStr"/>
      <c r="G99" s="17" t="inlineStr">
        <is>
          <t>expandedBy nới đúng hai đầu; đệm 0 giữ nguyên; bản gốc bất biến</t>
        </is>
      </c>
      <c r="H99" s="17" t="inlineStr">
        <is>
          <t>expanded_by</t>
        </is>
      </c>
      <c r="I99" s="16" t="inlineStr">
        <is>
          <t>Đạt</t>
        </is>
      </c>
      <c r="J99" s="16" t="n">
        <v>0.008</v>
      </c>
    </row>
    <row r="100">
      <c r="A100" s="16" t="n">
        <v>96</v>
      </c>
      <c r="B100" s="16" t="inlineStr">
        <is>
          <t>Backend</t>
        </is>
      </c>
      <c r="C100" s="17" t="inlineStr">
        <is>
          <t>shared-kernel</t>
        </is>
      </c>
      <c r="D100" s="16" t="inlineStr">
        <is>
          <t>Unit</t>
        </is>
      </c>
      <c r="E100" s="17" t="inlineStr">
        <is>
          <t>TimeWindowEdgeCaseTest</t>
        </is>
      </c>
      <c r="F100" s="17" t="inlineStr"/>
      <c r="G100" s="17" t="inlineStr">
        <is>
          <t>giao nhau đối xứng, lồng nhau và trùng hệt đều là giao</t>
        </is>
      </c>
      <c r="H100" s="17" t="inlineStr">
        <is>
          <t>giao_nhau</t>
        </is>
      </c>
      <c r="I100" s="16" t="inlineStr">
        <is>
          <t>Đạt</t>
        </is>
      </c>
      <c r="J100" s="16" t="n">
        <v>0.002</v>
      </c>
    </row>
    <row r="101">
      <c r="A101" s="16" t="n">
        <v>97</v>
      </c>
      <c r="B101" s="16" t="inlineStr">
        <is>
          <t>Backend</t>
        </is>
      </c>
      <c r="C101" s="17" t="inlineStr">
        <is>
          <t>shared-kernel</t>
        </is>
      </c>
      <c r="D101" s="16" t="inlineStr">
        <is>
          <t>Unit</t>
        </is>
      </c>
      <c r="E101" s="17" t="inlineStr">
        <is>
          <t>TimeWindowEdgeCaseTest</t>
        </is>
      </c>
      <c r="F101" s="17" t="inlineStr"/>
      <c r="G101" s="17" t="inlineStr">
        <is>
          <t>hai khoảng liền kề (end = start kia) không giao nhau — hai suất nối tiếp không bị báo trùng</t>
        </is>
      </c>
      <c r="H101" s="17" t="inlineStr">
        <is>
          <t>lien_ke_khong_giao</t>
        </is>
      </c>
      <c r="I101" s="16" t="inlineStr">
        <is>
          <t>Đạt</t>
        </is>
      </c>
      <c r="J101" s="16" t="n">
        <v>0.002</v>
      </c>
    </row>
    <row r="102">
      <c r="A102" s="16" t="n">
        <v>98</v>
      </c>
      <c r="B102" s="16" t="inlineStr">
        <is>
          <t>Backend</t>
        </is>
      </c>
      <c r="C102" s="17" t="inlineStr">
        <is>
          <t>shared-kernel</t>
        </is>
      </c>
      <c r="D102" s="16" t="inlineStr">
        <is>
          <t>Unit</t>
        </is>
      </c>
      <c r="E102" s="17" t="inlineStr">
        <is>
          <t>TimeWindowEdgeCaseTest</t>
        </is>
      </c>
      <c r="F102" s="17" t="inlineStr"/>
      <c r="G102" s="17" t="inlineStr">
        <is>
          <t>end phải SAU start: bằng nhau hay ngược đều bị từ chối</t>
        </is>
      </c>
      <c r="H102" s="17" t="inlineStr">
        <is>
          <t>rang_buoc_start_end</t>
        </is>
      </c>
      <c r="I102" s="16" t="inlineStr">
        <is>
          <t>Đạt</t>
        </is>
      </c>
      <c r="J102" s="16" t="n">
        <v>0.004</v>
      </c>
    </row>
    <row r="103">
      <c r="A103" s="16" t="n">
        <v>99</v>
      </c>
      <c r="B103" s="16" t="inlineStr">
        <is>
          <t>Backend</t>
        </is>
      </c>
      <c r="C103" s="17" t="inlineStr">
        <is>
          <t>shared-kernel</t>
        </is>
      </c>
      <c r="D103" s="16" t="inlineStr">
        <is>
          <t>Unit</t>
        </is>
      </c>
      <c r="E103" s="17" t="inlineStr">
        <is>
          <t>TimeWindowTest</t>
        </is>
      </c>
      <c r="F103" s="17" t="inlineStr"/>
      <c r="G103" s="17" t="inlineStr">
        <is>
          <t>nhung them dem dung thao thi trung</t>
        </is>
      </c>
      <c r="H103" s="17" t="inlineStr">
        <is>
          <t>nhung_them_dem_dung_thao_thi_trung</t>
        </is>
      </c>
      <c r="I103" s="16" t="inlineStr">
        <is>
          <t>Đạt</t>
        </is>
      </c>
      <c r="J103" s="16" t="n">
        <v>0.003</v>
      </c>
    </row>
    <row r="104">
      <c r="A104" s="16" t="n">
        <v>100</v>
      </c>
      <c r="B104" s="16" t="inlineStr">
        <is>
          <t>Backend</t>
        </is>
      </c>
      <c r="C104" s="17" t="inlineStr">
        <is>
          <t>shared-kernel</t>
        </is>
      </c>
      <c r="D104" s="16" t="inlineStr">
        <is>
          <t>Unit</t>
        </is>
      </c>
      <c r="E104" s="17" t="inlineStr">
        <is>
          <t>TimeWindowTest</t>
        </is>
      </c>
      <c r="F104" s="17" t="inlineStr"/>
      <c r="G104" s="17" t="inlineStr">
        <is>
          <t>khoang nua mo khong tinh diem cuoi</t>
        </is>
      </c>
      <c r="H104" s="17" t="inlineStr">
        <is>
          <t>khoang_nua_mo_khong_tinh_diem_cuoi</t>
        </is>
      </c>
      <c r="I104" s="16" t="inlineStr">
        <is>
          <t>Đạt</t>
        </is>
      </c>
      <c r="J104" s="16" t="n">
        <v>0.003</v>
      </c>
    </row>
    <row r="105">
      <c r="A105" s="16" t="n">
        <v>101</v>
      </c>
      <c r="B105" s="16" t="inlineStr">
        <is>
          <t>Backend</t>
        </is>
      </c>
      <c r="C105" s="17" t="inlineStr">
        <is>
          <t>shared-kernel</t>
        </is>
      </c>
      <c r="D105" s="16" t="inlineStr">
        <is>
          <t>Unit</t>
        </is>
      </c>
      <c r="E105" s="17" t="inlineStr">
        <is>
          <t>TimeWindowTest</t>
        </is>
      </c>
      <c r="F105" s="17" t="inlineStr"/>
      <c r="G105" s="17" t="inlineStr">
        <is>
          <t>hai suat khong giao gio dien thi khong trung</t>
        </is>
      </c>
      <c r="H105" s="17" t="inlineStr">
        <is>
          <t>hai_suat_khong_giao_gio_dien_thi_khong_trung</t>
        </is>
      </c>
      <c r="I105" s="16" t="inlineStr">
        <is>
          <t>Đạt</t>
        </is>
      </c>
      <c r="J105" s="16" t="n">
        <v>0.003</v>
      </c>
    </row>
    <row r="106">
      <c r="A106" s="16" t="n">
        <v>102</v>
      </c>
      <c r="B106" s="16" t="inlineStr">
        <is>
          <t>Backend</t>
        </is>
      </c>
      <c r="C106" s="17" t="inlineStr">
        <is>
          <t>starter-idempotency</t>
        </is>
      </c>
      <c r="D106" s="16" t="inlineStr">
        <is>
          <t>Unit</t>
        </is>
      </c>
      <c r="E106" s="17" t="inlineStr">
        <is>
          <t>ConsumedEventTest</t>
        </is>
      </c>
      <c r="F106" s="17" t="inlineStr"/>
      <c r="G106" s="17" t="inlineStr">
        <is>
          <t>number(): đọc số, thiếu hoặc null thành 0, chuỗi số được ép</t>
        </is>
      </c>
      <c r="H106" s="17" t="inlineStr">
        <is>
          <t>number_doc_truong</t>
        </is>
      </c>
      <c r="I106" s="16" t="inlineStr">
        <is>
          <t>Đạt</t>
        </is>
      </c>
      <c r="J106" s="16" t="n">
        <v>0.203</v>
      </c>
    </row>
    <row r="107">
      <c r="A107" s="16" t="n">
        <v>103</v>
      </c>
      <c r="B107" s="16" t="inlineStr">
        <is>
          <t>Backend</t>
        </is>
      </c>
      <c r="C107" s="17" t="inlineStr">
        <is>
          <t>starter-idempotency</t>
        </is>
      </c>
      <c r="D107" s="16" t="inlineStr">
        <is>
          <t>Unit</t>
        </is>
      </c>
      <c r="E107" s="17" t="inlineStr">
        <is>
          <t>ConsumedEventTest</t>
        </is>
      </c>
      <c r="F107" s="17" t="inlineStr"/>
      <c r="G107" s="17" t="inlineStr">
        <is>
          <t>text(): null khi thiếu hoặc JSON null; giữ tiếng Việt</t>
        </is>
      </c>
      <c r="H107" s="17" t="inlineStr">
        <is>
          <t>text_doc_truong</t>
        </is>
      </c>
      <c r="I107" s="16" t="inlineStr">
        <is>
          <t>Đạt</t>
        </is>
      </c>
      <c r="J107" s="16" t="n">
        <v>0.008</v>
      </c>
    </row>
    <row r="108">
      <c r="A108" s="16" t="n">
        <v>104</v>
      </c>
      <c r="B108" s="16" t="inlineStr">
        <is>
          <t>Backend</t>
        </is>
      </c>
      <c r="C108" s="17" t="inlineStr">
        <is>
          <t>starter-idempotency</t>
        </is>
      </c>
      <c r="D108" s="16" t="inlineStr">
        <is>
          <t>Unit</t>
        </is>
      </c>
      <c r="E108" s="17" t="inlineStr">
        <is>
          <t>ConsumedEventTest</t>
        </is>
      </c>
      <c r="F108" s="17" t="inlineStr"/>
      <c r="G108" s="17" t="inlineStr">
        <is>
          <t>uuid(): đọc UUID hợp lệ; thiếu hoặc sai khuôn trả null, không ném</t>
        </is>
      </c>
      <c r="H108" s="17" t="inlineStr">
        <is>
          <t>uuid_doc_truong</t>
        </is>
      </c>
      <c r="I108" s="16" t="inlineStr">
        <is>
          <t>Đạt</t>
        </is>
      </c>
      <c r="J108" s="16" t="n">
        <v>0.007</v>
      </c>
    </row>
    <row r="109">
      <c r="A109" s="16" t="n">
        <v>105</v>
      </c>
      <c r="B109" s="16" t="inlineStr">
        <is>
          <t>Backend</t>
        </is>
      </c>
      <c r="C109" s="17" t="inlineStr">
        <is>
          <t>starter-idempotency</t>
        </is>
      </c>
      <c r="D109" s="16" t="inlineStr">
        <is>
          <t>Unit</t>
        </is>
      </c>
      <c r="E109" s="17" t="inlineStr">
        <is>
          <t>ConsumedEventTest</t>
        </is>
      </c>
      <c r="F109" s="17" t="inlineStr"/>
      <c r="G109" s="17" t="inlineStr">
        <is>
          <t>thân không phải JSON: MalformedEventException</t>
        </is>
      </c>
      <c r="H109" s="17" t="inlineStr">
        <is>
          <t>than_khong_phai_json</t>
        </is>
      </c>
      <c r="I109" s="16" t="inlineStr">
        <is>
          <t>Đạt</t>
        </is>
      </c>
      <c r="J109" s="16" t="n">
        <v>0.012</v>
      </c>
    </row>
    <row r="110">
      <c r="A110" s="16" t="n">
        <v>106</v>
      </c>
      <c r="B110" s="16" t="inlineStr">
        <is>
          <t>Backend</t>
        </is>
      </c>
      <c r="C110" s="17" t="inlineStr">
        <is>
          <t>starter-idempotency</t>
        </is>
      </c>
      <c r="D110" s="16" t="inlineStr">
        <is>
          <t>Unit</t>
        </is>
      </c>
      <c r="E110" s="17" t="inlineStr">
        <is>
          <t>ConsumedEventTest</t>
        </is>
      </c>
      <c r="F110" s="17" t="inlineStr"/>
      <c r="G110" s="17" t="inlineStr">
        <is>
          <t>thiếu messageId: MalformedEventException vì không chống trùng được</t>
        </is>
      </c>
      <c r="H110" s="17" t="inlineStr">
        <is>
          <t>thieu_message_id</t>
        </is>
      </c>
      <c r="I110" s="16" t="inlineStr">
        <is>
          <t>Đạt</t>
        </is>
      </c>
      <c r="J110" s="16" t="n">
        <v>0.004</v>
      </c>
    </row>
    <row r="111">
      <c r="A111" s="16" t="n">
        <v>107</v>
      </c>
      <c r="B111" s="16" t="inlineStr">
        <is>
          <t>Backend</t>
        </is>
      </c>
      <c r="C111" s="17" t="inlineStr">
        <is>
          <t>starter-idempotency</t>
        </is>
      </c>
      <c r="D111" s="16" t="inlineStr">
        <is>
          <t>Unit</t>
        </is>
      </c>
      <c r="E111" s="17" t="inlineStr">
        <is>
          <t>ConsumedEventTest</t>
        </is>
      </c>
      <c r="F111" s="17" t="inlineStr"/>
      <c r="G111" s="17" t="inlineStr">
        <is>
          <t>messageId không phải UUID: MalformedEventException, không IllegalArgumentException</t>
        </is>
      </c>
      <c r="H111" s="17" t="inlineStr">
        <is>
          <t>message_id_sai_khuon</t>
        </is>
      </c>
      <c r="I111" s="16" t="inlineStr">
        <is>
          <t>Đạt</t>
        </is>
      </c>
      <c r="J111" s="16" t="n">
        <v>0.005</v>
      </c>
    </row>
    <row r="112">
      <c r="A112" s="16" t="n">
        <v>108</v>
      </c>
      <c r="B112" s="16" t="inlineStr">
        <is>
          <t>Backend</t>
        </is>
      </c>
      <c r="C112" s="17" t="inlineStr">
        <is>
          <t>starter-idempotency</t>
        </is>
      </c>
      <c r="D112" s="16" t="inlineStr">
        <is>
          <t>Unit</t>
        </is>
      </c>
      <c r="E112" s="17" t="inlineStr">
        <is>
          <t>ConsumedEventTest</t>
        </is>
      </c>
      <c r="F112" s="17" t="inlineStr"/>
      <c r="G112" s="17" t="inlineStr">
        <is>
          <t>thiếu eventType và aggregateId: để null, không ném</t>
        </is>
      </c>
      <c r="H112" s="17" t="inlineStr">
        <is>
          <t>thieu_header_tuy_chon</t>
        </is>
      </c>
      <c r="I112" s="16" t="inlineStr">
        <is>
          <t>Đạt</t>
        </is>
      </c>
      <c r="J112" s="16" t="n">
        <v>0.004</v>
      </c>
    </row>
    <row r="113">
      <c r="A113" s="16" t="n">
        <v>109</v>
      </c>
      <c r="B113" s="16" t="inlineStr">
        <is>
          <t>Backend</t>
        </is>
      </c>
      <c r="C113" s="17" t="inlineStr">
        <is>
          <t>starter-idempotency</t>
        </is>
      </c>
      <c r="D113" s="16" t="inlineStr">
        <is>
          <t>Unit</t>
        </is>
      </c>
      <c r="E113" s="17" t="inlineStr">
        <is>
          <t>ConsumedEventTest</t>
        </is>
      </c>
      <c r="F113" s="17" t="inlineStr"/>
      <c r="G113" s="17" t="inlineStr">
        <is>
          <t>aggregateId header sai khuôn: MalformedEventException</t>
        </is>
      </c>
      <c r="H113" s="17" t="inlineStr">
        <is>
          <t>aggregate_id_sai_khuon</t>
        </is>
      </c>
      <c r="I113" s="16" t="inlineStr">
        <is>
          <t>Đạt</t>
        </is>
      </c>
      <c r="J113" s="16" t="n">
        <v>0.004</v>
      </c>
    </row>
    <row r="114">
      <c r="A114" s="16" t="n">
        <v>110</v>
      </c>
      <c r="B114" s="16" t="inlineStr">
        <is>
          <t>Backend</t>
        </is>
      </c>
      <c r="C114" s="17" t="inlineStr">
        <is>
          <t>starter-idempotency</t>
        </is>
      </c>
      <c r="D114" s="16" t="inlineStr">
        <is>
          <t>Unit</t>
        </is>
      </c>
      <c r="E114" s="17" t="inlineStr">
        <is>
          <t>ConsumedEventTest</t>
        </is>
      </c>
      <c r="F114" s="17" t="inlineStr"/>
      <c r="G114" s="17" t="inlineStr">
        <is>
          <t>message đủ header: eventId lấy từ messageId, không lấy từ aggregateId</t>
        </is>
      </c>
      <c r="H114" s="17" t="inlineStr">
        <is>
          <t>boc_dung_header</t>
        </is>
      </c>
      <c r="I114" s="16" t="inlineStr">
        <is>
          <t>Đạt</t>
        </is>
      </c>
      <c r="J114" s="16" t="n">
        <v>0.004</v>
      </c>
    </row>
    <row r="115">
      <c r="A115" s="16" t="n">
        <v>111</v>
      </c>
      <c r="B115" s="16" t="inlineStr">
        <is>
          <t>Backend</t>
        </is>
      </c>
      <c r="C115" s="17" t="inlineStr">
        <is>
          <t>starter-idempotency</t>
        </is>
      </c>
      <c r="D115" s="16" t="inlineStr">
        <is>
          <t>Unit</t>
        </is>
      </c>
      <c r="E115" s="17" t="inlineStr">
        <is>
          <t>IdempotencyCleanupJobTest</t>
        </is>
      </c>
      <c r="F115" s="17" t="inlineStr"/>
      <c r="G115" s="17" t="inlineStr">
        <is>
          <t>Mặc định giữ 48 giờ, dọn mỗi giờ, 1.000 dòng một lô — không ít hơn 24 giờ của ADR-0007</t>
        </is>
      </c>
      <c r="H115" s="17" t="inlineStr">
        <is>
          <t>mac_dinh</t>
        </is>
      </c>
      <c r="I115" s="16" t="inlineStr">
        <is>
          <t>Đạt</t>
        </is>
      </c>
      <c r="J115" s="16" t="n">
        <v>0.031</v>
      </c>
    </row>
    <row r="116">
      <c r="A116" s="16" t="n">
        <v>112</v>
      </c>
      <c r="B116" s="16" t="inlineStr">
        <is>
          <t>Backend</t>
        </is>
      </c>
      <c r="C116" s="17" t="inlineStr">
        <is>
          <t>starter-idempotency</t>
        </is>
      </c>
      <c r="D116" s="16" t="inlineStr">
        <is>
          <t>Unit</t>
        </is>
      </c>
      <c r="E116" s="17" t="inlineStr">
        <is>
          <t>IdempotencyCleanupJobTest</t>
        </is>
      </c>
      <c r="F116" s="17" t="inlineStr"/>
      <c r="G116" s="17" t="inlineStr">
        <is>
          <t>Lô đầy thì xoá tiếp tới khi lô không đầy; tổng là tổng số dòng đã xoá</t>
        </is>
      </c>
      <c r="H116" s="17" t="inlineStr">
        <is>
          <t>chia_lo</t>
        </is>
      </c>
      <c r="I116" s="16" t="inlineStr">
        <is>
          <t>Đạt</t>
        </is>
      </c>
      <c r="J116" s="16" t="n">
        <v>0.31</v>
      </c>
    </row>
    <row r="117">
      <c r="A117" s="16" t="n">
        <v>113</v>
      </c>
      <c r="B117" s="16" t="inlineStr">
        <is>
          <t>Backend</t>
        </is>
      </c>
      <c r="C117" s="17" t="inlineStr">
        <is>
          <t>starter-idempotency</t>
        </is>
      </c>
      <c r="D117" s="16" t="inlineStr">
        <is>
          <t>Unit</t>
        </is>
      </c>
      <c r="E117" s="17" t="inlineStr">
        <is>
          <t>IdempotencyCleanupJobTest</t>
        </is>
      </c>
      <c r="F117" s="17" t="inlineStr"/>
      <c r="G117" s="17" t="inlineStr">
        <is>
          <t>Có thứ chèn nhanh hơn ta xoá: dừng sau số lô tối đa, vòng sau dọn tiếp</t>
        </is>
      </c>
      <c r="H117" s="17" t="inlineStr">
        <is>
          <t>chan_vong_lap_vo_han</t>
        </is>
      </c>
      <c r="I117" s="16" t="inlineStr">
        <is>
          <t>Đạt</t>
        </is>
      </c>
      <c r="J117" s="16" t="n">
        <v>0.02</v>
      </c>
    </row>
    <row r="118">
      <c r="A118" s="16" t="n">
        <v>114</v>
      </c>
      <c r="B118" s="16" t="inlineStr">
        <is>
          <t>Backend</t>
        </is>
      </c>
      <c r="C118" s="17" t="inlineStr">
        <is>
          <t>starter-idempotency</t>
        </is>
      </c>
      <c r="D118" s="16" t="inlineStr">
        <is>
          <t>Unit</t>
        </is>
      </c>
      <c r="E118" s="17" t="inlineStr">
        <is>
          <t>IdempotencyCleanupJobTest</t>
        </is>
      </c>
      <c r="F118" s="17" t="inlineStr"/>
      <c r="G118" s="17" t="inlineStr">
        <is>
          <t>Không có gì cũ: một câu lệnh duy nhất, trả 0</t>
        </is>
      </c>
      <c r="H118" s="17" t="inlineStr">
        <is>
          <t>khong_co_gi</t>
        </is>
      </c>
      <c r="I118" s="16" t="inlineStr">
        <is>
          <t>Đạt</t>
        </is>
      </c>
      <c r="J118" s="16" t="n">
        <v>0.005</v>
      </c>
    </row>
    <row r="119">
      <c r="A119" s="16" t="n">
        <v>115</v>
      </c>
      <c r="B119" s="16" t="inlineStr">
        <is>
          <t>Backend</t>
        </is>
      </c>
      <c r="C119" s="17" t="inlineStr">
        <is>
          <t>starter-idempotency</t>
        </is>
      </c>
      <c r="D119" s="16" t="inlineStr">
        <is>
          <t>Unit</t>
        </is>
      </c>
      <c r="E119" s="17" t="inlineStr">
        <is>
          <t>IdempotencyStoreTest</t>
        </is>
      </c>
      <c r="F119" s="17" t="inlineStr"/>
      <c r="G119" s="17" t="inlineStr">
        <is>
          <t>ProcessedEvents.markIfNew: true lần đầu, false khi trùng (0 dòng được chèn)</t>
        </is>
      </c>
      <c r="H119" s="17" t="inlineStr">
        <is>
          <t>mark_if_new</t>
        </is>
      </c>
      <c r="I119" s="16" t="inlineStr">
        <is>
          <t>Đạt</t>
        </is>
      </c>
      <c r="J119" s="16" t="n">
        <v>0.06900000000000001</v>
      </c>
    </row>
    <row r="120">
      <c r="A120" s="16" t="n">
        <v>116</v>
      </c>
      <c r="B120" s="16" t="inlineStr">
        <is>
          <t>Backend</t>
        </is>
      </c>
      <c r="C120" s="17" t="inlineStr">
        <is>
          <t>starter-idempotency</t>
        </is>
      </c>
      <c r="D120" s="16" t="inlineStr">
        <is>
          <t>Unit</t>
        </is>
      </c>
      <c r="E120" s="17" t="inlineStr">
        <is>
          <t>IdempotencyStoreTest</t>
        </is>
      </c>
      <c r="F120" s="17" t="inlineStr"/>
      <c r="G120" s="17" t="inlineStr">
        <is>
          <t>release: chỉ xoá bản ghi CHƯA hoàn tất — không xoá câu trả lời đã lưu</t>
        </is>
      </c>
      <c r="H120" s="17" t="inlineStr">
        <is>
          <t>release_chi_xoa_ban_chua_xong</t>
        </is>
      </c>
      <c r="I120" s="16" t="inlineStr">
        <is>
          <t>Đạt</t>
        </is>
      </c>
      <c r="J120" s="16" t="n">
        <v>0.003</v>
      </c>
    </row>
    <row r="121">
      <c r="A121" s="16" t="n">
        <v>117</v>
      </c>
      <c r="B121" s="16" t="inlineStr">
        <is>
          <t>Backend</t>
        </is>
      </c>
      <c r="C121" s="17" t="inlineStr">
        <is>
          <t>starter-idempotency</t>
        </is>
      </c>
      <c r="D121" s="16" t="inlineStr">
        <is>
          <t>Unit</t>
        </is>
      </c>
      <c r="E121" s="17" t="inlineStr">
        <is>
          <t>IdempotencyStoreTest</t>
        </is>
      </c>
      <c r="F121" s="17" t="inlineStr"/>
      <c r="G121" s="17" t="inlineStr">
        <is>
          <t>complete: ghi status, body JSON và thời điểm xong</t>
        </is>
      </c>
      <c r="H121" s="17" t="inlineStr">
        <is>
          <t>complete_ghi_ket_qua</t>
        </is>
      </c>
      <c r="I121" s="16" t="inlineStr">
        <is>
          <t>Đạt</t>
        </is>
      </c>
      <c r="J121" s="16" t="n">
        <v>0.006</v>
      </c>
    </row>
    <row r="122">
      <c r="A122" s="16" t="n">
        <v>118</v>
      </c>
      <c r="B122" s="16" t="inlineStr">
        <is>
          <t>Backend</t>
        </is>
      </c>
      <c r="C122" s="17" t="inlineStr">
        <is>
          <t>starter-idempotency</t>
        </is>
      </c>
      <c r="D122" s="16" t="inlineStr">
        <is>
          <t>Unit</t>
        </is>
      </c>
      <c r="E122" s="17" t="inlineStr">
        <is>
          <t>IdempotencyStoreTest</t>
        </is>
      </c>
      <c r="F122" s="17" t="inlineStr"/>
      <c r="G122" s="17" t="inlineStr">
        <is>
          <t>find: dùng IS NOT DISTINCT FROM để khoá của người chưa đăng nhập (user null) vẫn khớp</t>
        </is>
      </c>
      <c r="H122" s="17" t="inlineStr">
        <is>
          <t>find_user_null</t>
        </is>
      </c>
      <c r="I122" s="16" t="inlineStr">
        <is>
          <t>Đạt</t>
        </is>
      </c>
      <c r="J122" s="16" t="n">
        <v>0.021</v>
      </c>
    </row>
    <row r="123">
      <c r="A123" s="16" t="n">
        <v>119</v>
      </c>
      <c r="B123" s="16" t="inlineStr">
        <is>
          <t>Backend</t>
        </is>
      </c>
      <c r="C123" s="17" t="inlineStr">
        <is>
          <t>starter-idempotency</t>
        </is>
      </c>
      <c r="D123" s="16" t="inlineStr">
        <is>
          <t>Unit</t>
        </is>
      </c>
      <c r="E123" s="17" t="inlineStr">
        <is>
          <t>IdempotencyStoreTest</t>
        </is>
      </c>
      <c r="F123" s="17" t="inlineStr"/>
      <c r="G123" s="17" t="inlineStr">
        <is>
          <t>Existing.isComplete: có status thì xong, chưa có thì đang chạy</t>
        </is>
      </c>
      <c r="H123" s="17" t="inlineStr">
        <is>
          <t>existing_is_complete</t>
        </is>
      </c>
      <c r="I123" s="16" t="inlineStr">
        <is>
          <t>Đạt</t>
        </is>
      </c>
      <c r="J123" s="16" t="n">
        <v>0.002</v>
      </c>
    </row>
    <row r="124">
      <c r="A124" s="16" t="n">
        <v>120</v>
      </c>
      <c r="B124" s="16" t="inlineStr">
        <is>
          <t>Backend</t>
        </is>
      </c>
      <c r="C124" s="17" t="inlineStr">
        <is>
          <t>starter-idempotency</t>
        </is>
      </c>
      <c r="D124" s="16" t="inlineStr">
        <is>
          <t>Unit</t>
        </is>
      </c>
      <c r="E124" s="17" t="inlineStr">
        <is>
          <t>IdempotencyStoreTest</t>
        </is>
      </c>
      <c r="F124" s="17" t="inlineStr"/>
      <c r="G124" s="17" t="inlineStr">
        <is>
          <t>find: không có bản ghi thì rỗng, không ném</t>
        </is>
      </c>
      <c r="H124" s="17" t="inlineStr">
        <is>
          <t>find_khong_co</t>
        </is>
      </c>
      <c r="I124" s="16" t="inlineStr">
        <is>
          <t>Đạt</t>
        </is>
      </c>
      <c r="J124" s="16" t="n">
        <v>0.023</v>
      </c>
    </row>
    <row r="125">
      <c r="A125" s="16" t="n">
        <v>121</v>
      </c>
      <c r="B125" s="16" t="inlineStr">
        <is>
          <t>Backend</t>
        </is>
      </c>
      <c r="C125" s="17" t="inlineStr">
        <is>
          <t>starter-idempotency</t>
        </is>
      </c>
      <c r="D125" s="16" t="inlineStr">
        <is>
          <t>Unit</t>
        </is>
      </c>
      <c r="E125" s="17" t="inlineStr">
        <is>
          <t>IdempotencyStoreTest</t>
        </is>
      </c>
      <c r="F125" s="17" t="inlineStr"/>
      <c r="G125" s="17" t="inlineStr">
        <is>
          <t>tryBegin: INSERT ... ON CONFLICT DO NOTHING; 1 dòng = giành được, 0 = đã có</t>
        </is>
      </c>
      <c r="H125" s="17" t="inlineStr">
        <is>
          <t>try_begin_theo_so_dong</t>
        </is>
      </c>
      <c r="I125" s="16" t="inlineStr">
        <is>
          <t>Đạt</t>
        </is>
      </c>
      <c r="J125" s="16" t="n">
        <v>0.008</v>
      </c>
    </row>
    <row r="126">
      <c r="A126" s="16" t="n">
        <v>122</v>
      </c>
      <c r="B126" s="16" t="inlineStr">
        <is>
          <t>Backend</t>
        </is>
      </c>
      <c r="C126" s="17" t="inlineStr">
        <is>
          <t>starter-idempotency</t>
        </is>
      </c>
      <c r="D126" s="16" t="inlineStr">
        <is>
          <t>Unit</t>
        </is>
      </c>
      <c r="E126" s="17" t="inlineStr">
        <is>
          <t>IdempotencyFilterTest</t>
        </is>
      </c>
      <c r="F126" s="17" t="inlineStr"/>
      <c r="G126" s="17" t="inlineStr">
        <is>
          <t>Khoá có phạm vi theo người dùng: cùng chuỗi khoá của hai người là hai bản ghi</t>
        </is>
      </c>
      <c r="H126" s="17" t="inlineStr">
        <is>
          <t>pham_vi_nguoi_dung</t>
        </is>
      </c>
      <c r="I126" s="16" t="inlineStr">
        <is>
          <t>Đạt</t>
        </is>
      </c>
      <c r="J126" s="16" t="n">
        <v>1.885</v>
      </c>
    </row>
    <row r="127">
      <c r="A127" s="16" t="n">
        <v>123</v>
      </c>
      <c r="B127" s="16" t="inlineStr">
        <is>
          <t>Backend</t>
        </is>
      </c>
      <c r="C127" s="17" t="inlineStr">
        <is>
          <t>starter-idempotency</t>
        </is>
      </c>
      <c r="D127" s="16" t="inlineStr">
        <is>
          <t>Unit</t>
        </is>
      </c>
      <c r="E127" s="17" t="inlineStr">
        <is>
          <t>IdempotencyFilterTest › GuiLai</t>
        </is>
      </c>
      <c r="F127" s="17" t="inlineStr">
        <is>
          <t>Gửi lại</t>
        </is>
      </c>
      <c r="G127" s="17" t="inlineStr">
        <is>
          <t>Cùng khoá, cùng nội dung, đã hoàn tất: phát lại đúng câu trả lời, handler KHÔNG chạy</t>
        </is>
      </c>
      <c r="H127" s="17" t="inlineStr">
        <is>
          <t>phat_lai</t>
        </is>
      </c>
      <c r="I127" s="16" t="inlineStr">
        <is>
          <t>Đạt</t>
        </is>
      </c>
      <c r="J127" s="16" t="n">
        <v>0.391</v>
      </c>
    </row>
    <row r="128">
      <c r="A128" s="16" t="n">
        <v>124</v>
      </c>
      <c r="B128" s="16" t="inlineStr">
        <is>
          <t>Backend</t>
        </is>
      </c>
      <c r="C128" s="17" t="inlineStr">
        <is>
          <t>starter-idempotency</t>
        </is>
      </c>
      <c r="D128" s="16" t="inlineStr">
        <is>
          <t>Unit</t>
        </is>
      </c>
      <c r="E128" s="17" t="inlineStr">
        <is>
          <t>IdempotencyFilterTest › GuiLai</t>
        </is>
      </c>
      <c r="F128" s="17" t="inlineStr">
        <is>
          <t>Gửi lại</t>
        </is>
      </c>
      <c r="G128" s="17" t="inlineStr">
        <is>
          <t>Request đầu còn đang chạy: 409 REQUEST_IN_PROGRESS, không chạy song song</t>
        </is>
      </c>
      <c r="H128" s="17" t="inlineStr">
        <is>
          <t>dang_chay</t>
        </is>
      </c>
      <c r="I128" s="16" t="inlineStr">
        <is>
          <t>Đạt</t>
        </is>
      </c>
      <c r="J128" s="16" t="n">
        <v>0.314</v>
      </c>
    </row>
    <row r="129">
      <c r="A129" s="16" t="n">
        <v>125</v>
      </c>
      <c r="B129" s="16" t="inlineStr">
        <is>
          <t>Backend</t>
        </is>
      </c>
      <c r="C129" s="17" t="inlineStr">
        <is>
          <t>starter-idempotency</t>
        </is>
      </c>
      <c r="D129" s="16" t="inlineStr">
        <is>
          <t>Unit</t>
        </is>
      </c>
      <c r="E129" s="17" t="inlineStr">
        <is>
          <t>IdempotencyFilterTest › GuiLai</t>
        </is>
      </c>
      <c r="F129" s="17" t="inlineStr">
        <is>
          <t>Gửi lại</t>
        </is>
      </c>
      <c r="G129" s="17" t="inlineStr">
        <is>
          <t>Bản ghi dở của tiến trình đã chết (quá hạn): được nhận lại và handler chạy</t>
        </is>
      </c>
      <c r="H129" s="17" t="inlineStr">
        <is>
          <t>nhan_lai_ban_ghi_cu</t>
        </is>
      </c>
      <c r="I129" s="16" t="inlineStr">
        <is>
          <t>Đạt</t>
        </is>
      </c>
      <c r="J129" s="16" t="n">
        <v>0.045</v>
      </c>
    </row>
    <row r="130">
      <c r="A130" s="16" t="n">
        <v>126</v>
      </c>
      <c r="B130" s="16" t="inlineStr">
        <is>
          <t>Backend</t>
        </is>
      </c>
      <c r="C130" s="17" t="inlineStr">
        <is>
          <t>starter-idempotency</t>
        </is>
      </c>
      <c r="D130" s="16" t="inlineStr">
        <is>
          <t>Unit</t>
        </is>
      </c>
      <c r="E130" s="17" t="inlineStr">
        <is>
          <t>IdempotencyFilterTest › GuiLai</t>
        </is>
      </c>
      <c r="F130" s="17" t="inlineStr">
        <is>
          <t>Gửi lại</t>
        </is>
      </c>
      <c r="G130" s="17" t="inlineStr">
        <is>
          <t>Cùng khoá, nội dung KHÁC: 409 IDEMPOTENCY_KEY_REUSED</t>
        </is>
      </c>
      <c r="H130" s="17" t="inlineStr">
        <is>
          <t>khoa_dung_lai</t>
        </is>
      </c>
      <c r="I130" s="16" t="inlineStr">
        <is>
          <t>Đạt</t>
        </is>
      </c>
      <c r="J130" s="16" t="n">
        <v>0.038</v>
      </c>
    </row>
    <row r="131">
      <c r="A131" s="16" t="n">
        <v>127</v>
      </c>
      <c r="B131" s="16" t="inlineStr">
        <is>
          <t>Backend</t>
        </is>
      </c>
      <c r="C131" s="17" t="inlineStr">
        <is>
          <t>starter-idempotency</t>
        </is>
      </c>
      <c r="D131" s="16" t="inlineStr">
        <is>
          <t>Unit</t>
        </is>
      </c>
      <c r="E131" s="17" t="inlineStr">
        <is>
          <t>IdempotencyFilterTest › KhoaBatBuoc</t>
        </is>
      </c>
      <c r="F131" s="17" t="inlineStr">
        <is>
          <t>Khoá bắt buộc</t>
        </is>
      </c>
      <c r="G131" s="17" t="inlineStr">
        <is>
          <t>Route không khai, hoặc không phải POST: bộ lọc đứng ngoài</t>
        </is>
      </c>
      <c r="H131" s="17" t="inlineStr">
        <is>
          <t>ngoai_pham_vi</t>
        </is>
      </c>
      <c r="I131" s="16" t="inlineStr">
        <is>
          <t>Đạt</t>
        </is>
      </c>
      <c r="J131" s="16" t="n">
        <v>0.062</v>
      </c>
    </row>
    <row r="132">
      <c r="A132" s="16" t="n">
        <v>128</v>
      </c>
      <c r="B132" s="16" t="inlineStr">
        <is>
          <t>Backend</t>
        </is>
      </c>
      <c r="C132" s="17" t="inlineStr">
        <is>
          <t>starter-idempotency</t>
        </is>
      </c>
      <c r="D132" s="16" t="inlineStr">
        <is>
          <t>Unit</t>
        </is>
      </c>
      <c r="E132" s="17" t="inlineStr">
        <is>
          <t>IdempotencyFilterTest › KhoaBatBuoc</t>
        </is>
      </c>
      <c r="F132" s="17" t="inlineStr">
        <is>
          <t>Khoá bắt buộc</t>
        </is>
      </c>
      <c r="G132" s="17" t="inlineStr">
        <is>
          <t>Khoá rỗng, có khoảng trắng, có xuống dòng hoặc dài quá 255: 400</t>
        </is>
      </c>
      <c r="H132" s="17" t="inlineStr">
        <is>
          <t>khoa_sai_khuon</t>
        </is>
      </c>
      <c r="I132" s="16" t="inlineStr">
        <is>
          <t>Đạt</t>
        </is>
      </c>
      <c r="J132" s="16" t="n">
        <v>0.064</v>
      </c>
    </row>
    <row r="133">
      <c r="A133" s="16" t="n">
        <v>129</v>
      </c>
      <c r="B133" s="16" t="inlineStr">
        <is>
          <t>Backend</t>
        </is>
      </c>
      <c r="C133" s="17" t="inlineStr">
        <is>
          <t>starter-idempotency</t>
        </is>
      </c>
      <c r="D133" s="16" t="inlineStr">
        <is>
          <t>Unit</t>
        </is>
      </c>
      <c r="E133" s="17" t="inlineStr">
        <is>
          <t>IdempotencyFilterTest › KhoaBatBuoc</t>
        </is>
      </c>
      <c r="F133" s="17" t="inlineStr">
        <is>
          <t>Khoá bắt buộc</t>
        </is>
      </c>
      <c r="G133" s="17" t="inlineStr">
        <is>
          <t>Thiếu header: 400 IDEMPOTENCY_KEY_REQUIRED, handler và store không bị chạm</t>
        </is>
      </c>
      <c r="H133" s="17" t="inlineStr">
        <is>
          <t>thieu_header</t>
        </is>
      </c>
      <c r="I133" s="16" t="inlineStr">
        <is>
          <t>Đạt</t>
        </is>
      </c>
      <c r="J133" s="16" t="n">
        <v>0.028</v>
      </c>
    </row>
    <row r="134">
      <c r="A134" s="16" t="n">
        <v>130</v>
      </c>
      <c r="B134" s="16" t="inlineStr">
        <is>
          <t>Backend</t>
        </is>
      </c>
      <c r="C134" s="17" t="inlineStr">
        <is>
          <t>starter-idempotency</t>
        </is>
      </c>
      <c r="D134" s="16" t="inlineStr">
        <is>
          <t>Unit</t>
        </is>
      </c>
      <c r="E134" s="17" t="inlineStr">
        <is>
          <t>IdempotencyFilterTest › LanDau</t>
        </is>
      </c>
      <c r="F134" s="17" t="inlineStr">
        <is>
          <t>Lần đầu</t>
        </is>
      </c>
      <c r="G134" s="17" t="inlineStr">
        <is>
          <t>Thân vượt trần: 400, không giữ chỗ trong store</t>
        </is>
      </c>
      <c r="H134" s="17" t="inlineStr">
        <is>
          <t>than_qua_lon</t>
        </is>
      </c>
      <c r="I134" s="16" t="inlineStr">
        <is>
          <t>Đạt</t>
        </is>
      </c>
      <c r="J134" s="16" t="n">
        <v>0.034</v>
      </c>
    </row>
    <row r="135">
      <c r="A135" s="16" t="n">
        <v>131</v>
      </c>
      <c r="B135" s="16" t="inlineStr">
        <is>
          <t>Backend</t>
        </is>
      </c>
      <c r="C135" s="17" t="inlineStr">
        <is>
          <t>starter-idempotency</t>
        </is>
      </c>
      <c r="D135" s="16" t="inlineStr">
        <is>
          <t>Unit</t>
        </is>
      </c>
      <c r="E135" s="17" t="inlineStr">
        <is>
          <t>IdempotencyFilterTest › LanDau</t>
        </is>
      </c>
      <c r="F135" s="17" t="inlineStr">
        <is>
          <t>Lần đầu</t>
        </is>
      </c>
      <c r="G135" s="17" t="inlineStr">
        <is>
          <t>Handler lỗi (409): không lưu, bỏ chỗ đã giữ để client thử lại được ngay</t>
        </is>
      </c>
      <c r="H135" s="17" t="inlineStr">
        <is>
          <t>loi_thi_nha_cho</t>
        </is>
      </c>
      <c r="I135" s="16" t="inlineStr">
        <is>
          <t>Đạt</t>
        </is>
      </c>
      <c r="J135" s="16" t="n">
        <v>0.113</v>
      </c>
    </row>
    <row r="136">
      <c r="A136" s="16" t="n">
        <v>132</v>
      </c>
      <c r="B136" s="16" t="inlineStr">
        <is>
          <t>Backend</t>
        </is>
      </c>
      <c r="C136" s="17" t="inlineStr">
        <is>
          <t>starter-idempotency</t>
        </is>
      </c>
      <c r="D136" s="16" t="inlineStr">
        <is>
          <t>Unit</t>
        </is>
      </c>
      <c r="E136" s="17" t="inlineStr">
        <is>
          <t>IdempotencyFilterTest › LanDau</t>
        </is>
      </c>
      <c r="F136" s="17" t="inlineStr">
        <is>
          <t>Lần đầu</t>
        </is>
      </c>
      <c r="G136" s="17" t="inlineStr">
        <is>
          <t>Handler thấy nguyên thân request dù bộ lọc đã đọc nó để băm</t>
        </is>
      </c>
      <c r="H136" s="17" t="inlineStr">
        <is>
          <t>than_con_nguyen</t>
        </is>
      </c>
      <c r="I136" s="16" t="inlineStr">
        <is>
          <t>Đạt</t>
        </is>
      </c>
      <c r="J136" s="16" t="n">
        <v>0.036</v>
      </c>
    </row>
    <row r="137">
      <c r="A137" s="16" t="n">
        <v>133</v>
      </c>
      <c r="B137" s="16" t="inlineStr">
        <is>
          <t>Backend</t>
        </is>
      </c>
      <c r="C137" s="17" t="inlineStr">
        <is>
          <t>starter-idempotency</t>
        </is>
      </c>
      <c r="D137" s="16" t="inlineStr">
        <is>
          <t>Unit</t>
        </is>
      </c>
      <c r="E137" s="17" t="inlineStr">
        <is>
          <t>IdempotencyFilterTest › LanDau</t>
        </is>
      </c>
      <c r="F137" s="17" t="inlineStr">
        <is>
          <t>Lần đầu</t>
        </is>
      </c>
      <c r="G137" s="17" t="inlineStr">
        <is>
          <t>Chạy handler một lần, lưu câu trả lời thành công theo (người dùng, khoá)</t>
        </is>
      </c>
      <c r="H137" s="17" t="inlineStr">
        <is>
          <t>luu_cau_tra_loi</t>
        </is>
      </c>
      <c r="I137" s="16" t="inlineStr">
        <is>
          <t>Đạt</t>
        </is>
      </c>
      <c r="J137" s="16" t="n">
        <v>0.067</v>
      </c>
    </row>
    <row r="138">
      <c r="A138" s="16" t="n">
        <v>134</v>
      </c>
      <c r="B138" s="16" t="inlineStr">
        <is>
          <t>Backend</t>
        </is>
      </c>
      <c r="C138" s="17" t="inlineStr">
        <is>
          <t>starter-outbox</t>
        </is>
      </c>
      <c r="D138" s="16" t="inlineStr">
        <is>
          <t>Unit</t>
        </is>
      </c>
      <c r="E138" s="17" t="inlineStr">
        <is>
          <t>OutboxPublisherTest</t>
        </is>
      </c>
      <c r="F138" s="17" t="inlineStr"/>
      <c r="G138" s="17" t="inlineStr">
        <is>
          <t>broker từ chối (nack) một message: dòng đó KHÔNG được đánh dấu, các dòng khác vẫn được</t>
        </is>
      </c>
      <c r="H138" s="17" t="inlineStr">
        <is>
          <t>nack_khong_danh_dau</t>
        </is>
      </c>
      <c r="I138" s="16" t="inlineStr">
        <is>
          <t>Đạt</t>
        </is>
      </c>
      <c r="J138" s="16" t="n">
        <v>0.884</v>
      </c>
    </row>
    <row r="139">
      <c r="A139" s="16" t="n">
        <v>135</v>
      </c>
      <c r="B139" s="16" t="inlineStr">
        <is>
          <t>Backend</t>
        </is>
      </c>
      <c r="C139" s="17" t="inlineStr">
        <is>
          <t>starter-outbox</t>
        </is>
      </c>
      <c r="D139" s="16" t="inlineStr">
        <is>
          <t>Unit</t>
        </is>
      </c>
      <c r="E139" s="17" t="inlineStr">
        <is>
          <t>OutboxPublisherTest</t>
        </is>
      </c>
      <c r="F139" s="17" t="inlineStr"/>
      <c r="G139" s="17" t="inlineStr">
        <is>
          <t>không có dòng nào chờ gửi: không đụng tới broker</t>
        </is>
      </c>
      <c r="H139" s="17" t="inlineStr">
        <is>
          <t>khong_co_dong_nao</t>
        </is>
      </c>
      <c r="I139" s="16" t="inlineStr">
        <is>
          <t>Đạt</t>
        </is>
      </c>
      <c r="J139" s="16" t="n">
        <v>0.005</v>
      </c>
    </row>
    <row r="140">
      <c r="A140" s="16" t="n">
        <v>136</v>
      </c>
      <c r="B140" s="16" t="inlineStr">
        <is>
          <t>Backend</t>
        </is>
      </c>
      <c r="C140" s="17" t="inlineStr">
        <is>
          <t>starter-outbox</t>
        </is>
      </c>
      <c r="D140" s="16" t="inlineStr">
        <is>
          <t>Unit</t>
        </is>
      </c>
      <c r="E140" s="17" t="inlineStr">
        <is>
          <t>OutboxPublisherTest</t>
        </is>
      </c>
      <c r="F140" s="17" t="inlineStr"/>
      <c r="G140" s="17" t="inlineStr">
        <is>
          <t>payload tiếng Việt đi lên dây dưới dạng UTF-8</t>
        </is>
      </c>
      <c r="H140" s="17" t="inlineStr">
        <is>
          <t>payload_tieng_viet_la_utf8</t>
        </is>
      </c>
      <c r="I140" s="16" t="inlineStr">
        <is>
          <t>Đạt</t>
        </is>
      </c>
      <c r="J140" s="16" t="n">
        <v>0.016</v>
      </c>
    </row>
    <row r="141">
      <c r="A141" s="16" t="n">
        <v>137</v>
      </c>
      <c r="B141" s="16" t="inlineStr">
        <is>
          <t>Backend</t>
        </is>
      </c>
      <c r="C141" s="17" t="inlineStr">
        <is>
          <t>starter-outbox</t>
        </is>
      </c>
      <c r="D141" s="16" t="inlineStr">
        <is>
          <t>Unit</t>
        </is>
      </c>
      <c r="E141" s="17" t="inlineStr">
        <is>
          <t>OutboxPublisherTest</t>
        </is>
      </c>
      <c r="F141" s="17" t="inlineStr"/>
      <c r="G141" s="17" t="inlineStr">
        <is>
          <t>message mang đủ header: messageId = id dòng outbox, eventType, version, aggregate, correlationId</t>
        </is>
      </c>
      <c r="H141" s="17" t="inlineStr">
        <is>
          <t>message_mang_du_header</t>
        </is>
      </c>
      <c r="I141" s="16" t="inlineStr">
        <is>
          <t>Đạt</t>
        </is>
      </c>
      <c r="J141" s="16" t="n">
        <v>0.021</v>
      </c>
    </row>
    <row r="142">
      <c r="A142" s="16" t="n">
        <v>138</v>
      </c>
      <c r="B142" s="16" t="inlineStr">
        <is>
          <t>Backend</t>
        </is>
      </c>
      <c r="C142" s="17" t="inlineStr">
        <is>
          <t>starter-outbox</t>
        </is>
      </c>
      <c r="D142" s="16" t="inlineStr">
        <is>
          <t>Unit</t>
        </is>
      </c>
      <c r="E142" s="17" t="inlineStr">
        <is>
          <t>OutboxPublisherTest</t>
        </is>
      </c>
      <c r="F142" s="17" t="inlineStr"/>
      <c r="G142" s="17" t="inlineStr">
        <is>
          <t>kênh lỗi trước khi xác nhận: không đánh dấu — vòng sau gửi lại, không đoán 'chắc tới rồi'</t>
        </is>
      </c>
      <c r="H142" s="17" t="inlineStr">
        <is>
          <t>loi_kenh_khong_danh_dau</t>
        </is>
      </c>
      <c r="I142" s="16" t="inlineStr">
        <is>
          <t>Đạt</t>
        </is>
      </c>
      <c r="J142" s="16" t="n">
        <v>0.014</v>
      </c>
    </row>
    <row r="143">
      <c r="A143" s="16" t="n">
        <v>139</v>
      </c>
      <c r="B143" s="16" t="inlineStr">
        <is>
          <t>Backend</t>
        </is>
      </c>
      <c r="C143" s="17" t="inlineStr">
        <is>
          <t>starter-outbox</t>
        </is>
      </c>
      <c r="D143" s="16" t="inlineStr">
        <is>
          <t>Unit</t>
        </is>
      </c>
      <c r="E143" s="17" t="inlineStr">
        <is>
          <t>OutboxPublisherTest</t>
        </is>
      </c>
      <c r="F143" s="17" t="inlineStr"/>
      <c r="G143" s="17" t="inlineStr">
        <is>
          <t>broker xác nhận cả lô: mọi dòng được đánh dấu đã gửi, theo đúng thứ tự seq</t>
        </is>
      </c>
      <c r="H143" s="17" t="inlineStr">
        <is>
          <t>xac_nhan_ca_lo</t>
        </is>
      </c>
      <c r="I143" s="16" t="inlineStr">
        <is>
          <t>Đạt</t>
        </is>
      </c>
      <c r="J143" s="16" t="n">
        <v>0.013</v>
      </c>
    </row>
    <row r="144">
      <c r="A144" s="16" t="n">
        <v>140</v>
      </c>
      <c r="B144" s="16" t="inlineStr">
        <is>
          <t>Backend</t>
        </is>
      </c>
      <c r="C144" s="17" t="inlineStr">
        <is>
          <t>starter-outbox</t>
        </is>
      </c>
      <c r="D144" s="16" t="inlineStr">
        <is>
          <t>Unit</t>
        </is>
      </c>
      <c r="E144" s="17" t="inlineStr">
        <is>
          <t>OutboxWriterTest</t>
        </is>
      </c>
      <c r="F144" s="17" t="inlineStr"/>
      <c r="G144" s="17" t="inlineStr">
        <is>
          <t>mỗi lần ghi một id mới — hai event của cùng aggregate không đè nhau</t>
        </is>
      </c>
      <c r="H144" s="17" t="inlineStr">
        <is>
          <t>moi_lan_ghi_mot_id_moi</t>
        </is>
      </c>
      <c r="I144" s="16" t="inlineStr">
        <is>
          <t>Đạt</t>
        </is>
      </c>
      <c r="J144" s="16" t="n">
        <v>0.151</v>
      </c>
    </row>
    <row r="145">
      <c r="A145" s="16" t="n">
        <v>141</v>
      </c>
      <c r="B145" s="16" t="inlineStr">
        <is>
          <t>Backend</t>
        </is>
      </c>
      <c r="C145" s="17" t="inlineStr">
        <is>
          <t>starter-outbox</t>
        </is>
      </c>
      <c r="D145" s="16" t="inlineStr">
        <is>
          <t>Unit</t>
        </is>
      </c>
      <c r="E145" s="17" t="inlineStr">
        <is>
          <t>OutboxWriterTest</t>
        </is>
      </c>
      <c r="F145" s="17" t="inlineStr"/>
      <c r="G145" s="17" t="inlineStr">
        <is>
          <t>trong transaction: INSERT đủ cột, payload là JSON, correlationId lấy từ ngữ cảnh</t>
        </is>
      </c>
      <c r="H145" s="17" t="inlineStr">
        <is>
          <t>trong_transaction_ghi_du_cot</t>
        </is>
      </c>
      <c r="I145" s="16" t="inlineStr">
        <is>
          <t>Đạt</t>
        </is>
      </c>
      <c r="J145" s="16" t="n">
        <v>0.091</v>
      </c>
    </row>
    <row r="146">
      <c r="A146" s="16" t="n">
        <v>142</v>
      </c>
      <c r="B146" s="16" t="inlineStr">
        <is>
          <t>Backend</t>
        </is>
      </c>
      <c r="C146" s="17" t="inlineStr">
        <is>
          <t>starter-outbox</t>
        </is>
      </c>
      <c r="D146" s="16" t="inlineStr">
        <is>
          <t>Unit</t>
        </is>
      </c>
      <c r="E146" s="17" t="inlineStr">
        <is>
          <t>OutboxWriterTest</t>
        </is>
      </c>
      <c r="F146" s="17" t="inlineStr"/>
      <c r="G146" s="17" t="inlineStr">
        <is>
          <t>payload không serialize được: IllegalArgumentException nêu event type, không ghi gì</t>
        </is>
      </c>
      <c r="H146" s="17" t="inlineStr">
        <is>
          <t>payload_khong_serialize_duoc</t>
        </is>
      </c>
      <c r="I146" s="16" t="inlineStr">
        <is>
          <t>Đạt</t>
        </is>
      </c>
      <c r="J146" s="16" t="n">
        <v>0.017</v>
      </c>
    </row>
    <row r="147">
      <c r="A147" s="16" t="n">
        <v>143</v>
      </c>
      <c r="B147" s="16" t="inlineStr">
        <is>
          <t>Backend</t>
        </is>
      </c>
      <c r="C147" s="17" t="inlineStr">
        <is>
          <t>starter-outbox</t>
        </is>
      </c>
      <c r="D147" s="16" t="inlineStr">
        <is>
          <t>Unit</t>
        </is>
      </c>
      <c r="E147" s="17" t="inlineStr">
        <is>
          <t>OutboxWriterTest</t>
        </is>
      </c>
      <c r="F147" s="17" t="inlineStr"/>
      <c r="G147" s="17" t="inlineStr">
        <is>
          <t>ngoài transaction: từ chối và không ghi gì</t>
        </is>
      </c>
      <c r="H147" s="17" t="inlineStr">
        <is>
          <t>ngoai_transaction_tu_choi</t>
        </is>
      </c>
      <c r="I147" s="16" t="inlineStr">
        <is>
          <t>Đạt</t>
        </is>
      </c>
      <c r="J147" s="16" t="n">
        <v>0.006</v>
      </c>
    </row>
    <row r="148">
      <c r="A148" s="16" t="n">
        <v>144</v>
      </c>
      <c r="B148" s="16" t="inlineStr">
        <is>
          <t>Backend</t>
        </is>
      </c>
      <c r="C148" s="17" t="inlineStr">
        <is>
          <t>starter-security</t>
        </is>
      </c>
      <c r="D148" s="16" t="inlineStr">
        <is>
          <t>Unit</t>
        </is>
      </c>
      <c r="E148" s="17" t="inlineStr">
        <is>
          <t>SecurityAnnotationsTest</t>
        </is>
      </c>
      <c r="F148" s="17" t="inlineStr"/>
      <c r="G148" s="17" t="inlineStr">
        <is>
          <t>@PublicEndpoint giữ tới runtime, đặt được trên lớp và method, đọc được lý do</t>
        </is>
      </c>
      <c r="H148" s="17" t="inlineStr">
        <is>
          <t>public_endpoint_doc_duoc_luc_chay</t>
        </is>
      </c>
      <c r="I148" s="16" t="inlineStr">
        <is>
          <t>Đạt</t>
        </is>
      </c>
      <c r="J148" s="16" t="n">
        <v>0.177</v>
      </c>
    </row>
    <row r="149">
      <c r="A149" s="16" t="n">
        <v>145</v>
      </c>
      <c r="B149" s="16" t="inlineStr">
        <is>
          <t>Backend</t>
        </is>
      </c>
      <c r="C149" s="17" t="inlineStr">
        <is>
          <t>starter-security</t>
        </is>
      </c>
      <c r="D149" s="16" t="inlineStr">
        <is>
          <t>Unit</t>
        </is>
      </c>
      <c r="E149" s="17" t="inlineStr">
        <is>
          <t>SecurityAnnotationsTest</t>
        </is>
      </c>
      <c r="F149" s="17" t="inlineStr"/>
      <c r="G149" s="17" t="inlineStr">
        <is>
          <t>@CrossTenantQuery chỉ đặt được trên method — ngoại lệ hẹp, không phủ cả lớp</t>
        </is>
      </c>
      <c r="H149" s="17" t="inlineStr">
        <is>
          <t>cross_tenant_query_chi_tren_method</t>
        </is>
      </c>
      <c r="I149" s="16" t="inlineStr">
        <is>
          <t>Đạt</t>
        </is>
      </c>
      <c r="J149" s="16" t="n">
        <v>0.014</v>
      </c>
    </row>
    <row r="150">
      <c r="A150" s="16" t="n">
        <v>146</v>
      </c>
      <c r="B150" s="16" t="inlineStr">
        <is>
          <t>Backend</t>
        </is>
      </c>
      <c r="C150" s="17" t="inlineStr">
        <is>
          <t>starter-security</t>
        </is>
      </c>
      <c r="D150" s="16" t="inlineStr">
        <is>
          <t>Unit</t>
        </is>
      </c>
      <c r="E150" s="17" t="inlineStr">
        <is>
          <t>SecurityAnnotationsTest</t>
        </is>
      </c>
      <c r="F150" s="17" t="inlineStr"/>
      <c r="G150" s="17" t="inlineStr">
        <is>
          <t>reason là bắt buộc: không có giá trị mặc định ở cả hai annotation</t>
        </is>
      </c>
      <c r="H150" s="17" t="inlineStr">
        <is>
          <t>reason_bat_buoc</t>
        </is>
      </c>
      <c r="I150" s="16" t="inlineStr">
        <is>
          <t>Đạt</t>
        </is>
      </c>
      <c r="J150" s="16" t="n">
        <v>0.008</v>
      </c>
    </row>
    <row r="151">
      <c r="A151" s="16" t="n">
        <v>147</v>
      </c>
      <c r="B151" s="16" t="inlineStr">
        <is>
          <t>Backend</t>
        </is>
      </c>
      <c r="C151" s="17" t="inlineStr">
        <is>
          <t>starter-security</t>
        </is>
      </c>
      <c r="D151" s="16" t="inlineStr">
        <is>
          <t>Unit</t>
        </is>
      </c>
      <c r="E151" s="17" t="inlineStr">
        <is>
          <t>IdentityServicePropertiesTest</t>
        </is>
      </c>
      <c r="F151" s="17" t="inlineStr"/>
      <c r="G151" s="17" t="inlineStr">
        <is>
          <t>TTL quá 5 phút: từ chối khởi động — nhân viên bị cho nghỉ không được thao tác cả buổi</t>
        </is>
      </c>
      <c r="H151" s="17" t="inlineStr">
        <is>
          <t>ttl_qua_tran_bi_tu_choi</t>
        </is>
      </c>
      <c r="I151" s="16" t="inlineStr">
        <is>
          <t>Đạt</t>
        </is>
      </c>
      <c r="J151" s="16" t="n">
        <v>0.031</v>
      </c>
    </row>
    <row r="152">
      <c r="A152" s="16" t="n">
        <v>148</v>
      </c>
      <c r="B152" s="16" t="inlineStr">
        <is>
          <t>Backend</t>
        </is>
      </c>
      <c r="C152" s="17" t="inlineStr">
        <is>
          <t>starter-security</t>
        </is>
      </c>
      <c r="D152" s="16" t="inlineStr">
        <is>
          <t>Unit</t>
        </is>
      </c>
      <c r="E152" s="17" t="inlineStr">
        <is>
          <t>IdentityServicePropertiesTest</t>
        </is>
      </c>
      <c r="F152" s="17" t="inlineStr"/>
      <c r="G152" s="17" t="inlineStr">
        <is>
          <t>baseUrl trống hoặc khoảng trắng: dùng mặc định</t>
        </is>
      </c>
      <c r="H152" s="17" t="inlineStr">
        <is>
          <t>base_url_trong</t>
        </is>
      </c>
      <c r="I152" s="16" t="inlineStr">
        <is>
          <t>Đạt</t>
        </is>
      </c>
      <c r="J152" s="16" t="n">
        <v>0.003</v>
      </c>
    </row>
    <row r="153">
      <c r="A153" s="16" t="n">
        <v>149</v>
      </c>
      <c r="B153" s="16" t="inlineStr">
        <is>
          <t>Backend</t>
        </is>
      </c>
      <c r="C153" s="17" t="inlineStr">
        <is>
          <t>starter-security</t>
        </is>
      </c>
      <c r="D153" s="16" t="inlineStr">
        <is>
          <t>Unit</t>
        </is>
      </c>
      <c r="E153" s="17" t="inlineStr">
        <is>
          <t>IdentityServicePropertiesTest</t>
        </is>
      </c>
      <c r="F153" s="17" t="inlineStr"/>
      <c r="G153" s="17" t="inlineStr">
        <is>
          <t>TTL bằng 0 hoặc âm: về mặc định 60 giây</t>
        </is>
      </c>
      <c r="H153" s="17" t="inlineStr">
        <is>
          <t>ttl_khong_hop_le_ve_mac_dinh</t>
        </is>
      </c>
      <c r="I153" s="16" t="inlineStr">
        <is>
          <t>Đạt</t>
        </is>
      </c>
      <c r="J153" s="16" t="n">
        <v>0.003</v>
      </c>
    </row>
    <row r="154">
      <c r="A154" s="16" t="n">
        <v>150</v>
      </c>
      <c r="B154" s="16" t="inlineStr">
        <is>
          <t>Backend</t>
        </is>
      </c>
      <c r="C154" s="17" t="inlineStr">
        <is>
          <t>starter-security</t>
        </is>
      </c>
      <c r="D154" s="16" t="inlineStr">
        <is>
          <t>Unit</t>
        </is>
      </c>
      <c r="E154" s="17" t="inlineStr">
        <is>
          <t>IdentityServicePropertiesTest</t>
        </is>
      </c>
      <c r="F154" s="17" t="inlineStr"/>
      <c r="G154" s="17" t="inlineStr">
        <is>
          <t>TTL đúng 5 phút là trần còn chấp nhận</t>
        </is>
      </c>
      <c r="H154" s="17" t="inlineStr">
        <is>
          <t>ttl_dung_tran</t>
        </is>
      </c>
      <c r="I154" s="16" t="inlineStr">
        <is>
          <t>Đạt</t>
        </is>
      </c>
      <c r="J154" s="16" t="n">
        <v>0.005</v>
      </c>
    </row>
    <row r="155">
      <c r="A155" s="16" t="n">
        <v>151</v>
      </c>
      <c r="B155" s="16" t="inlineStr">
        <is>
          <t>Backend</t>
        </is>
      </c>
      <c r="C155" s="17" t="inlineStr">
        <is>
          <t>starter-security</t>
        </is>
      </c>
      <c r="D155" s="16" t="inlineStr">
        <is>
          <t>Unit</t>
        </is>
      </c>
      <c r="E155" s="17" t="inlineStr">
        <is>
          <t>IdentityServicePropertiesTest</t>
        </is>
      </c>
      <c r="F155" s="17" t="inlineStr"/>
      <c r="G155" s="17" t="inlineStr">
        <is>
          <t>không khai gì: địa chỉ dev và TTL 60 giây — không bao giờ để trống thành 401 câm</t>
        </is>
      </c>
      <c r="H155" s="17" t="inlineStr">
        <is>
          <t>mac_dinh</t>
        </is>
      </c>
      <c r="I155" s="16" t="inlineStr">
        <is>
          <t>Đạt</t>
        </is>
      </c>
      <c r="J155" s="16" t="n">
        <v>0.002</v>
      </c>
    </row>
    <row r="156">
      <c r="A156" s="16" t="n">
        <v>152</v>
      </c>
      <c r="B156" s="16" t="inlineStr">
        <is>
          <t>Backend</t>
        </is>
      </c>
      <c r="C156" s="17" t="inlineStr">
        <is>
          <t>starter-security</t>
        </is>
      </c>
      <c r="D156" s="16" t="inlineStr">
        <is>
          <t>Unit</t>
        </is>
      </c>
      <c r="E156" s="17" t="inlineStr">
        <is>
          <t>IdentityServicePropertiesTest</t>
        </is>
      </c>
      <c r="F156" s="17" t="inlineStr"/>
      <c r="G156" s="17" t="inlineStr">
        <is>
          <t>giá trị hợp lệ được giữ nguyên</t>
        </is>
      </c>
      <c r="H156" s="17" t="inlineStr">
        <is>
          <t>gia_tri_hop_le_giu_nguyen</t>
        </is>
      </c>
      <c r="I156" s="16" t="inlineStr">
        <is>
          <t>Đạt</t>
        </is>
      </c>
      <c r="J156" s="16" t="n">
        <v>0.003</v>
      </c>
    </row>
    <row r="157">
      <c r="A157" s="16" t="n">
        <v>153</v>
      </c>
      <c r="B157" s="16" t="inlineStr">
        <is>
          <t>Backend</t>
        </is>
      </c>
      <c r="C157" s="17" t="inlineStr">
        <is>
          <t>starter-security</t>
        </is>
      </c>
      <c r="D157" s="16" t="inlineStr">
        <is>
          <t>Unit</t>
        </is>
      </c>
      <c r="E157" s="17" t="inlineStr">
        <is>
          <t>PermissionGuardTest</t>
        </is>
      </c>
      <c r="F157" s="17" t="inlineStr"/>
      <c r="G157" s="17" t="inlineStr">
        <is>
          <t>guard không để lại ngữ cảnh: sau chuỗi filter TenantContext là ẩn danh</t>
        </is>
      </c>
      <c r="H157" s="17" t="inlineStr">
        <is>
          <t>khong_de_lai_ngu_canh</t>
        </is>
      </c>
      <c r="I157" s="16" t="inlineStr">
        <is>
          <t>Đạt</t>
        </is>
      </c>
      <c r="J157" s="16" t="n">
        <v>0.452</v>
      </c>
    </row>
    <row r="158">
      <c r="A158" s="16" t="n">
        <v>154</v>
      </c>
      <c r="B158" s="16" t="inlineStr">
        <is>
          <t>Backend</t>
        </is>
      </c>
      <c r="C158" s="17" t="inlineStr">
        <is>
          <t>starter-security</t>
        </is>
      </c>
      <c r="D158" s="16" t="inlineStr">
        <is>
          <t>Unit</t>
        </is>
      </c>
      <c r="E158" s="17" t="inlineStr">
        <is>
          <t>PermissionGuardTest › Declaration</t>
        </is>
      </c>
      <c r="F158" s="17" t="inlineStr">
        <is>
          <t>Khai báo annotation</t>
        </is>
      </c>
      <c r="G158" s="17" t="inlineStr">
        <is>
          <t>handler không phải HandlerMethod (tài nguyên tĩnh): cho qua</t>
        </is>
      </c>
      <c r="H158" s="17" t="inlineStr">
        <is>
          <t>handler_khong_phai_method</t>
        </is>
      </c>
      <c r="I158" s="16" t="inlineStr">
        <is>
          <t>Đạt</t>
        </is>
      </c>
      <c r="J158" s="16" t="n">
        <v>0.023</v>
      </c>
    </row>
    <row r="159">
      <c r="A159" s="16" t="n">
        <v>155</v>
      </c>
      <c r="B159" s="16" t="inlineStr">
        <is>
          <t>Backend</t>
        </is>
      </c>
      <c r="C159" s="17" t="inlineStr">
        <is>
          <t>starter-security</t>
        </is>
      </c>
      <c r="D159" s="16" t="inlineStr">
        <is>
          <t>Unit</t>
        </is>
      </c>
      <c r="E159" s="17" t="inlineStr">
        <is>
          <t>PermissionGuardTest › Declaration</t>
        </is>
      </c>
      <c r="F159" s="17" t="inlineStr">
        <is>
          <t>Khai báo annotation</t>
        </is>
      </c>
      <c r="G159" s="17" t="inlineStr">
        <is>
          <t>annotation ở cấp lớp áp cho method không tự khai</t>
        </is>
      </c>
      <c r="H159" s="17" t="inlineStr">
        <is>
          <t>annotation_cap_lop</t>
        </is>
      </c>
      <c r="I159" s="16" t="inlineStr">
        <is>
          <t>Đạt</t>
        </is>
      </c>
      <c r="J159" s="16" t="n">
        <v>0.038</v>
      </c>
    </row>
    <row r="160">
      <c r="A160" s="16" t="n">
        <v>156</v>
      </c>
      <c r="B160" s="16" t="inlineStr">
        <is>
          <t>Backend</t>
        </is>
      </c>
      <c r="C160" s="17" t="inlineStr">
        <is>
          <t>starter-security</t>
        </is>
      </c>
      <c r="D160" s="16" t="inlineStr">
        <is>
          <t>Unit</t>
        </is>
      </c>
      <c r="E160" s="17" t="inlineStr">
        <is>
          <t>PermissionGuardTest › Declaration</t>
        </is>
      </c>
      <c r="F160" s="17" t="inlineStr">
        <is>
          <t>Khai báo annotation</t>
        </is>
      </c>
      <c r="G160" s="17" t="inlineStr">
        <is>
          <t>method không khai quyền: guard không can thiệp, kể cả với người ẩn danh</t>
        </is>
      </c>
      <c r="H160" s="17" t="inlineStr">
        <is>
          <t>khong_khai_quyen_cho_qua</t>
        </is>
      </c>
      <c r="I160" s="16" t="inlineStr">
        <is>
          <t>Đạt</t>
        </is>
      </c>
      <c r="J160" s="16" t="n">
        <v>0.003</v>
      </c>
    </row>
    <row r="161">
      <c r="A161" s="16" t="n">
        <v>157</v>
      </c>
      <c r="B161" s="16" t="inlineStr">
        <is>
          <t>Backend</t>
        </is>
      </c>
      <c r="C161" s="17" t="inlineStr">
        <is>
          <t>starter-security</t>
        </is>
      </c>
      <c r="D161" s="16" t="inlineStr">
        <is>
          <t>Unit</t>
        </is>
      </c>
      <c r="E161" s="17" t="inlineStr">
        <is>
          <t>PermissionGuardTest › Declaration</t>
        </is>
      </c>
      <c r="F161" s="17" t="inlineStr">
        <is>
          <t>Khai báo annotation</t>
        </is>
      </c>
      <c r="G161" s="17" t="inlineStr">
        <is>
          <t>annotation giữ tới runtime và đặt được trên method lẫn lớp</t>
        </is>
      </c>
      <c r="H161" s="17" t="inlineStr">
        <is>
          <t>annotation_runtime</t>
        </is>
      </c>
      <c r="I161" s="16" t="inlineStr">
        <is>
          <t>Đạt</t>
        </is>
      </c>
      <c r="J161" s="16" t="n">
        <v>0.004</v>
      </c>
    </row>
    <row r="162">
      <c r="A162" s="16" t="n">
        <v>158</v>
      </c>
      <c r="B162" s="16" t="inlineStr">
        <is>
          <t>Backend</t>
        </is>
      </c>
      <c r="C162" s="17" t="inlineStr">
        <is>
          <t>starter-security</t>
        </is>
      </c>
      <c r="D162" s="16" t="inlineStr">
        <is>
          <t>Unit</t>
        </is>
      </c>
      <c r="E162" s="17" t="inlineStr">
        <is>
          <t>PermissionGuardTest › Declaration</t>
        </is>
      </c>
      <c r="F162" s="17" t="inlineStr">
        <is>
          <t>Khai báo annotation</t>
        </is>
      </c>
      <c r="G162" s="17" t="inlineStr">
        <is>
          <t>annotation ở method thắng annotation ở lớp</t>
        </is>
      </c>
      <c r="H162" s="17" t="inlineStr">
        <is>
          <t>method_thang_lop</t>
        </is>
      </c>
      <c r="I162" s="16" t="inlineStr">
        <is>
          <t>Đạt</t>
        </is>
      </c>
      <c r="J162" s="16" t="n">
        <v>0.02</v>
      </c>
    </row>
    <row r="163">
      <c r="A163" s="16" t="n">
        <v>159</v>
      </c>
      <c r="B163" s="16" t="inlineStr">
        <is>
          <t>Backend</t>
        </is>
      </c>
      <c r="C163" s="17" t="inlineStr">
        <is>
          <t>starter-security</t>
        </is>
      </c>
      <c r="D163" s="16" t="inlineStr">
        <is>
          <t>Unit</t>
        </is>
      </c>
      <c r="E163" s="17" t="inlineStr">
        <is>
          <t>PermissionGuardTest › OrgScoped</t>
        </is>
      </c>
      <c r="F163" s="17" t="inlineStr">
        <is>
          <t>Quyền phạm vi tổ chức</t>
        </is>
      </c>
      <c r="G163" s="17" t="inlineStr">
        <is>
          <t>quyền tổ chức khai trên route không có /organizations/{id}: FORBIDDEN, không âm thầm cho qua</t>
        </is>
      </c>
      <c r="H163" s="17" t="inlineStr">
        <is>
          <t>route_khong_co_to_chuc_bi_chan</t>
        </is>
      </c>
      <c r="I163" s="16" t="inlineStr">
        <is>
          <t>Đạt</t>
        </is>
      </c>
      <c r="J163" s="16" t="n">
        <v>0.006</v>
      </c>
    </row>
    <row r="164">
      <c r="A164" s="16" t="n">
        <v>160</v>
      </c>
      <c r="B164" s="16" t="inlineStr">
        <is>
          <t>Backend</t>
        </is>
      </c>
      <c r="C164" s="17" t="inlineStr">
        <is>
          <t>starter-security</t>
        </is>
      </c>
      <c r="D164" s="16" t="inlineStr">
        <is>
          <t>Unit</t>
        </is>
      </c>
      <c r="E164" s="17" t="inlineStr">
        <is>
          <t>PermissionGuardTest › OrgScoped</t>
        </is>
      </c>
      <c r="F164" s="17" t="inlineStr">
        <is>
          <t>Quyền phạm vi tổ chức</t>
        </is>
      </c>
      <c r="G164" s="17" t="inlineStr">
        <is>
          <t>ẩn danh: UNAUTHENTICATED</t>
        </is>
      </c>
      <c r="H164" s="17" t="inlineStr">
        <is>
          <t>an_danh_401</t>
        </is>
      </c>
      <c r="I164" s="16" t="inlineStr">
        <is>
          <t>Đạt</t>
        </is>
      </c>
      <c r="J164" s="16" t="n">
        <v>0.002</v>
      </c>
    </row>
    <row r="165">
      <c r="A165" s="16" t="n">
        <v>161</v>
      </c>
      <c r="B165" s="16" t="inlineStr">
        <is>
          <t>Backend</t>
        </is>
      </c>
      <c r="C165" s="17" t="inlineStr">
        <is>
          <t>starter-security</t>
        </is>
      </c>
      <c r="D165" s="16" t="inlineStr">
        <is>
          <t>Unit</t>
        </is>
      </c>
      <c r="E165" s="17" t="inlineStr">
        <is>
          <t>PermissionGuardTest › OrgScoped</t>
        </is>
      </c>
      <c r="F165" s="17" t="inlineStr">
        <is>
          <t>Quyền phạm vi tổ chức</t>
        </is>
      </c>
      <c r="G165" s="17" t="inlineStr">
        <is>
          <t>thành viên thiếu quyền: FORBIDDEN</t>
        </is>
      </c>
      <c r="H165" s="17" t="inlineStr">
        <is>
          <t>thieu_quyen_bi_chan</t>
        </is>
      </c>
      <c r="I165" s="16" t="inlineStr">
        <is>
          <t>Đạt</t>
        </is>
      </c>
      <c r="J165" s="16" t="n">
        <v>0.005</v>
      </c>
    </row>
    <row r="166">
      <c r="A166" s="16" t="n">
        <v>162</v>
      </c>
      <c r="B166" s="16" t="inlineStr">
        <is>
          <t>Backend</t>
        </is>
      </c>
      <c r="C166" s="17" t="inlineStr">
        <is>
          <t>starter-security</t>
        </is>
      </c>
      <c r="D166" s="16" t="inlineStr">
        <is>
          <t>Unit</t>
        </is>
      </c>
      <c r="E166" s="17" t="inlineStr">
        <is>
          <t>PermissionGuardTest › OrgScoped</t>
        </is>
      </c>
      <c r="F166" s="17" t="inlineStr">
        <is>
          <t>Quyền phạm vi tổ chức</t>
        </is>
      </c>
      <c r="G166" s="17" t="inlineStr">
        <is>
          <t>superadmin trên route tổ chức mình không thuộc: TenantFilter chặn 404 trước guard</t>
        </is>
      </c>
      <c r="H166" s="17" t="inlineStr">
        <is>
          <t>superadmin_bi_filter_chan_truoc</t>
        </is>
      </c>
      <c r="I166" s="16" t="inlineStr">
        <is>
          <t>Đạt</t>
        </is>
      </c>
      <c r="J166" s="16" t="n">
        <v>0.003</v>
      </c>
    </row>
    <row r="167">
      <c r="A167" s="16" t="n">
        <v>163</v>
      </c>
      <c r="B167" s="16" t="inlineStr">
        <is>
          <t>Backend</t>
        </is>
      </c>
      <c r="C167" s="17" t="inlineStr">
        <is>
          <t>starter-security</t>
        </is>
      </c>
      <c r="D167" s="16" t="inlineStr">
        <is>
          <t>Unit</t>
        </is>
      </c>
      <c r="E167" s="17" t="inlineStr">
        <is>
          <t>PermissionGuardTest › OrgScoped</t>
        </is>
      </c>
      <c r="F167" s="17" t="inlineStr">
        <is>
          <t>Quyền phạm vi tổ chức</t>
        </is>
      </c>
      <c r="G167" s="17" t="inlineStr">
        <is>
          <t>vai trò có quyền trong tổ chức trên đường dẫn: cho qua</t>
        </is>
      </c>
      <c r="H167" s="17" t="inlineStr">
        <is>
          <t>co_quyen_cho_qua</t>
        </is>
      </c>
      <c r="I167" s="16" t="inlineStr">
        <is>
          <t>Đạt</t>
        </is>
      </c>
      <c r="J167" s="16" t="n">
        <v>0.004</v>
      </c>
    </row>
    <row r="168">
      <c r="A168" s="16" t="n">
        <v>164</v>
      </c>
      <c r="B168" s="16" t="inlineStr">
        <is>
          <t>Backend</t>
        </is>
      </c>
      <c r="C168" s="17" t="inlineStr">
        <is>
          <t>starter-security</t>
        </is>
      </c>
      <c r="D168" s="16" t="inlineStr">
        <is>
          <t>Unit</t>
        </is>
      </c>
      <c r="E168" s="17" t="inlineStr">
        <is>
          <t>PermissionGuardTest › PlatformScoped</t>
        </is>
      </c>
      <c r="F168" s="17" t="inlineStr">
        <is>
          <t>Quyền phạm vi nền tảng</t>
        </is>
      </c>
      <c r="G168" s="17" t="inlineStr">
        <is>
          <t>chủ sở hữu tổ chức: FORBIDDEN, kể cả với chính tổ chức của mình</t>
        </is>
      </c>
      <c r="H168" s="17" t="inlineStr">
        <is>
          <t>org_owner_bi_chan</t>
        </is>
      </c>
      <c r="I168" s="16" t="inlineStr">
        <is>
          <t>Đạt</t>
        </is>
      </c>
      <c r="J168" s="16" t="n">
        <v>0.006</v>
      </c>
    </row>
    <row r="169">
      <c r="A169" s="16" t="n">
        <v>165</v>
      </c>
      <c r="B169" s="16" t="inlineStr">
        <is>
          <t>Backend</t>
        </is>
      </c>
      <c r="C169" s="17" t="inlineStr">
        <is>
          <t>starter-security</t>
        </is>
      </c>
      <c r="D169" s="16" t="inlineStr">
        <is>
          <t>Unit</t>
        </is>
      </c>
      <c r="E169" s="17" t="inlineStr">
        <is>
          <t>PermissionGuardTest › PlatformScoped</t>
        </is>
      </c>
      <c r="F169" s="17" t="inlineStr">
        <is>
          <t>Quyền phạm vi nền tảng</t>
        </is>
      </c>
      <c r="G169" s="17" t="inlineStr">
        <is>
          <t>superadmin: cho qua, không cần tổ chức trên đường dẫn</t>
        </is>
      </c>
      <c r="H169" s="17" t="inlineStr">
        <is>
          <t>superadmin_cho_qua</t>
        </is>
      </c>
      <c r="I169" s="16" t="inlineStr">
        <is>
          <t>Đạt</t>
        </is>
      </c>
      <c r="J169" s="16" t="n">
        <v>0.003</v>
      </c>
    </row>
    <row r="170">
      <c r="A170" s="16" t="n">
        <v>166</v>
      </c>
      <c r="B170" s="16" t="inlineStr">
        <is>
          <t>Backend</t>
        </is>
      </c>
      <c r="C170" s="17" t="inlineStr">
        <is>
          <t>starter-security</t>
        </is>
      </c>
      <c r="D170" s="16" t="inlineStr">
        <is>
          <t>Unit</t>
        </is>
      </c>
      <c r="E170" s="17" t="inlineStr">
        <is>
          <t>HttpMembershipLookupTest › Cache</t>
        </is>
      </c>
      <c r="F170" s="17" t="inlineStr">
        <is>
          <t>Cache</t>
        </is>
      </c>
      <c r="G170" s="17" t="inlineStr">
        <is>
          <t>khoá cache gồm phiên: phiên khác của cùng người dùng phải hỏi lại identity</t>
        </is>
      </c>
      <c r="H170" s="17" t="inlineStr">
        <is>
          <t>phien_khac_hoi_lai</t>
        </is>
      </c>
      <c r="I170" s="16" t="inlineStr">
        <is>
          <t>Đạt</t>
        </is>
      </c>
      <c r="J170" s="16" t="n">
        <v>0.911</v>
      </c>
    </row>
    <row r="171">
      <c r="A171" s="16" t="n">
        <v>167</v>
      </c>
      <c r="B171" s="16" t="inlineStr">
        <is>
          <t>Backend</t>
        </is>
      </c>
      <c r="C171" s="17" t="inlineStr">
        <is>
          <t>starter-security</t>
        </is>
      </c>
      <c r="D171" s="16" t="inlineStr">
        <is>
          <t>Unit</t>
        </is>
      </c>
      <c r="E171" s="17" t="inlineStr">
        <is>
          <t>HttpMembershipLookupTest › Cache</t>
        </is>
      </c>
      <c r="F171" s="17" t="inlineStr">
        <is>
          <t>Cache</t>
        </is>
      </c>
      <c r="G171" s="17" t="inlineStr">
        <is>
          <t>TTL bằng 0: mọi lần tra đều hỏi lại identity — hết hạn là hết hạn</t>
        </is>
      </c>
      <c r="H171" s="17" t="inlineStr">
        <is>
          <t>ttl_khong_luon_hoi_lai</t>
        </is>
      </c>
      <c r="I171" s="16" t="inlineStr">
        <is>
          <t>Đạt</t>
        </is>
      </c>
      <c r="J171" s="16" t="n">
        <v>0.016</v>
      </c>
    </row>
    <row r="172">
      <c r="A172" s="16" t="n">
        <v>168</v>
      </c>
      <c r="B172" s="16" t="inlineStr">
        <is>
          <t>Backend</t>
        </is>
      </c>
      <c r="C172" s="17" t="inlineStr">
        <is>
          <t>starter-security</t>
        </is>
      </c>
      <c r="D172" s="16" t="inlineStr">
        <is>
          <t>Unit</t>
        </is>
      </c>
      <c r="E172" s="17" t="inlineStr">
        <is>
          <t>HttpMembershipLookupTest › Cache</t>
        </is>
      </c>
      <c r="F172" s="17" t="inlineStr">
        <is>
          <t>Cache</t>
        </is>
      </c>
      <c r="G172" s="17" t="inlineStr">
        <is>
          <t>trong TTL: lần tra thứ hai của cùng phiên không gọi identity</t>
        </is>
      </c>
      <c r="H172" s="17" t="inlineStr">
        <is>
          <t>trong_ttl_dung_cache</t>
        </is>
      </c>
      <c r="I172" s="16" t="inlineStr">
        <is>
          <t>Đạt</t>
        </is>
      </c>
      <c r="J172" s="16" t="n">
        <v>0.019</v>
      </c>
    </row>
    <row r="173">
      <c r="A173" s="16" t="n">
        <v>169</v>
      </c>
      <c r="B173" s="16" t="inlineStr">
        <is>
          <t>Backend</t>
        </is>
      </c>
      <c r="C173" s="17" t="inlineStr">
        <is>
          <t>starter-security</t>
        </is>
      </c>
      <c r="D173" s="16" t="inlineStr">
        <is>
          <t>Unit</t>
        </is>
      </c>
      <c r="E173" s="17" t="inlineStr">
        <is>
          <t>HttpMembershipLookupTest › Cache</t>
        </is>
      </c>
      <c r="F173" s="17" t="inlineStr">
        <is>
          <t>Cache</t>
        </is>
      </c>
      <c r="G173" s="17" t="inlineStr">
        <is>
          <t>lỗi từ identity không được cache: identity hồi phục thì request kế tiếp thấy ngay</t>
        </is>
      </c>
      <c r="H173" s="17" t="inlineStr">
        <is>
          <t>loi_khong_duoc_cache</t>
        </is>
      </c>
      <c r="I173" s="16" t="inlineStr">
        <is>
          <t>Đạt</t>
        </is>
      </c>
      <c r="J173" s="16" t="n">
        <v>0.035</v>
      </c>
    </row>
    <row r="174">
      <c r="A174" s="16" t="n">
        <v>170</v>
      </c>
      <c r="B174" s="16" t="inlineStr">
        <is>
          <t>Backend</t>
        </is>
      </c>
      <c r="C174" s="17" t="inlineStr">
        <is>
          <t>starter-security</t>
        </is>
      </c>
      <c r="D174" s="16" t="inlineStr">
        <is>
          <t>Unit</t>
        </is>
      </c>
      <c r="E174" s="17" t="inlineStr">
        <is>
          <t>HttpMembershipLookupTest › OutgoingRequest</t>
        </is>
      </c>
      <c r="F174" s="17" t="inlineStr">
        <is>
          <t>Request đi ra</t>
        </is>
      </c>
      <c r="G174" s="17" t="inlineStr">
        <is>
          <t>không khai bí mật: không gửi header X-Internal-Token</t>
        </is>
      </c>
      <c r="H174" s="17" t="inlineStr">
        <is>
          <t>khong_bi_mat_khong_gui_header</t>
        </is>
      </c>
      <c r="I174" s="16" t="inlineStr">
        <is>
          <t>Đạt</t>
        </is>
      </c>
      <c r="J174" s="16" t="n">
        <v>0.017</v>
      </c>
    </row>
    <row r="175">
      <c r="A175" s="16" t="n">
        <v>171</v>
      </c>
      <c r="B175" s="16" t="inlineStr">
        <is>
          <t>Backend</t>
        </is>
      </c>
      <c r="C175" s="17" t="inlineStr">
        <is>
          <t>starter-security</t>
        </is>
      </c>
      <c r="D175" s="16" t="inlineStr">
        <is>
          <t>Unit</t>
        </is>
      </c>
      <c r="E175" s="17" t="inlineStr">
        <is>
          <t>HttpMembershipLookupTest › OutgoingRequest</t>
        </is>
      </c>
      <c r="F175" s="17" t="inlineStr">
        <is>
          <t>Request đi ra</t>
        </is>
      </c>
      <c r="G175" s="17" t="inlineStr">
        <is>
          <t>tham số null hoặc trống bị bỏ hẳn, không gửi '?email' rỗng</t>
        </is>
      </c>
      <c r="H175" s="17" t="inlineStr">
        <is>
          <t>tham_so_trong_bi_bo</t>
        </is>
      </c>
      <c r="I175" s="16" t="inlineStr">
        <is>
          <t>Đạt</t>
        </is>
      </c>
      <c r="J175" s="16" t="n">
        <v>0.008999999999999999</v>
      </c>
    </row>
    <row r="176">
      <c r="A176" s="16" t="n">
        <v>172</v>
      </c>
      <c r="B176" s="16" t="inlineStr">
        <is>
          <t>Backend</t>
        </is>
      </c>
      <c r="C176" s="17" t="inlineStr">
        <is>
          <t>starter-security</t>
        </is>
      </c>
      <c r="D176" s="16" t="inlineStr">
        <is>
          <t>Unit</t>
        </is>
      </c>
      <c r="E176" s="17" t="inlineStr">
        <is>
          <t>HttpMembershipLookupTest › OutgoingRequest</t>
        </is>
      </c>
      <c r="F176" s="17" t="inlineStr">
        <is>
          <t>Request đi ra</t>
        </is>
      </c>
      <c r="G176" s="17" t="inlineStr">
        <is>
          <t>GET /internal/memberships mang đủ idpSubject, email, fullName, sid, issuedAt và bí mật nội bộ</t>
        </is>
      </c>
      <c r="H176" s="17" t="inlineStr">
        <is>
          <t>request_mang_du_tham_so</t>
        </is>
      </c>
      <c r="I176" s="16" t="inlineStr">
        <is>
          <t>Đạt</t>
        </is>
      </c>
      <c r="J176" s="16" t="n">
        <v>0.01</v>
      </c>
    </row>
    <row r="177">
      <c r="A177" s="16" t="n">
        <v>173</v>
      </c>
      <c r="B177" s="16" t="inlineStr">
        <is>
          <t>Backend</t>
        </is>
      </c>
      <c r="C177" s="17" t="inlineStr">
        <is>
          <t>starter-security</t>
        </is>
      </c>
      <c r="D177" s="16" t="inlineStr">
        <is>
          <t>Unit</t>
        </is>
      </c>
      <c r="E177" s="17" t="inlineStr">
        <is>
          <t>HttpMembershipLookupTest › Response</t>
        </is>
      </c>
      <c r="F177" s="17" t="inlineStr">
        <is>
          <t>Đọc phản hồi</t>
        </is>
      </c>
      <c r="G177" s="17" t="inlineStr">
        <is>
          <t>payload được dịch đúng sang Principal: userId, vai trò theo tổ chức, cờ superadmin</t>
        </is>
      </c>
      <c r="H177" s="17" t="inlineStr">
        <is>
          <t>dich_payload_sang_principal</t>
        </is>
      </c>
      <c r="I177" s="16" t="inlineStr">
        <is>
          <t>Đạt</t>
        </is>
      </c>
      <c r="J177" s="16" t="n">
        <v>0.017</v>
      </c>
    </row>
    <row r="178">
      <c r="A178" s="16" t="n">
        <v>174</v>
      </c>
      <c r="B178" s="16" t="inlineStr">
        <is>
          <t>Backend</t>
        </is>
      </c>
      <c r="C178" s="17" t="inlineStr">
        <is>
          <t>starter-security</t>
        </is>
      </c>
      <c r="D178" s="16" t="inlineStr">
        <is>
          <t>Unit</t>
        </is>
      </c>
      <c r="E178" s="17" t="inlineStr">
        <is>
          <t>HttpMembershipLookupTest › Response</t>
        </is>
      </c>
      <c r="F178" s="17" t="inlineStr">
        <is>
          <t>Đọc phản hồi</t>
        </is>
      </c>
      <c r="G178" s="17" t="inlineStr">
        <is>
          <t>memberships null: principal không có tổ chức nào, không NPE</t>
        </is>
      </c>
      <c r="H178" s="17" t="inlineStr">
        <is>
          <t>memberships_null</t>
        </is>
      </c>
      <c r="I178" s="16" t="inlineStr">
        <is>
          <t>Đạt</t>
        </is>
      </c>
      <c r="J178" s="16" t="n">
        <v>0.012</v>
      </c>
    </row>
    <row r="179">
      <c r="A179" s="16" t="n">
        <v>175</v>
      </c>
      <c r="B179" s="16" t="inlineStr">
        <is>
          <t>Backend</t>
        </is>
      </c>
      <c r="C179" s="17" t="inlineStr">
        <is>
          <t>starter-security</t>
        </is>
      </c>
      <c r="D179" s="16" t="inlineStr">
        <is>
          <t>Unit</t>
        </is>
      </c>
      <c r="E179" s="17" t="inlineStr">
        <is>
          <t>HttpMembershipLookupTest › Response</t>
        </is>
      </c>
      <c r="F179" s="17" t="inlineStr">
        <is>
          <t>Đọc phản hồi</t>
        </is>
      </c>
      <c r="G179" s="17" t="inlineStr">
        <is>
          <t>payload thiếu userId: null — request sẽ là ẩn danh</t>
        </is>
      </c>
      <c r="H179" s="17" t="inlineStr">
        <is>
          <t>thieu_user_id_tra_null</t>
        </is>
      </c>
      <c r="I179" s="16" t="inlineStr">
        <is>
          <t>Đạt</t>
        </is>
      </c>
      <c r="J179" s="16" t="n">
        <v>0.012</v>
      </c>
    </row>
    <row r="180">
      <c r="A180" s="16" t="n">
        <v>176</v>
      </c>
      <c r="B180" s="16" t="inlineStr">
        <is>
          <t>Backend</t>
        </is>
      </c>
      <c r="C180" s="17" t="inlineStr">
        <is>
          <t>starter-security</t>
        </is>
      </c>
      <c r="D180" s="16" t="inlineStr">
        <is>
          <t>Unit</t>
        </is>
      </c>
      <c r="E180" s="17" t="inlineStr">
        <is>
          <t>HttpMembershipLookupTest › Response</t>
        </is>
      </c>
      <c r="F180" s="17" t="inlineStr">
        <is>
          <t>Đọc phản hồi</t>
        </is>
      </c>
      <c r="G180" s="17" t="inlineStr">
        <is>
          <t>claims null hoặc thiếu sub: null và không gọi identity</t>
        </is>
      </c>
      <c r="H180" s="17" t="inlineStr">
        <is>
          <t>claims_thieu_sub_khong_goi</t>
        </is>
      </c>
      <c r="I180" s="16" t="inlineStr">
        <is>
          <t>Đạt</t>
        </is>
      </c>
      <c r="J180" s="16" t="n">
        <v>0.004</v>
      </c>
    </row>
    <row r="181">
      <c r="A181" s="16" t="n">
        <v>177</v>
      </c>
      <c r="B181" s="16" t="inlineStr">
        <is>
          <t>Backend</t>
        </is>
      </c>
      <c r="C181" s="17" t="inlineStr">
        <is>
          <t>starter-security</t>
        </is>
      </c>
      <c r="D181" s="16" t="inlineStr">
        <is>
          <t>Unit</t>
        </is>
      </c>
      <c r="E181" s="17" t="inlineStr">
        <is>
          <t>InternalApiFilterTest › InternalPaths</t>
        </is>
      </c>
      <c r="F181" s="17" t="inlineStr">
        <is>
          <t>Đường /internal/**</t>
        </is>
      </c>
      <c r="G181" s="17" t="inlineStr">
        <is>
          <t>thiếu header: 404, request không tới controller</t>
        </is>
      </c>
      <c r="H181" s="17" t="inlineStr">
        <is>
          <t>thieu_header_404</t>
        </is>
      </c>
      <c r="I181" s="16" t="inlineStr">
        <is>
          <t>Đạt</t>
        </is>
      </c>
      <c r="J181" s="16" t="n">
        <v>0.003</v>
      </c>
    </row>
    <row r="182">
      <c r="A182" s="16" t="n">
        <v>178</v>
      </c>
      <c r="B182" s="16" t="inlineStr">
        <is>
          <t>Backend</t>
        </is>
      </c>
      <c r="C182" s="17" t="inlineStr">
        <is>
          <t>starter-security</t>
        </is>
      </c>
      <c r="D182" s="16" t="inlineStr">
        <is>
          <t>Unit</t>
        </is>
      </c>
      <c r="E182" s="17" t="inlineStr">
        <is>
          <t>InternalApiFilterTest › InternalPaths</t>
        </is>
      </c>
      <c r="F182" s="17" t="inlineStr">
        <is>
          <t>Đường /internal/**</t>
        </is>
      </c>
      <c r="G182" s="17" t="inlineStr">
        <is>
          <t>đúng bí mật: cho qua</t>
        </is>
      </c>
      <c r="H182" s="17" t="inlineStr">
        <is>
          <t>dung_bi_mat_cho_qua</t>
        </is>
      </c>
      <c r="I182" s="16" t="inlineStr">
        <is>
          <t>Đạt</t>
        </is>
      </c>
      <c r="J182" s="16" t="n">
        <v>0.002</v>
      </c>
    </row>
    <row r="183">
      <c r="A183" s="16" t="n">
        <v>179</v>
      </c>
      <c r="B183" s="16" t="inlineStr">
        <is>
          <t>Backend</t>
        </is>
      </c>
      <c r="C183" s="17" t="inlineStr">
        <is>
          <t>starter-security</t>
        </is>
      </c>
      <c r="D183" s="16" t="inlineStr">
        <is>
          <t>Unit</t>
        </is>
      </c>
      <c r="E183" s="17" t="inlineStr">
        <is>
          <t>InternalApiFilterTest › InternalPaths</t>
        </is>
      </c>
      <c r="F183" s="17" t="inlineStr">
        <is>
          <t>Đường /internal/**</t>
        </is>
      </c>
      <c r="G183" s="17" t="inlineStr">
        <is>
          <t>phản hồi từ chối không mang thân nào nhắc tới bí mật hay header</t>
        </is>
      </c>
      <c r="H183" s="17" t="inlineStr">
        <is>
          <t>phan_hoi_khong_lo_gi</t>
        </is>
      </c>
      <c r="I183" s="16" t="inlineStr">
        <is>
          <t>Đạt</t>
        </is>
      </c>
      <c r="J183" s="16" t="n">
        <v>0.001</v>
      </c>
    </row>
    <row r="184">
      <c r="A184" s="16" t="n">
        <v>180</v>
      </c>
      <c r="B184" s="16" t="inlineStr">
        <is>
          <t>Backend</t>
        </is>
      </c>
      <c r="C184" s="17" t="inlineStr">
        <is>
          <t>starter-security</t>
        </is>
      </c>
      <c r="D184" s="16" t="inlineStr">
        <is>
          <t>Unit</t>
        </is>
      </c>
      <c r="E184" s="17" t="inlineStr">
        <is>
          <t>InternalApiFilterTest › InternalPaths</t>
        </is>
      </c>
      <c r="F184" s="17" t="inlineStr">
        <is>
          <t>Đường /internal/**</t>
        </is>
      </c>
      <c r="G184" s="17" t="inlineStr">
        <is>
          <t>sai bí mật dưới mọi dạng: 404</t>
        </is>
      </c>
      <c r="H184" s="17" t="inlineStr">
        <is>
          <t>sai_bi_mat_404(String)[1]</t>
        </is>
      </c>
      <c r="I184" s="16" t="inlineStr">
        <is>
          <t>Đạt</t>
        </is>
      </c>
      <c r="J184" s="16" t="n">
        <v>0.002</v>
      </c>
    </row>
    <row r="185">
      <c r="A185" s="16" t="n">
        <v>181</v>
      </c>
      <c r="B185" s="16" t="inlineStr">
        <is>
          <t>Backend</t>
        </is>
      </c>
      <c r="C185" s="17" t="inlineStr">
        <is>
          <t>starter-security</t>
        </is>
      </c>
      <c r="D185" s="16" t="inlineStr">
        <is>
          <t>Unit</t>
        </is>
      </c>
      <c r="E185" s="17" t="inlineStr">
        <is>
          <t>InternalApiFilterTest › InternalPaths</t>
        </is>
      </c>
      <c r="F185" s="17" t="inlineStr">
        <is>
          <t>Đường /internal/**</t>
        </is>
      </c>
      <c r="G185" s="17" t="inlineStr">
        <is>
          <t>sai bí mật dưới mọi dạng: 404</t>
        </is>
      </c>
      <c r="H185" s="17" t="inlineStr">
        <is>
          <t>sai_bi_mat_404(String)[2]</t>
        </is>
      </c>
      <c r="I185" s="16" t="inlineStr">
        <is>
          <t>Đạt</t>
        </is>
      </c>
      <c r="J185" s="16" t="n">
        <v>0.002</v>
      </c>
    </row>
    <row r="186">
      <c r="A186" s="16" t="n">
        <v>182</v>
      </c>
      <c r="B186" s="16" t="inlineStr">
        <is>
          <t>Backend</t>
        </is>
      </c>
      <c r="C186" s="17" t="inlineStr">
        <is>
          <t>starter-security</t>
        </is>
      </c>
      <c r="D186" s="16" t="inlineStr">
        <is>
          <t>Unit</t>
        </is>
      </c>
      <c r="E186" s="17" t="inlineStr">
        <is>
          <t>InternalApiFilterTest › InternalPaths</t>
        </is>
      </c>
      <c r="F186" s="17" t="inlineStr">
        <is>
          <t>Đường /internal/**</t>
        </is>
      </c>
      <c r="G186" s="17" t="inlineStr">
        <is>
          <t>sai bí mật dưới mọi dạng: 404</t>
        </is>
      </c>
      <c r="H186" s="17" t="inlineStr">
        <is>
          <t>sai_bi_mat_404(String)[3]</t>
        </is>
      </c>
      <c r="I186" s="16" t="inlineStr">
        <is>
          <t>Đạt</t>
        </is>
      </c>
      <c r="J186" s="16" t="n">
        <v>0.002</v>
      </c>
    </row>
    <row r="187">
      <c r="A187" s="16" t="n">
        <v>183</v>
      </c>
      <c r="B187" s="16" t="inlineStr">
        <is>
          <t>Backend</t>
        </is>
      </c>
      <c r="C187" s="17" t="inlineStr">
        <is>
          <t>starter-security</t>
        </is>
      </c>
      <c r="D187" s="16" t="inlineStr">
        <is>
          <t>Unit</t>
        </is>
      </c>
      <c r="E187" s="17" t="inlineStr">
        <is>
          <t>InternalApiFilterTest › InternalPaths</t>
        </is>
      </c>
      <c r="F187" s="17" t="inlineStr">
        <is>
          <t>Đường /internal/**</t>
        </is>
      </c>
      <c r="G187" s="17" t="inlineStr">
        <is>
          <t>sai bí mật dưới mọi dạng: 404</t>
        </is>
      </c>
      <c r="H187" s="17" t="inlineStr">
        <is>
          <t>sai_bi_mat_404(String)[4]</t>
        </is>
      </c>
      <c r="I187" s="16" t="inlineStr">
        <is>
          <t>Đạt</t>
        </is>
      </c>
      <c r="J187" s="16" t="n">
        <v>0.001</v>
      </c>
    </row>
    <row r="188">
      <c r="A188" s="16" t="n">
        <v>184</v>
      </c>
      <c r="B188" s="16" t="inlineStr">
        <is>
          <t>Backend</t>
        </is>
      </c>
      <c r="C188" s="17" t="inlineStr">
        <is>
          <t>starter-security</t>
        </is>
      </c>
      <c r="D188" s="16" t="inlineStr">
        <is>
          <t>Unit</t>
        </is>
      </c>
      <c r="E188" s="17" t="inlineStr">
        <is>
          <t>InternalApiFilterTest › InternalPaths</t>
        </is>
      </c>
      <c r="F188" s="17" t="inlineStr">
        <is>
          <t>Đường /internal/**</t>
        </is>
      </c>
      <c r="G188" s="17" t="inlineStr">
        <is>
          <t>sai bí mật dưới mọi dạng: 404</t>
        </is>
      </c>
      <c r="H188" s="17" t="inlineStr">
        <is>
          <t>sai_bi_mat_404(String)[5]</t>
        </is>
      </c>
      <c r="I188" s="16" t="inlineStr">
        <is>
          <t>Đạt</t>
        </is>
      </c>
      <c r="J188" s="16" t="n">
        <v>0.001</v>
      </c>
    </row>
    <row r="189">
      <c r="A189" s="16" t="n">
        <v>185</v>
      </c>
      <c r="B189" s="16" t="inlineStr">
        <is>
          <t>Backend</t>
        </is>
      </c>
      <c r="C189" s="17" t="inlineStr">
        <is>
          <t>starter-security</t>
        </is>
      </c>
      <c r="D189" s="16" t="inlineStr">
        <is>
          <t>Unit</t>
        </is>
      </c>
      <c r="E189" s="17" t="inlineStr">
        <is>
          <t>InternalApiFilterTest › InternalPaths</t>
        </is>
      </c>
      <c r="F189" s="17" t="inlineStr">
        <is>
          <t>Đường /internal/**</t>
        </is>
      </c>
      <c r="G189" s="17" t="inlineStr">
        <is>
          <t>sai bí mật dưới mọi dạng: 404</t>
        </is>
      </c>
      <c r="H189" s="17" t="inlineStr">
        <is>
          <t>sai_bi_mat_404(String)[6]</t>
        </is>
      </c>
      <c r="I189" s="16" t="inlineStr">
        <is>
          <t>Đạt</t>
        </is>
      </c>
      <c r="J189" s="16" t="n">
        <v>0.005</v>
      </c>
    </row>
    <row r="190">
      <c r="A190" s="16" t="n">
        <v>186</v>
      </c>
      <c r="B190" s="16" t="inlineStr">
        <is>
          <t>Backend</t>
        </is>
      </c>
      <c r="C190" s="17" t="inlineStr">
        <is>
          <t>starter-security</t>
        </is>
      </c>
      <c r="D190" s="16" t="inlineStr">
        <is>
          <t>Unit</t>
        </is>
      </c>
      <c r="E190" s="17" t="inlineStr">
        <is>
          <t>InternalApiFilterTest › InternalPaths</t>
        </is>
      </c>
      <c r="F190" s="17" t="inlineStr">
        <is>
          <t>Đường /internal/**</t>
        </is>
      </c>
      <c r="G190" s="17" t="inlineStr">
        <is>
          <t>sai bí mật dưới mọi dạng: 404</t>
        </is>
      </c>
      <c r="H190" s="17" t="inlineStr">
        <is>
          <t>sai_bi_mat_404(String)[7]</t>
        </is>
      </c>
      <c r="I190" s="16" t="inlineStr">
        <is>
          <t>Đạt</t>
        </is>
      </c>
      <c r="J190" s="16" t="n">
        <v>0.002</v>
      </c>
    </row>
    <row r="191">
      <c r="A191" s="16" t="n">
        <v>187</v>
      </c>
      <c r="B191" s="16" t="inlineStr">
        <is>
          <t>Backend</t>
        </is>
      </c>
      <c r="C191" s="17" t="inlineStr">
        <is>
          <t>starter-security</t>
        </is>
      </c>
      <c r="D191" s="16" t="inlineStr">
        <is>
          <t>Unit</t>
        </is>
      </c>
      <c r="E191" s="17" t="inlineStr">
        <is>
          <t>InternalApiFilterTest › OtherPaths</t>
        </is>
      </c>
      <c r="F191" s="17" t="inlineStr">
        <is>
          <t>Đường khác</t>
        </is>
      </c>
      <c r="G191" s="17" t="inlineStr">
        <is>
          <t>không bắt đầu bằng /internal/: filter không đụng tới, kể cả khi không có header</t>
        </is>
      </c>
      <c r="H191" s="17" t="inlineStr">
        <is>
          <t>khong_dung_toi_duong_khac(String)[1]</t>
        </is>
      </c>
      <c r="I191" s="16" t="inlineStr">
        <is>
          <t>Đạt</t>
        </is>
      </c>
      <c r="J191" s="16" t="n">
        <v>0.021</v>
      </c>
    </row>
    <row r="192">
      <c r="A192" s="16" t="n">
        <v>188</v>
      </c>
      <c r="B192" s="16" t="inlineStr">
        <is>
          <t>Backend</t>
        </is>
      </c>
      <c r="C192" s="17" t="inlineStr">
        <is>
          <t>starter-security</t>
        </is>
      </c>
      <c r="D192" s="16" t="inlineStr">
        <is>
          <t>Unit</t>
        </is>
      </c>
      <c r="E192" s="17" t="inlineStr">
        <is>
          <t>InternalApiFilterTest › OtherPaths</t>
        </is>
      </c>
      <c r="F192" s="17" t="inlineStr">
        <is>
          <t>Đường khác</t>
        </is>
      </c>
      <c r="G192" s="17" t="inlineStr">
        <is>
          <t>không bắt đầu bằng /internal/: filter không đụng tới, kể cả khi không có header</t>
        </is>
      </c>
      <c r="H192" s="17" t="inlineStr">
        <is>
          <t>khong_dung_toi_duong_khac(String)[2]</t>
        </is>
      </c>
      <c r="I192" s="16" t="inlineStr">
        <is>
          <t>Đạt</t>
        </is>
      </c>
      <c r="J192" s="16" t="n">
        <v>0.004</v>
      </c>
    </row>
    <row r="193">
      <c r="A193" s="16" t="n">
        <v>189</v>
      </c>
      <c r="B193" s="16" t="inlineStr">
        <is>
          <t>Backend</t>
        </is>
      </c>
      <c r="C193" s="17" t="inlineStr">
        <is>
          <t>starter-security</t>
        </is>
      </c>
      <c r="D193" s="16" t="inlineStr">
        <is>
          <t>Unit</t>
        </is>
      </c>
      <c r="E193" s="17" t="inlineStr">
        <is>
          <t>InternalApiFilterTest › OtherPaths</t>
        </is>
      </c>
      <c r="F193" s="17" t="inlineStr">
        <is>
          <t>Đường khác</t>
        </is>
      </c>
      <c r="G193" s="17" t="inlineStr">
        <is>
          <t>không bắt đầu bằng /internal/: filter không đụng tới, kể cả khi không có header</t>
        </is>
      </c>
      <c r="H193" s="17" t="inlineStr">
        <is>
          <t>khong_dung_toi_duong_khac(String)[3]</t>
        </is>
      </c>
      <c r="I193" s="16" t="inlineStr">
        <is>
          <t>Đạt</t>
        </is>
      </c>
      <c r="J193" s="16" t="n">
        <v>0.002</v>
      </c>
    </row>
    <row r="194">
      <c r="A194" s="16" t="n">
        <v>190</v>
      </c>
      <c r="B194" s="16" t="inlineStr">
        <is>
          <t>Backend</t>
        </is>
      </c>
      <c r="C194" s="17" t="inlineStr">
        <is>
          <t>starter-security</t>
        </is>
      </c>
      <c r="D194" s="16" t="inlineStr">
        <is>
          <t>Unit</t>
        </is>
      </c>
      <c r="E194" s="17" t="inlineStr">
        <is>
          <t>InternalApiFilterTest › OtherPaths</t>
        </is>
      </c>
      <c r="F194" s="17" t="inlineStr">
        <is>
          <t>Đường khác</t>
        </is>
      </c>
      <c r="G194" s="17" t="inlineStr">
        <is>
          <t>không bắt đầu bằng /internal/: filter không đụng tới, kể cả khi không có header</t>
        </is>
      </c>
      <c r="H194" s="17" t="inlineStr">
        <is>
          <t>khong_dung_toi_duong_khac(String)[4]</t>
        </is>
      </c>
      <c r="I194" s="16" t="inlineStr">
        <is>
          <t>Đạt</t>
        </is>
      </c>
      <c r="J194" s="16" t="n">
        <v>0.002</v>
      </c>
    </row>
    <row r="195">
      <c r="A195" s="16" t="n">
        <v>191</v>
      </c>
      <c r="B195" s="16" t="inlineStr">
        <is>
          <t>Backend</t>
        </is>
      </c>
      <c r="C195" s="17" t="inlineStr">
        <is>
          <t>starter-security</t>
        </is>
      </c>
      <c r="D195" s="16" t="inlineStr">
        <is>
          <t>Unit</t>
        </is>
      </c>
      <c r="E195" s="17" t="inlineStr">
        <is>
          <t>InternalApiFilterTest › OtherPaths</t>
        </is>
      </c>
      <c r="F195" s="17" t="inlineStr">
        <is>
          <t>Đường khác</t>
        </is>
      </c>
      <c r="G195" s="17" t="inlineStr">
        <is>
          <t>không bắt đầu bằng /internal/: filter không đụng tới, kể cả khi không có header</t>
        </is>
      </c>
      <c r="H195" s="17" t="inlineStr">
        <is>
          <t>khong_dung_toi_duong_khac(String)[5]</t>
        </is>
      </c>
      <c r="I195" s="16" t="inlineStr">
        <is>
          <t>Đạt</t>
        </is>
      </c>
      <c r="J195" s="16" t="n">
        <v>0.002</v>
      </c>
    </row>
    <row r="196">
      <c r="A196" s="16" t="n">
        <v>192</v>
      </c>
      <c r="B196" s="16" t="inlineStr">
        <is>
          <t>Backend</t>
        </is>
      </c>
      <c r="C196" s="17" t="inlineStr">
        <is>
          <t>starter-security</t>
        </is>
      </c>
      <c r="D196" s="16" t="inlineStr">
        <is>
          <t>Unit</t>
        </is>
      </c>
      <c r="E196" s="17" t="inlineStr">
        <is>
          <t>InternalApiFilterTest</t>
        </is>
      </c>
      <c r="F196" s="17" t="inlineStr"/>
      <c r="G196" s="17" t="inlineStr">
        <is>
          <t>bí mật có ký tự ngoài ASCII được so theo UTF-8</t>
        </is>
      </c>
      <c r="H196" s="17" t="inlineStr">
        <is>
          <t>bi_mat_unicode</t>
        </is>
      </c>
      <c r="I196" s="16" t="inlineStr">
        <is>
          <t>Đạt</t>
        </is>
      </c>
      <c r="J196" s="16" t="n">
        <v>0.003</v>
      </c>
    </row>
    <row r="197">
      <c r="A197" s="16" t="n">
        <v>193</v>
      </c>
      <c r="B197" s="16" t="inlineStr">
        <is>
          <t>Backend</t>
        </is>
      </c>
      <c r="C197" s="17" t="inlineStr">
        <is>
          <t>starter-security</t>
        </is>
      </c>
      <c r="D197" s="16" t="inlineStr">
        <is>
          <t>Unit</t>
        </is>
      </c>
      <c r="E197" s="17" t="inlineStr">
        <is>
          <t>InternalApiFilterTest</t>
        </is>
      </c>
      <c r="F197" s="17" t="inlineStr"/>
      <c r="G197" s="17" t="inlineStr">
        <is>
          <t>so sánh bí mật bằng MessageDigest.isEqual (thời gian hằng định), không bằng equals</t>
        </is>
      </c>
      <c r="H197" s="17" t="inlineStr">
        <is>
          <t>so_sanh_thoi_gian_hang_dinh</t>
        </is>
      </c>
      <c r="I197" s="16" t="inlineStr">
        <is>
          <t>Đạt</t>
        </is>
      </c>
      <c r="J197" s="16" t="n">
        <v>0.016</v>
      </c>
    </row>
    <row r="198">
      <c r="A198" s="16" t="n">
        <v>194</v>
      </c>
      <c r="B198" s="16" t="inlineStr">
        <is>
          <t>Backend</t>
        </is>
      </c>
      <c r="C198" s="17" t="inlineStr">
        <is>
          <t>starter-security</t>
        </is>
      </c>
      <c r="D198" s="16" t="inlineStr">
        <is>
          <t>Unit</t>
        </is>
      </c>
      <c r="E198" s="17" t="inlineStr">
        <is>
          <t>InternalApiFilterTest › Properties</t>
        </is>
      </c>
      <c r="F198" s="17" t="inlineStr">
        <is>
          <t>InternalApiProperties</t>
        </is>
      </c>
      <c r="G198" s="17" t="inlineStr">
        <is>
          <t>có bí mật: bật filter</t>
        </is>
      </c>
      <c r="H198" s="17" t="inlineStr">
        <is>
          <t>co_bi_mat_thi_bat</t>
        </is>
      </c>
      <c r="I198" s="16" t="inlineStr">
        <is>
          <t>Đạt</t>
        </is>
      </c>
      <c r="J198" s="16" t="n">
        <v>0.001</v>
      </c>
    </row>
    <row r="199">
      <c r="A199" s="16" t="n">
        <v>195</v>
      </c>
      <c r="B199" s="16" t="inlineStr">
        <is>
          <t>Backend</t>
        </is>
      </c>
      <c r="C199" s="17" t="inlineStr">
        <is>
          <t>starter-security</t>
        </is>
      </c>
      <c r="D199" s="16" t="inlineStr">
        <is>
          <t>Unit</t>
        </is>
      </c>
      <c r="E199" s="17" t="inlineStr">
        <is>
          <t>InternalApiFilterTest › Properties</t>
        </is>
      </c>
      <c r="F199" s="17" t="inlineStr">
        <is>
          <t>InternalApiProperties</t>
        </is>
      </c>
      <c r="G199" s="17" t="inlineStr">
        <is>
          <t>bí mật null, rỗng hay chỉ khoảng trắng: không bật filter</t>
        </is>
      </c>
      <c r="H199" s="17" t="inlineStr">
        <is>
          <t>bi_mat_trong_khong_bat</t>
        </is>
      </c>
      <c r="I199" s="16" t="inlineStr">
        <is>
          <t>Đạt</t>
        </is>
      </c>
      <c r="J199" s="16" t="n">
        <v>0.002</v>
      </c>
    </row>
    <row r="200">
      <c r="A200" s="16" t="n">
        <v>196</v>
      </c>
      <c r="B200" s="16" t="inlineStr">
        <is>
          <t>Backend</t>
        </is>
      </c>
      <c r="C200" s="17" t="inlineStr">
        <is>
          <t>starter-security</t>
        </is>
      </c>
      <c r="D200" s="16" t="inlineStr">
        <is>
          <t>Unit</t>
        </is>
      </c>
      <c r="E200" s="17" t="inlineStr">
        <is>
          <t>InternalTokenPropagationTest</t>
        </is>
      </c>
      <c r="F200" s="17" t="inlineStr"/>
      <c r="G200" s="17" t="inlineStr">
        <is>
          <t>ganHeaderChoDuongNoiBo</t>
        </is>
      </c>
      <c r="H200" s="17" t="inlineStr">
        <is>
          <t>ganHeaderChoDuongNoiBo</t>
        </is>
      </c>
      <c r="I200" s="16" t="inlineStr">
        <is>
          <t>Đạt</t>
        </is>
      </c>
      <c r="J200" s="16" t="n">
        <v>0.019</v>
      </c>
    </row>
    <row r="201">
      <c r="A201" s="16" t="n">
        <v>197</v>
      </c>
      <c r="B201" s="16" t="inlineStr">
        <is>
          <t>Backend</t>
        </is>
      </c>
      <c r="C201" s="17" t="inlineStr">
        <is>
          <t>starter-security</t>
        </is>
      </c>
      <c r="D201" s="16" t="inlineStr">
        <is>
          <t>Unit</t>
        </is>
      </c>
      <c r="E201" s="17" t="inlineStr">
        <is>
          <t>InternalTokenPropagationTest</t>
        </is>
      </c>
      <c r="F201" s="17" t="inlineStr"/>
      <c r="G201" s="17" t="inlineStr">
        <is>
          <t>khongSecretThiKhongLamGi</t>
        </is>
      </c>
      <c r="H201" s="17" t="inlineStr">
        <is>
          <t>khongSecretThiKhongLamGi</t>
        </is>
      </c>
      <c r="I201" s="16" t="inlineStr">
        <is>
          <t>Đạt</t>
        </is>
      </c>
      <c r="J201" s="16" t="n">
        <v>0.002</v>
      </c>
    </row>
    <row r="202">
      <c r="A202" s="16" t="n">
        <v>198</v>
      </c>
      <c r="B202" s="16" t="inlineStr">
        <is>
          <t>Backend</t>
        </is>
      </c>
      <c r="C202" s="17" t="inlineStr">
        <is>
          <t>starter-security</t>
        </is>
      </c>
      <c r="D202" s="16" t="inlineStr">
        <is>
          <t>Unit</t>
        </is>
      </c>
      <c r="E202" s="17" t="inlineStr">
        <is>
          <t>InternalTokenPropagationTest</t>
        </is>
      </c>
      <c r="F202" s="17" t="inlineStr"/>
      <c r="G202" s="17" t="inlineStr">
        <is>
          <t>khongGanChoDuongCongKhai</t>
        </is>
      </c>
      <c r="H202" s="17" t="inlineStr">
        <is>
          <t>khongGanChoDuongCongKhai</t>
        </is>
      </c>
      <c r="I202" s="16" t="inlineStr">
        <is>
          <t>Đạt</t>
        </is>
      </c>
      <c r="J202" s="16" t="n">
        <v>0.002</v>
      </c>
    </row>
    <row r="203">
      <c r="A203" s="16" t="n">
        <v>199</v>
      </c>
      <c r="B203" s="16" t="inlineStr">
        <is>
          <t>Backend</t>
        </is>
      </c>
      <c r="C203" s="17" t="inlineStr">
        <is>
          <t>starter-security</t>
        </is>
      </c>
      <c r="D203" s="16" t="inlineStr">
        <is>
          <t>Unit</t>
        </is>
      </c>
      <c r="E203" s="17" t="inlineStr">
        <is>
          <t>InternalTokenPropagationTest</t>
        </is>
      </c>
      <c r="F203" s="17" t="inlineStr"/>
      <c r="G203" s="17" t="inlineStr">
        <is>
          <t>khongDeHeaderDaCo</t>
        </is>
      </c>
      <c r="H203" s="17" t="inlineStr">
        <is>
          <t>khongDeHeaderDaCo</t>
        </is>
      </c>
      <c r="I203" s="16" t="inlineStr">
        <is>
          <t>Đạt</t>
        </is>
      </c>
      <c r="J203" s="16" t="n">
        <v>0.002</v>
      </c>
    </row>
    <row r="204">
      <c r="A204" s="16" t="n">
        <v>200</v>
      </c>
      <c r="B204" s="16" t="inlineStr">
        <is>
          <t>Backend</t>
        </is>
      </c>
      <c r="C204" s="17" t="inlineStr">
        <is>
          <t>starter-security</t>
        </is>
      </c>
      <c r="D204" s="16" t="inlineStr">
        <is>
          <t>Unit</t>
        </is>
      </c>
      <c r="E204" s="17" t="inlineStr">
        <is>
          <t>InternalTokenPropagationWireTest</t>
        </is>
      </c>
      <c r="F204" s="17" t="inlineStr"/>
      <c r="G204" s="17" t="inlineStr">
        <is>
          <t>bí mật null: không gắn gì, không NPE</t>
        </is>
      </c>
      <c r="H204" s="17" t="inlineStr">
        <is>
          <t>bi_mat_null_khong_gan</t>
        </is>
      </c>
      <c r="I204" s="16" t="inlineStr">
        <is>
          <t>Đạt</t>
        </is>
      </c>
      <c r="J204" s="16" t="n">
        <v>0.016</v>
      </c>
    </row>
    <row r="205">
      <c r="A205" s="16" t="n">
        <v>201</v>
      </c>
      <c r="B205" s="16" t="inlineStr">
        <is>
          <t>Backend</t>
        </is>
      </c>
      <c r="C205" s="17" t="inlineStr">
        <is>
          <t>starter-security</t>
        </is>
      </c>
      <c r="D205" s="16" t="inlineStr">
        <is>
          <t>Unit</t>
        </is>
      </c>
      <c r="E205" s="17" t="inlineStr">
        <is>
          <t>InternalTokenPropagationWireTest</t>
        </is>
      </c>
      <c r="F205" s="17" t="inlineStr"/>
      <c r="G205" s="17" t="inlineStr">
        <is>
          <t>customize gắn interceptor: client dựng từ builder gửi bí mật tới /internal/**</t>
        </is>
      </c>
      <c r="H205" s="17" t="inlineStr">
        <is>
          <t>customize_gan_interceptor</t>
        </is>
      </c>
      <c r="I205" s="16" t="inlineStr">
        <is>
          <t>Đạt</t>
        </is>
      </c>
      <c r="J205" s="16" t="n">
        <v>0.006</v>
      </c>
    </row>
    <row r="206">
      <c r="A206" s="16" t="n">
        <v>202</v>
      </c>
      <c r="B206" s="16" t="inlineStr">
        <is>
          <t>Backend</t>
        </is>
      </c>
      <c r="C206" s="17" t="inlineStr">
        <is>
          <t>starter-security</t>
        </is>
      </c>
      <c r="D206" s="16" t="inlineStr">
        <is>
          <t>Unit</t>
        </is>
      </c>
      <c r="E206" s="17" t="inlineStr">
        <is>
          <t>InternalTokenPropagationWireTest</t>
        </is>
      </c>
      <c r="F206" s="17" t="inlineStr"/>
      <c r="G206" s="17" t="inlineStr">
        <is>
          <t>đường gần giống (/internals, /v1/internal, /internal không gạch cuối): không gắn bí mật</t>
        </is>
      </c>
      <c r="H206" s="17" t="inlineStr">
        <is>
          <t>duong_gan_giong_khong_gan</t>
        </is>
      </c>
      <c r="I206" s="16" t="inlineStr">
        <is>
          <t>Đạt</t>
        </is>
      </c>
      <c r="J206" s="16" t="n">
        <v>0.005</v>
      </c>
    </row>
    <row r="207">
      <c r="A207" s="16" t="n">
        <v>203</v>
      </c>
      <c r="B207" s="16" t="inlineStr">
        <is>
          <t>Backend</t>
        </is>
      </c>
      <c r="C207" s="17" t="inlineStr">
        <is>
          <t>starter-security</t>
        </is>
      </c>
      <c r="D207" s="16" t="inlineStr">
        <is>
          <t>Unit</t>
        </is>
      </c>
      <c r="E207" s="17" t="inlineStr">
        <is>
          <t>TenantContextTest › BasicGates</t>
        </is>
      </c>
      <c r="F207" s="17" t="inlineStr">
        <is>
          <t>requireAuthenticated / requireActiveTenant / requireSuperAdmin</t>
        </is>
      </c>
      <c r="G207" s="17" t="inlineStr">
        <is>
          <t>ẩn danh: UNAUTHENTICATED (401)</t>
        </is>
      </c>
      <c r="H207" s="17" t="inlineStr">
        <is>
          <t>an_danh_bi_401</t>
        </is>
      </c>
      <c r="I207" s="16" t="inlineStr">
        <is>
          <t>Đạt</t>
        </is>
      </c>
      <c r="J207" s="16" t="n">
        <v>0.003</v>
      </c>
    </row>
    <row r="208">
      <c r="A208" s="16" t="n">
        <v>204</v>
      </c>
      <c r="B208" s="16" t="inlineStr">
        <is>
          <t>Backend</t>
        </is>
      </c>
      <c r="C208" s="17" t="inlineStr">
        <is>
          <t>starter-security</t>
        </is>
      </c>
      <c r="D208" s="16" t="inlineStr">
        <is>
          <t>Unit</t>
        </is>
      </c>
      <c r="E208" s="17" t="inlineStr">
        <is>
          <t>TenantContextTest › BasicGates</t>
        </is>
      </c>
      <c r="F208" s="17" t="inlineStr">
        <is>
          <t>requireAuthenticated / requireActiveTenant / requireSuperAdmin</t>
        </is>
      </c>
      <c r="G208" s="17" t="inlineStr">
        <is>
          <t>đã đăng nhập nhưng không có tổ chức đang thao tác: FORBIDDEN</t>
        </is>
      </c>
      <c r="H208" s="17" t="inlineStr">
        <is>
          <t>khong_co_to_chuc_dang_thao_tac</t>
        </is>
      </c>
      <c r="I208" s="16" t="inlineStr">
        <is>
          <t>Đạt</t>
        </is>
      </c>
      <c r="J208" s="16" t="n">
        <v>0.002</v>
      </c>
    </row>
    <row r="209">
      <c r="A209" s="16" t="n">
        <v>205</v>
      </c>
      <c r="B209" s="16" t="inlineStr">
        <is>
          <t>Backend</t>
        </is>
      </c>
      <c r="C209" s="17" t="inlineStr">
        <is>
          <t>starter-security</t>
        </is>
      </c>
      <c r="D209" s="16" t="inlineStr">
        <is>
          <t>Unit</t>
        </is>
      </c>
      <c r="E209" s="17" t="inlineStr">
        <is>
          <t>TenantContextTest › BasicGates</t>
        </is>
      </c>
      <c r="F209" s="17" t="inlineStr">
        <is>
          <t>requireAuthenticated / requireActiveTenant / requireSuperAdmin</t>
        </is>
      </c>
      <c r="G209" s="17" t="inlineStr">
        <is>
          <t>có tổ chức đang thao tác: trả đúng tổ chức đó</t>
        </is>
      </c>
      <c r="H209" s="17" t="inlineStr">
        <is>
          <t>co_to_chuc_dang_thao_tac</t>
        </is>
      </c>
      <c r="I209" s="16" t="inlineStr">
        <is>
          <t>Đạt</t>
        </is>
      </c>
      <c r="J209" s="16" t="n">
        <v>0.002</v>
      </c>
    </row>
    <row r="210">
      <c r="A210" s="16" t="n">
        <v>206</v>
      </c>
      <c r="B210" s="16" t="inlineStr">
        <is>
          <t>Backend</t>
        </is>
      </c>
      <c r="C210" s="17" t="inlineStr">
        <is>
          <t>starter-security</t>
        </is>
      </c>
      <c r="D210" s="16" t="inlineStr">
        <is>
          <t>Unit</t>
        </is>
      </c>
      <c r="E210" s="17" t="inlineStr">
        <is>
          <t>TenantContextTest › BasicGates</t>
        </is>
      </c>
      <c r="F210" s="17" t="inlineStr">
        <is>
          <t>requireAuthenticated / requireActiveTenant / requireSuperAdmin</t>
        </is>
      </c>
      <c r="G210" s="17" t="inlineStr">
        <is>
          <t>người thường gọi cửa superadmin: FORBIDDEN; superadmin thì qua</t>
        </is>
      </c>
      <c r="H210" s="17" t="inlineStr">
        <is>
          <t>cua_superadmin</t>
        </is>
      </c>
      <c r="I210" s="16" t="inlineStr">
        <is>
          <t>Đạt</t>
        </is>
      </c>
      <c r="J210" s="16" t="n">
        <v>0.001</v>
      </c>
    </row>
    <row r="211">
      <c r="A211" s="16" t="n">
        <v>207</v>
      </c>
      <c r="B211" s="16" t="inlineStr">
        <is>
          <t>Backend</t>
        </is>
      </c>
      <c r="C211" s="17" t="inlineStr">
        <is>
          <t>starter-security</t>
        </is>
      </c>
      <c r="D211" s="16" t="inlineStr">
        <is>
          <t>Unit</t>
        </is>
      </c>
      <c r="E211" s="17" t="inlineStr">
        <is>
          <t>TenantContextTest › Defaults</t>
        </is>
      </c>
      <c r="F211" s="17" t="inlineStr">
        <is>
          <t>Ngữ cảnh mặc định</t>
        </is>
      </c>
      <c r="G211" s="17" t="inlineStr">
        <is>
          <t>ngữ cảnh là của từng luồng: luồng khác không thấy danh tính của luồng này</t>
        </is>
      </c>
      <c r="H211" s="17" t="inlineStr">
        <is>
          <t>ngu_canh_theo_luong</t>
        </is>
      </c>
      <c r="I211" s="16" t="inlineStr">
        <is>
          <t>Đạt</t>
        </is>
      </c>
      <c r="J211" s="16" t="n">
        <v>0.013</v>
      </c>
    </row>
    <row r="212">
      <c r="A212" s="16" t="n">
        <v>208</v>
      </c>
      <c r="B212" s="16" t="inlineStr">
        <is>
          <t>Backend</t>
        </is>
      </c>
      <c r="C212" s="17" t="inlineStr">
        <is>
          <t>starter-security</t>
        </is>
      </c>
      <c r="D212" s="16" t="inlineStr">
        <is>
          <t>Unit</t>
        </is>
      </c>
      <c r="E212" s="17" t="inlineStr">
        <is>
          <t>TenantContextTest › Defaults</t>
        </is>
      </c>
      <c r="F212" s="17" t="inlineStr">
        <is>
          <t>Ngữ cảnh mặc định</t>
        </is>
      </c>
      <c r="G212" s="17" t="inlineStr">
        <is>
          <t>clear() đưa luồng về ẩn danh — không mang danh tính sang request sau</t>
        </is>
      </c>
      <c r="H212" s="17" t="inlineStr">
        <is>
          <t>clear_ve_an_danh</t>
        </is>
      </c>
      <c r="I212" s="16" t="inlineStr">
        <is>
          <t>Đạt</t>
        </is>
      </c>
      <c r="J212" s="16" t="n">
        <v>0.002</v>
      </c>
    </row>
    <row r="213">
      <c r="A213" s="16" t="n">
        <v>209</v>
      </c>
      <c r="B213" s="16" t="inlineStr">
        <is>
          <t>Backend</t>
        </is>
      </c>
      <c r="C213" s="17" t="inlineStr">
        <is>
          <t>starter-security</t>
        </is>
      </c>
      <c r="D213" s="16" t="inlineStr">
        <is>
          <t>Unit</t>
        </is>
      </c>
      <c r="E213" s="17" t="inlineStr">
        <is>
          <t>TenantContextTest › Defaults</t>
        </is>
      </c>
      <c r="F213" s="17" t="inlineStr">
        <is>
          <t>Ngữ cảnh mặc định</t>
        </is>
      </c>
      <c r="G213" s="17" t="inlineStr">
        <is>
          <t>chưa set gì: ẩn danh, không có tổ chức, không phải superadmin</t>
        </is>
      </c>
      <c r="H213" s="17" t="inlineStr">
        <is>
          <t>mac_dinh_la_an_danh</t>
        </is>
      </c>
      <c r="I213" s="16" t="inlineStr">
        <is>
          <t>Đạt</t>
        </is>
      </c>
      <c r="J213" s="16" t="n">
        <v>0.003</v>
      </c>
    </row>
    <row r="214">
      <c r="A214" s="16" t="n">
        <v>210</v>
      </c>
      <c r="B214" s="16" t="inlineStr">
        <is>
          <t>Backend</t>
        </is>
      </c>
      <c r="C214" s="17" t="inlineStr">
        <is>
          <t>starter-security</t>
        </is>
      </c>
      <c r="D214" s="16" t="inlineStr">
        <is>
          <t>Unit</t>
        </is>
      </c>
      <c r="E214" s="17" t="inlineStr">
        <is>
          <t>TenantContextTest › Has</t>
        </is>
      </c>
      <c r="F214" s="17" t="inlineStr">
        <is>
          <t>has — hỏi quyền không ném lỗi</t>
        </is>
      </c>
      <c r="G214" s="17" t="inlineStr">
        <is>
          <t>thành viên: theo đúng ma trận của vai trò trong tổ chức đó</t>
        </is>
      </c>
      <c r="H214" s="17" t="inlineStr">
        <is>
          <t>thanh_vien_theo_ma_tran</t>
        </is>
      </c>
      <c r="I214" s="16" t="inlineStr">
        <is>
          <t>Đạt</t>
        </is>
      </c>
      <c r="J214" s="16" t="n">
        <v>0.003</v>
      </c>
    </row>
    <row r="215">
      <c r="A215" s="16" t="n">
        <v>211</v>
      </c>
      <c r="B215" s="16" t="inlineStr">
        <is>
          <t>Backend</t>
        </is>
      </c>
      <c r="C215" s="17" t="inlineStr">
        <is>
          <t>starter-security</t>
        </is>
      </c>
      <c r="D215" s="16" t="inlineStr">
        <is>
          <t>Unit</t>
        </is>
      </c>
      <c r="E215" s="17" t="inlineStr">
        <is>
          <t>TenantContextTest › Has</t>
        </is>
      </c>
      <c r="F215" s="17" t="inlineStr">
        <is>
          <t>has — hỏi quyền không ném lỗi</t>
        </is>
      </c>
      <c r="G215" s="17" t="inlineStr">
        <is>
          <t>ẩn danh: false cho mọi quyền</t>
        </is>
      </c>
      <c r="H215" s="17" t="inlineStr">
        <is>
          <t>an_danh_false</t>
        </is>
      </c>
      <c r="I215" s="16" t="inlineStr">
        <is>
          <t>Đạt</t>
        </is>
      </c>
      <c r="J215" s="16" t="n">
        <v>0.001</v>
      </c>
    </row>
    <row r="216">
      <c r="A216" s="16" t="n">
        <v>212</v>
      </c>
      <c r="B216" s="16" t="inlineStr">
        <is>
          <t>Backend</t>
        </is>
      </c>
      <c r="C216" s="17" t="inlineStr">
        <is>
          <t>starter-security</t>
        </is>
      </c>
      <c r="D216" s="16" t="inlineStr">
        <is>
          <t>Unit</t>
        </is>
      </c>
      <c r="E216" s="17" t="inlineStr">
        <is>
          <t>TenantContextTest › Has</t>
        </is>
      </c>
      <c r="F216" s="17" t="inlineStr">
        <is>
          <t>has — hỏi quyền không ném lỗi</t>
        </is>
      </c>
      <c r="G216" s="17" t="inlineStr">
        <is>
          <t>superadmin: true cho quyền tổ chức và quyền nền tảng</t>
        </is>
      </c>
      <c r="H216" s="17" t="inlineStr">
        <is>
          <t>superadmin_true</t>
        </is>
      </c>
      <c r="I216" s="16" t="inlineStr">
        <is>
          <t>Đạt</t>
        </is>
      </c>
      <c r="J216" s="16" t="n">
        <v>0.01</v>
      </c>
    </row>
    <row r="217">
      <c r="A217" s="16" t="n">
        <v>213</v>
      </c>
      <c r="B217" s="16" t="inlineStr">
        <is>
          <t>Backend</t>
        </is>
      </c>
      <c r="C217" s="17" t="inlineStr">
        <is>
          <t>starter-security</t>
        </is>
      </c>
      <c r="D217" s="16" t="inlineStr">
        <is>
          <t>Unit</t>
        </is>
      </c>
      <c r="E217" s="17" t="inlineStr">
        <is>
          <t>TenantContextTest › Member</t>
        </is>
      </c>
      <c r="F217" s="17" t="inlineStr">
        <is>
          <t>requireMember</t>
        </is>
      </c>
      <c r="G217" s="17" t="inlineStr">
        <is>
          <t>người ngoài: NOT_FOUND (404), không phải 403 — không xác nhận tổ chức tồn tại</t>
        </is>
      </c>
      <c r="H217" s="17" t="inlineStr">
        <is>
          <t>nguoi_ngoai_404</t>
        </is>
      </c>
      <c r="I217" s="16" t="inlineStr">
        <is>
          <t>Đạt</t>
        </is>
      </c>
      <c r="J217" s="16" t="n">
        <v>0.008</v>
      </c>
    </row>
    <row r="218">
      <c r="A218" s="16" t="n">
        <v>214</v>
      </c>
      <c r="B218" s="16" t="inlineStr">
        <is>
          <t>Backend</t>
        </is>
      </c>
      <c r="C218" s="17" t="inlineStr">
        <is>
          <t>starter-security</t>
        </is>
      </c>
      <c r="D218" s="16" t="inlineStr">
        <is>
          <t>Unit</t>
        </is>
      </c>
      <c r="E218" s="17" t="inlineStr">
        <is>
          <t>TenantContextTest › Member</t>
        </is>
      </c>
      <c r="F218" s="17" t="inlineStr">
        <is>
          <t>requireMember</t>
        </is>
      </c>
      <c r="G218" s="17" t="inlineStr">
        <is>
          <t>thành viên bất kỳ vai trò nào: qua</t>
        </is>
      </c>
      <c r="H218" s="17" t="inlineStr">
        <is>
          <t>thanh_vien_qua</t>
        </is>
      </c>
      <c r="I218" s="16" t="inlineStr">
        <is>
          <t>Đạt</t>
        </is>
      </c>
      <c r="J218" s="16" t="n">
        <v>0.008999999999999999</v>
      </c>
    </row>
    <row r="219">
      <c r="A219" s="16" t="n">
        <v>215</v>
      </c>
      <c r="B219" s="16" t="inlineStr">
        <is>
          <t>Backend</t>
        </is>
      </c>
      <c r="C219" s="17" t="inlineStr">
        <is>
          <t>starter-security</t>
        </is>
      </c>
      <c r="D219" s="16" t="inlineStr">
        <is>
          <t>Unit</t>
        </is>
      </c>
      <c r="E219" s="17" t="inlineStr">
        <is>
          <t>TenantContextTest › Member</t>
        </is>
      </c>
      <c r="F219" s="17" t="inlineStr">
        <is>
          <t>requireMember</t>
        </is>
      </c>
      <c r="G219" s="17" t="inlineStr">
        <is>
          <t>superadmin: qua dù không là thành viên</t>
        </is>
      </c>
      <c r="H219" s="17" t="inlineStr">
        <is>
          <t>superadmin_qua</t>
        </is>
      </c>
      <c r="I219" s="16" t="inlineStr">
        <is>
          <t>Đạt</t>
        </is>
      </c>
      <c r="J219" s="16" t="n">
        <v>0.002</v>
      </c>
    </row>
    <row r="220">
      <c r="A220" s="16" t="n">
        <v>216</v>
      </c>
      <c r="B220" s="16" t="inlineStr">
        <is>
          <t>Backend</t>
        </is>
      </c>
      <c r="C220" s="17" t="inlineStr">
        <is>
          <t>starter-security</t>
        </is>
      </c>
      <c r="D220" s="16" t="inlineStr">
        <is>
          <t>Unit</t>
        </is>
      </c>
      <c r="E220" s="17" t="inlineStr">
        <is>
          <t>TenantContextTest › OrgPermission</t>
        </is>
      </c>
      <c r="F220" s="17" t="inlineStr">
        <is>
          <t>requirePermission — quyền phạm vi tổ chức</t>
        </is>
      </c>
      <c r="G220" s="17" t="inlineStr">
        <is>
          <t>EVENT_MANAGER không quản lý được thành viên — chặn tự nâng quyền qua trung gian</t>
        </is>
      </c>
      <c r="H220" s="17" t="inlineStr">
        <is>
          <t>event_manager_khong_quan_ly_thanh_vien</t>
        </is>
      </c>
      <c r="I220" s="16" t="inlineStr">
        <is>
          <t>Đạt</t>
        </is>
      </c>
      <c r="J220" s="16" t="n">
        <v>0.004</v>
      </c>
    </row>
    <row r="221">
      <c r="A221" s="16" t="n">
        <v>217</v>
      </c>
      <c r="B221" s="16" t="inlineStr">
        <is>
          <t>Backend</t>
        </is>
      </c>
      <c r="C221" s="17" t="inlineStr">
        <is>
          <t>starter-security</t>
        </is>
      </c>
      <c r="D221" s="16" t="inlineStr">
        <is>
          <t>Unit</t>
        </is>
      </c>
      <c r="E221" s="17" t="inlineStr">
        <is>
          <t>TenantContextTest › OrgPermission</t>
        </is>
      </c>
      <c r="F221" s="17" t="inlineStr">
        <is>
          <t>requirePermission — quyền phạm vi tổ chức</t>
        </is>
      </c>
      <c r="G221" s="17" t="inlineStr">
        <is>
          <t>không phải thành viên tổ chức: FORBIDDEN</t>
        </is>
      </c>
      <c r="H221" s="17" t="inlineStr">
        <is>
          <t>khong_phai_thanh_vien</t>
        </is>
      </c>
      <c r="I221" s="16" t="inlineStr">
        <is>
          <t>Đạt</t>
        </is>
      </c>
      <c r="J221" s="16" t="n">
        <v>0.002</v>
      </c>
    </row>
    <row r="222">
      <c r="A222" s="16" t="n">
        <v>218</v>
      </c>
      <c r="B222" s="16" t="inlineStr">
        <is>
          <t>Backend</t>
        </is>
      </c>
      <c r="C222" s="17" t="inlineStr">
        <is>
          <t>starter-security</t>
        </is>
      </c>
      <c r="D222" s="16" t="inlineStr">
        <is>
          <t>Unit</t>
        </is>
      </c>
      <c r="E222" s="17" t="inlineStr">
        <is>
          <t>TenantContextTest › OrgPermission</t>
        </is>
      </c>
      <c r="F222" s="17" t="inlineStr">
        <is>
          <t>requirePermission — quyền phạm vi tổ chức</t>
        </is>
      </c>
      <c r="G222" s="17" t="inlineStr">
        <is>
          <t>ẩn danh: UNAUTHENTICATED trước khi xét quyền</t>
        </is>
      </c>
      <c r="H222" s="17" t="inlineStr">
        <is>
          <t>an_danh_401</t>
        </is>
      </c>
      <c r="I222" s="16" t="inlineStr">
        <is>
          <t>Đạt</t>
        </is>
      </c>
      <c r="J222" s="16" t="n">
        <v>0.002</v>
      </c>
    </row>
    <row r="223">
      <c r="A223" s="16" t="n">
        <v>219</v>
      </c>
      <c r="B223" s="16" t="inlineStr">
        <is>
          <t>Backend</t>
        </is>
      </c>
      <c r="C223" s="17" t="inlineStr">
        <is>
          <t>starter-security</t>
        </is>
      </c>
      <c r="D223" s="16" t="inlineStr">
        <is>
          <t>Unit</t>
        </is>
      </c>
      <c r="E223" s="17" t="inlineStr">
        <is>
          <t>TenantContextTest › OrgPermission</t>
        </is>
      </c>
      <c r="F223" s="17" t="inlineStr">
        <is>
          <t>requirePermission — quyền phạm vi tổ chức</t>
        </is>
      </c>
      <c r="G223" s="17" t="inlineStr">
        <is>
          <t>vai trò có quyền trong ĐÚNG tổ chức: qua</t>
        </is>
      </c>
      <c r="H223" s="17" t="inlineStr">
        <is>
          <t>co_quyen_dung_to_chuc</t>
        </is>
      </c>
      <c r="I223" s="16" t="inlineStr">
        <is>
          <t>Đạt</t>
        </is>
      </c>
      <c r="J223" s="16" t="n">
        <v>0.002</v>
      </c>
    </row>
    <row r="224">
      <c r="A224" s="16" t="n">
        <v>220</v>
      </c>
      <c r="B224" s="16" t="inlineStr">
        <is>
          <t>Backend</t>
        </is>
      </c>
      <c r="C224" s="17" t="inlineStr">
        <is>
          <t>starter-security</t>
        </is>
      </c>
      <c r="D224" s="16" t="inlineStr">
        <is>
          <t>Unit</t>
        </is>
      </c>
      <c r="E224" s="17" t="inlineStr">
        <is>
          <t>TenantContextTest › OrgPermission</t>
        </is>
      </c>
      <c r="F224" s="17" t="inlineStr">
        <is>
          <t>requirePermission — quyền phạm vi tổ chức</t>
        </is>
      </c>
      <c r="G224" s="17" t="inlineStr">
        <is>
          <t>hỏi quyền PLATFORM_* kèm tổ chức là lỗi lập trình, kể cả với superadmin</t>
        </is>
      </c>
      <c r="H224" s="17" t="inlineStr">
        <is>
          <t>quyen_nen_tang_kem_to_chuc_la_loi_lap_trinh</t>
        </is>
      </c>
      <c r="I224" s="16" t="inlineStr">
        <is>
          <t>Đạt</t>
        </is>
      </c>
      <c r="J224" s="16" t="n">
        <v>0.003</v>
      </c>
    </row>
    <row r="225">
      <c r="A225" s="16" t="n">
        <v>221</v>
      </c>
      <c r="B225" s="16" t="inlineStr">
        <is>
          <t>Backend</t>
        </is>
      </c>
      <c r="C225" s="17" t="inlineStr">
        <is>
          <t>starter-security</t>
        </is>
      </c>
      <c r="D225" s="16" t="inlineStr">
        <is>
          <t>Unit</t>
        </is>
      </c>
      <c r="E225" s="17" t="inlineStr">
        <is>
          <t>TenantContextTest › OrgPermission</t>
        </is>
      </c>
      <c r="F225" s="17" t="inlineStr">
        <is>
          <t>requirePermission — quyền phạm vi tổ chức</t>
        </is>
      </c>
      <c r="G225" s="17" t="inlineStr">
        <is>
          <t>superadmin đi qua mọi cửa của tổ chức, kể cả tổ chức mình không thuộc</t>
        </is>
      </c>
      <c r="H225" s="17" t="inlineStr">
        <is>
          <t>superadmin_qua_moi_cua_to_chuc</t>
        </is>
      </c>
      <c r="I225" s="16" t="inlineStr">
        <is>
          <t>Đạt</t>
        </is>
      </c>
      <c r="J225" s="16" t="n">
        <v>0.002</v>
      </c>
    </row>
    <row r="226">
      <c r="A226" s="16" t="n">
        <v>222</v>
      </c>
      <c r="B226" s="16" t="inlineStr">
        <is>
          <t>Backend</t>
        </is>
      </c>
      <c r="C226" s="17" t="inlineStr">
        <is>
          <t>starter-security</t>
        </is>
      </c>
      <c r="D226" s="16" t="inlineStr">
        <is>
          <t>Unit</t>
        </is>
      </c>
      <c r="E226" s="17" t="inlineStr">
        <is>
          <t>TenantContextTest › OrgPermission</t>
        </is>
      </c>
      <c r="F226" s="17" t="inlineStr">
        <is>
          <t>requirePermission — quyền phạm vi tổ chức</t>
        </is>
      </c>
      <c r="G226" s="17" t="inlineStr">
        <is>
          <t>có quyền ở tổ chức A không cho quyền ở tổ chức B</t>
        </is>
      </c>
      <c r="H226" s="17" t="inlineStr">
        <is>
          <t>quyen_khong_lan_sang_to_chuc_khac</t>
        </is>
      </c>
      <c r="I226" s="16" t="inlineStr">
        <is>
          <t>Đạt</t>
        </is>
      </c>
      <c r="J226" s="16" t="n">
        <v>0.002</v>
      </c>
    </row>
    <row r="227">
      <c r="A227" s="16" t="n">
        <v>223</v>
      </c>
      <c r="B227" s="16" t="inlineStr">
        <is>
          <t>Backend</t>
        </is>
      </c>
      <c r="C227" s="17" t="inlineStr">
        <is>
          <t>starter-security</t>
        </is>
      </c>
      <c r="D227" s="16" t="inlineStr">
        <is>
          <t>Unit</t>
        </is>
      </c>
      <c r="E227" s="17" t="inlineStr">
        <is>
          <t>TenantContextTest › PlatformPermission</t>
        </is>
      </c>
      <c r="F227" s="17" t="inlineStr">
        <is>
          <t>requirePlatformPermission — quyền phạm vi nền tảng</t>
        </is>
      </c>
      <c r="G227" s="17" t="inlineStr">
        <is>
          <t>ẩn danh: UNAUTHENTICATED</t>
        </is>
      </c>
      <c r="H227" s="17" t="inlineStr">
        <is>
          <t>an_danh_401</t>
        </is>
      </c>
      <c r="I227" s="16" t="inlineStr">
        <is>
          <t>Đạt</t>
        </is>
      </c>
      <c r="J227" s="16" t="n">
        <v>0.003</v>
      </c>
    </row>
    <row r="228">
      <c r="A228" s="16" t="n">
        <v>224</v>
      </c>
      <c r="B228" s="16" t="inlineStr">
        <is>
          <t>Backend</t>
        </is>
      </c>
      <c r="C228" s="17" t="inlineStr">
        <is>
          <t>starter-security</t>
        </is>
      </c>
      <c r="D228" s="16" t="inlineStr">
        <is>
          <t>Unit</t>
        </is>
      </c>
      <c r="E228" s="17" t="inlineStr">
        <is>
          <t>TenantContextTest › PlatformPermission</t>
        </is>
      </c>
      <c r="F228" s="17" t="inlineStr">
        <is>
          <t>requirePlatformPermission — quyền phạm vi nền tảng</t>
        </is>
      </c>
      <c r="G228" s="17" t="inlineStr">
        <is>
          <t>superadmin có mọi quyền nền tảng</t>
        </is>
      </c>
      <c r="H228" s="17" t="inlineStr">
        <is>
          <t>superadmin_co_moi_quyen_nen_tang(Permission)[1]</t>
        </is>
      </c>
      <c r="I228" s="16" t="inlineStr">
        <is>
          <t>Đạt</t>
        </is>
      </c>
      <c r="J228" s="16" t="n">
        <v>0.003</v>
      </c>
    </row>
    <row r="229">
      <c r="A229" s="16" t="n">
        <v>225</v>
      </c>
      <c r="B229" s="16" t="inlineStr">
        <is>
          <t>Backend</t>
        </is>
      </c>
      <c r="C229" s="17" t="inlineStr">
        <is>
          <t>starter-security</t>
        </is>
      </c>
      <c r="D229" s="16" t="inlineStr">
        <is>
          <t>Unit</t>
        </is>
      </c>
      <c r="E229" s="17" t="inlineStr">
        <is>
          <t>TenantContextTest › PlatformPermission</t>
        </is>
      </c>
      <c r="F229" s="17" t="inlineStr">
        <is>
          <t>requirePlatformPermission — quyền phạm vi nền tảng</t>
        </is>
      </c>
      <c r="G229" s="17" t="inlineStr">
        <is>
          <t>superadmin có mọi quyền nền tảng</t>
        </is>
      </c>
      <c r="H229" s="17" t="inlineStr">
        <is>
          <t>superadmin_co_moi_quyen_nen_tang(Permission)[2]</t>
        </is>
      </c>
      <c r="I229" s="16" t="inlineStr">
        <is>
          <t>Đạt</t>
        </is>
      </c>
      <c r="J229" s="16" t="n">
        <v>0.004</v>
      </c>
    </row>
    <row r="230">
      <c r="A230" s="16" t="n">
        <v>226</v>
      </c>
      <c r="B230" s="16" t="inlineStr">
        <is>
          <t>Backend</t>
        </is>
      </c>
      <c r="C230" s="17" t="inlineStr">
        <is>
          <t>starter-security</t>
        </is>
      </c>
      <c r="D230" s="16" t="inlineStr">
        <is>
          <t>Unit</t>
        </is>
      </c>
      <c r="E230" s="17" t="inlineStr">
        <is>
          <t>TenantContextTest › PlatformPermission</t>
        </is>
      </c>
      <c r="F230" s="17" t="inlineStr">
        <is>
          <t>requirePlatformPermission — quyền phạm vi nền tảng</t>
        </is>
      </c>
      <c r="G230" s="17" t="inlineStr">
        <is>
          <t>superadmin có mọi quyền nền tảng</t>
        </is>
      </c>
      <c r="H230" s="17" t="inlineStr">
        <is>
          <t>superadmin_co_moi_quyen_nen_tang(Permission)[3]</t>
        </is>
      </c>
      <c r="I230" s="16" t="inlineStr">
        <is>
          <t>Đạt</t>
        </is>
      </c>
      <c r="J230" s="16" t="n">
        <v>0</v>
      </c>
    </row>
    <row r="231">
      <c r="A231" s="16" t="n">
        <v>227</v>
      </c>
      <c r="B231" s="16" t="inlineStr">
        <is>
          <t>Backend</t>
        </is>
      </c>
      <c r="C231" s="17" t="inlineStr">
        <is>
          <t>starter-security</t>
        </is>
      </c>
      <c r="D231" s="16" t="inlineStr">
        <is>
          <t>Unit</t>
        </is>
      </c>
      <c r="E231" s="17" t="inlineStr">
        <is>
          <t>TenantContextTest › PlatformPermission</t>
        </is>
      </c>
      <c r="F231" s="17" t="inlineStr">
        <is>
          <t>requirePlatformPermission — quyền phạm vi nền tảng</t>
        </is>
      </c>
      <c r="G231" s="17" t="inlineStr">
        <is>
          <t>superadmin có mọi quyền nền tảng</t>
        </is>
      </c>
      <c r="H231" s="17" t="inlineStr">
        <is>
          <t>superadmin_co_moi_quyen_nen_tang(Permission)[4]</t>
        </is>
      </c>
      <c r="I231" s="16" t="inlineStr">
        <is>
          <t>Đạt</t>
        </is>
      </c>
      <c r="J231" s="16" t="n">
        <v>0.001</v>
      </c>
    </row>
    <row r="232">
      <c r="A232" s="16" t="n">
        <v>228</v>
      </c>
      <c r="B232" s="16" t="inlineStr">
        <is>
          <t>Backend</t>
        </is>
      </c>
      <c r="C232" s="17" t="inlineStr">
        <is>
          <t>starter-security</t>
        </is>
      </c>
      <c r="D232" s="16" t="inlineStr">
        <is>
          <t>Unit</t>
        </is>
      </c>
      <c r="E232" s="17" t="inlineStr">
        <is>
          <t>TenantContextTest › PlatformPermission</t>
        </is>
      </c>
      <c r="F232" s="17" t="inlineStr">
        <is>
          <t>requirePlatformPermission — quyền phạm vi nền tảng</t>
        </is>
      </c>
      <c r="G232" s="17" t="inlineStr">
        <is>
          <t>superadmin có mọi quyền nền tảng</t>
        </is>
      </c>
      <c r="H232" s="17" t="inlineStr">
        <is>
          <t>superadmin_co_moi_quyen_nen_tang(Permission)[5]</t>
        </is>
      </c>
      <c r="I232" s="16" t="inlineStr">
        <is>
          <t>Đạt</t>
        </is>
      </c>
      <c r="J232" s="16" t="n">
        <v>0.001</v>
      </c>
    </row>
    <row r="233">
      <c r="A233" s="16" t="n">
        <v>229</v>
      </c>
      <c r="B233" s="16" t="inlineStr">
        <is>
          <t>Backend</t>
        </is>
      </c>
      <c r="C233" s="17" t="inlineStr">
        <is>
          <t>starter-security</t>
        </is>
      </c>
      <c r="D233" s="16" t="inlineStr">
        <is>
          <t>Unit</t>
        </is>
      </c>
      <c r="E233" s="17" t="inlineStr">
        <is>
          <t>TenantContextTest › PlatformPermission</t>
        </is>
      </c>
      <c r="F233" s="17" t="inlineStr">
        <is>
          <t>requirePlatformPermission — quyền phạm vi nền tảng</t>
        </is>
      </c>
      <c r="G233" s="17" t="inlineStr">
        <is>
          <t>superadmin có mọi quyền nền tảng</t>
        </is>
      </c>
      <c r="H233" s="17" t="inlineStr">
        <is>
          <t>superadmin_co_moi_quyen_nen_tang(Permission)[6]</t>
        </is>
      </c>
      <c r="I233" s="16" t="inlineStr">
        <is>
          <t>Đạt</t>
        </is>
      </c>
      <c r="J233" s="16" t="n">
        <v>0.001</v>
      </c>
    </row>
    <row r="234">
      <c r="A234" s="16" t="n">
        <v>230</v>
      </c>
      <c r="B234" s="16" t="inlineStr">
        <is>
          <t>Backend</t>
        </is>
      </c>
      <c r="C234" s="17" t="inlineStr">
        <is>
          <t>starter-security</t>
        </is>
      </c>
      <c r="D234" s="16" t="inlineStr">
        <is>
          <t>Unit</t>
        </is>
      </c>
      <c r="E234" s="17" t="inlineStr">
        <is>
          <t>TenantContextTest › PlatformPermission</t>
        </is>
      </c>
      <c r="F234" s="17" t="inlineStr">
        <is>
          <t>requirePlatformPermission — quyền phạm vi nền tảng</t>
        </is>
      </c>
      <c r="G234" s="17" t="inlineStr">
        <is>
          <t>chủ sở hữu tổ chức KHÔNG có quyền nền tảng nào</t>
        </is>
      </c>
      <c r="H234" s="17" t="inlineStr">
        <is>
          <t>org_owner_khong_co_quyen_nen_tang(Permission)[1]</t>
        </is>
      </c>
      <c r="I234" s="16" t="inlineStr">
        <is>
          <t>Đạt</t>
        </is>
      </c>
      <c r="J234" s="16" t="n">
        <v>0.006</v>
      </c>
    </row>
    <row r="235">
      <c r="A235" s="16" t="n">
        <v>231</v>
      </c>
      <c r="B235" s="16" t="inlineStr">
        <is>
          <t>Backend</t>
        </is>
      </c>
      <c r="C235" s="17" t="inlineStr">
        <is>
          <t>starter-security</t>
        </is>
      </c>
      <c r="D235" s="16" t="inlineStr">
        <is>
          <t>Unit</t>
        </is>
      </c>
      <c r="E235" s="17" t="inlineStr">
        <is>
          <t>TenantContextTest › PlatformPermission</t>
        </is>
      </c>
      <c r="F235" s="17" t="inlineStr">
        <is>
          <t>requirePlatformPermission — quyền phạm vi nền tảng</t>
        </is>
      </c>
      <c r="G235" s="17" t="inlineStr">
        <is>
          <t>chủ sở hữu tổ chức KHÔNG có quyền nền tảng nào</t>
        </is>
      </c>
      <c r="H235" s="17" t="inlineStr">
        <is>
          <t>org_owner_khong_co_quyen_nen_tang(Permission)[2]</t>
        </is>
      </c>
      <c r="I235" s="16" t="inlineStr">
        <is>
          <t>Đạt</t>
        </is>
      </c>
      <c r="J235" s="16" t="n">
        <v>0.002</v>
      </c>
    </row>
    <row r="236">
      <c r="A236" s="16" t="n">
        <v>232</v>
      </c>
      <c r="B236" s="16" t="inlineStr">
        <is>
          <t>Backend</t>
        </is>
      </c>
      <c r="C236" s="17" t="inlineStr">
        <is>
          <t>starter-security</t>
        </is>
      </c>
      <c r="D236" s="16" t="inlineStr">
        <is>
          <t>Unit</t>
        </is>
      </c>
      <c r="E236" s="17" t="inlineStr">
        <is>
          <t>TenantContextTest › PlatformPermission</t>
        </is>
      </c>
      <c r="F236" s="17" t="inlineStr">
        <is>
          <t>requirePlatformPermission — quyền phạm vi nền tảng</t>
        </is>
      </c>
      <c r="G236" s="17" t="inlineStr">
        <is>
          <t>chủ sở hữu tổ chức KHÔNG có quyền nền tảng nào</t>
        </is>
      </c>
      <c r="H236" s="17" t="inlineStr">
        <is>
          <t>org_owner_khong_co_quyen_nen_tang(Permission)[3]</t>
        </is>
      </c>
      <c r="I236" s="16" t="inlineStr">
        <is>
          <t>Đạt</t>
        </is>
      </c>
      <c r="J236" s="16" t="n">
        <v>0.004</v>
      </c>
    </row>
    <row r="237">
      <c r="A237" s="16" t="n">
        <v>233</v>
      </c>
      <c r="B237" s="16" t="inlineStr">
        <is>
          <t>Backend</t>
        </is>
      </c>
      <c r="C237" s="17" t="inlineStr">
        <is>
          <t>starter-security</t>
        </is>
      </c>
      <c r="D237" s="16" t="inlineStr">
        <is>
          <t>Unit</t>
        </is>
      </c>
      <c r="E237" s="17" t="inlineStr">
        <is>
          <t>TenantContextTest › PlatformPermission</t>
        </is>
      </c>
      <c r="F237" s="17" t="inlineStr">
        <is>
          <t>requirePlatformPermission — quyền phạm vi nền tảng</t>
        </is>
      </c>
      <c r="G237" s="17" t="inlineStr">
        <is>
          <t>chủ sở hữu tổ chức KHÔNG có quyền nền tảng nào</t>
        </is>
      </c>
      <c r="H237" s="17" t="inlineStr">
        <is>
          <t>org_owner_khong_co_quyen_nen_tang(Permission)[4]</t>
        </is>
      </c>
      <c r="I237" s="16" t="inlineStr">
        <is>
          <t>Đạt</t>
        </is>
      </c>
      <c r="J237" s="16" t="n">
        <v>0.003</v>
      </c>
    </row>
    <row r="238">
      <c r="A238" s="16" t="n">
        <v>234</v>
      </c>
      <c r="B238" s="16" t="inlineStr">
        <is>
          <t>Backend</t>
        </is>
      </c>
      <c r="C238" s="17" t="inlineStr">
        <is>
          <t>starter-security</t>
        </is>
      </c>
      <c r="D238" s="16" t="inlineStr">
        <is>
          <t>Unit</t>
        </is>
      </c>
      <c r="E238" s="17" t="inlineStr">
        <is>
          <t>TenantContextTest › PlatformPermission</t>
        </is>
      </c>
      <c r="F238" s="17" t="inlineStr">
        <is>
          <t>requirePlatformPermission — quyền phạm vi nền tảng</t>
        </is>
      </c>
      <c r="G238" s="17" t="inlineStr">
        <is>
          <t>chủ sở hữu tổ chức KHÔNG có quyền nền tảng nào</t>
        </is>
      </c>
      <c r="H238" s="17" t="inlineStr">
        <is>
          <t>org_owner_khong_co_quyen_nen_tang(Permission)[5]</t>
        </is>
      </c>
      <c r="I238" s="16" t="inlineStr">
        <is>
          <t>Đạt</t>
        </is>
      </c>
      <c r="J238" s="16" t="n">
        <v>0.003</v>
      </c>
    </row>
    <row r="239">
      <c r="A239" s="16" t="n">
        <v>235</v>
      </c>
      <c r="B239" s="16" t="inlineStr">
        <is>
          <t>Backend</t>
        </is>
      </c>
      <c r="C239" s="17" t="inlineStr">
        <is>
          <t>starter-security</t>
        </is>
      </c>
      <c r="D239" s="16" t="inlineStr">
        <is>
          <t>Unit</t>
        </is>
      </c>
      <c r="E239" s="17" t="inlineStr">
        <is>
          <t>TenantContextTest › PlatformPermission</t>
        </is>
      </c>
      <c r="F239" s="17" t="inlineStr">
        <is>
          <t>requirePlatformPermission — quyền phạm vi nền tảng</t>
        </is>
      </c>
      <c r="G239" s="17" t="inlineStr">
        <is>
          <t>chủ sở hữu tổ chức KHÔNG có quyền nền tảng nào</t>
        </is>
      </c>
      <c r="H239" s="17" t="inlineStr">
        <is>
          <t>org_owner_khong_co_quyen_nen_tang(Permission)[6]</t>
        </is>
      </c>
      <c r="I239" s="16" t="inlineStr">
        <is>
          <t>Đạt</t>
        </is>
      </c>
      <c r="J239" s="16" t="n">
        <v>0.002</v>
      </c>
    </row>
    <row r="240">
      <c r="A240" s="16" t="n">
        <v>236</v>
      </c>
      <c r="B240" s="16" t="inlineStr">
        <is>
          <t>Backend</t>
        </is>
      </c>
      <c r="C240" s="17" t="inlineStr">
        <is>
          <t>starter-security</t>
        </is>
      </c>
      <c r="D240" s="16" t="inlineStr">
        <is>
          <t>Unit</t>
        </is>
      </c>
      <c r="E240" s="17" t="inlineStr">
        <is>
          <t>TenantContextTest › Scope</t>
        </is>
      </c>
      <c r="F240" s="17" t="inlineStr">
        <is>
          <t>TenantScope</t>
        </is>
      </c>
      <c r="G240" s="17" t="inlineStr">
        <is>
          <t>withActiveTenant giữ nguyên người dùng, membership và cờ superadmin</t>
        </is>
      </c>
      <c r="H240" s="17" t="inlineStr">
        <is>
          <t>with_active_tenant_giu_nguyen_phan_con_lai</t>
        </is>
      </c>
      <c r="I240" s="16" t="inlineStr">
        <is>
          <t>Đạt</t>
        </is>
      </c>
      <c r="J240" s="16" t="n">
        <v>0.011</v>
      </c>
    </row>
    <row r="241">
      <c r="A241" s="16" t="n">
        <v>237</v>
      </c>
      <c r="B241" s="16" t="inlineStr">
        <is>
          <t>Backend</t>
        </is>
      </c>
      <c r="C241" s="17" t="inlineStr">
        <is>
          <t>starter-security</t>
        </is>
      </c>
      <c r="D241" s="16" t="inlineStr">
        <is>
          <t>Unit</t>
        </is>
      </c>
      <c r="E241" s="17" t="inlineStr">
        <is>
          <t>TenantContextTest › Scope</t>
        </is>
      </c>
      <c r="F241" s="17" t="inlineStr">
        <is>
          <t>TenantScope</t>
        </is>
      </c>
      <c r="G241" s="17" t="inlineStr">
        <is>
          <t>memberships được sao chép phòng thủ và không sửa được</t>
        </is>
      </c>
      <c r="H241" s="17" t="inlineStr">
        <is>
          <t>memberships_sao_chep_phong_thu</t>
        </is>
      </c>
      <c r="I241" s="16" t="inlineStr">
        <is>
          <t>Đạt</t>
        </is>
      </c>
      <c r="J241" s="16" t="n">
        <v>0.012</v>
      </c>
    </row>
    <row r="242">
      <c r="A242" s="16" t="n">
        <v>238</v>
      </c>
      <c r="B242" s="16" t="inlineStr">
        <is>
          <t>Backend</t>
        </is>
      </c>
      <c r="C242" s="17" t="inlineStr">
        <is>
          <t>starter-security</t>
        </is>
      </c>
      <c r="D242" s="16" t="inlineStr">
        <is>
          <t>Unit</t>
        </is>
      </c>
      <c r="E242" s="17" t="inlineStr">
        <is>
          <t>TenantFilterTest › Anonymous</t>
        </is>
      </c>
      <c r="F242" s="17" t="inlineStr">
        <is>
          <t>Chưa xác thực</t>
        </is>
      </c>
      <c r="G242" s="17" t="inlineStr">
        <is>
          <t>không có authentication: scope ẩn danh, không gọi identity, request đi tiếp</t>
        </is>
      </c>
      <c r="H242" s="17" t="inlineStr">
        <is>
          <t>khong_co_auth_la_an_danh</t>
        </is>
      </c>
      <c r="I242" s="16" t="inlineStr">
        <is>
          <t>Đạt</t>
        </is>
      </c>
      <c r="J242" s="16" t="n">
        <v>0.002</v>
      </c>
    </row>
    <row r="243">
      <c r="A243" s="16" t="n">
        <v>239</v>
      </c>
      <c r="B243" s="16" t="inlineStr">
        <is>
          <t>Backend</t>
        </is>
      </c>
      <c r="C243" s="17" t="inlineStr">
        <is>
          <t>starter-security</t>
        </is>
      </c>
      <c r="D243" s="16" t="inlineStr">
        <is>
          <t>Unit</t>
        </is>
      </c>
      <c r="E243" s="17" t="inlineStr">
        <is>
          <t>TenantFilterTest › Anonymous</t>
        </is>
      </c>
      <c r="F243" s="17" t="inlineStr">
        <is>
          <t>Chưa xác thực</t>
        </is>
      </c>
      <c r="G243" s="17" t="inlineStr">
        <is>
          <t>authentication không phải JWT: bị bỏ qua, scope ẩn danh</t>
        </is>
      </c>
      <c r="H243" s="17" t="inlineStr">
        <is>
          <t>auth_khong_phai_jwt</t>
        </is>
      </c>
      <c r="I243" s="16" t="inlineStr">
        <is>
          <t>Đạt</t>
        </is>
      </c>
      <c r="J243" s="16" t="n">
        <v>0.005</v>
      </c>
    </row>
    <row r="244">
      <c r="A244" s="16" t="n">
        <v>240</v>
      </c>
      <c r="B244" s="16" t="inlineStr">
        <is>
          <t>Backend</t>
        </is>
      </c>
      <c r="C244" s="17" t="inlineStr">
        <is>
          <t>starter-security</t>
        </is>
      </c>
      <c r="D244" s="16" t="inlineStr">
        <is>
          <t>Unit</t>
        </is>
      </c>
      <c r="E244" s="17" t="inlineStr">
        <is>
          <t>TenantFilterTest › Anonymous</t>
        </is>
      </c>
      <c r="F244" s="17" t="inlineStr">
        <is>
          <t>Chưa xác thực</t>
        </is>
      </c>
      <c r="G244" s="17" t="inlineStr">
        <is>
          <t>identity không trả principal: scope ẩn danh — controller sẽ trả 401</t>
        </is>
      </c>
      <c r="H244" s="17" t="inlineStr">
        <is>
          <t>identity_khong_tra_principal</t>
        </is>
      </c>
      <c r="I244" s="16" t="inlineStr">
        <is>
          <t>Đạt</t>
        </is>
      </c>
      <c r="J244" s="16" t="n">
        <v>0.002</v>
      </c>
    </row>
    <row r="245">
      <c r="A245" s="16" t="n">
        <v>241</v>
      </c>
      <c r="B245" s="16" t="inlineStr">
        <is>
          <t>Backend</t>
        </is>
      </c>
      <c r="C245" s="17" t="inlineStr">
        <is>
          <t>starter-security</t>
        </is>
      </c>
      <c r="D245" s="16" t="inlineStr">
        <is>
          <t>Unit</t>
        </is>
      </c>
      <c r="E245" s="17" t="inlineStr">
        <is>
          <t>TenantFilterTest › ClaimsMapping</t>
        </is>
      </c>
      <c r="F245" s="17" t="inlineStr">
        <is>
          <t>Claims gửi sang identity</t>
        </is>
      </c>
      <c r="G245" s="17" t="inlineStr">
        <is>
          <t>sub, email, name, sid, iat đi đủ</t>
        </is>
      </c>
      <c r="H245" s="17" t="inlineStr">
        <is>
          <t>claims_di_du</t>
        </is>
      </c>
      <c r="I245" s="16" t="inlineStr">
        <is>
          <t>Đạt</t>
        </is>
      </c>
      <c r="J245" s="16" t="n">
        <v>0.016</v>
      </c>
    </row>
    <row r="246">
      <c r="A246" s="16" t="n">
        <v>242</v>
      </c>
      <c r="B246" s="16" t="inlineStr">
        <is>
          <t>Backend</t>
        </is>
      </c>
      <c r="C246" s="17" t="inlineStr">
        <is>
          <t>starter-security</t>
        </is>
      </c>
      <c r="D246" s="16" t="inlineStr">
        <is>
          <t>Unit</t>
        </is>
      </c>
      <c r="E246" s="17" t="inlineStr">
        <is>
          <t>TenantFilterTest › ClaimsMapping</t>
        </is>
      </c>
      <c r="F246" s="17" t="inlineStr">
        <is>
          <t>Claims gửi sang identity</t>
        </is>
      </c>
      <c r="G246" s="17" t="inlineStr">
        <is>
          <t>không có claim name: dùng preferred_username</t>
        </is>
      </c>
      <c r="H246" s="17" t="inlineStr">
        <is>
          <t>khong_co_name_dung_preferred_username</t>
        </is>
      </c>
      <c r="I246" s="16" t="inlineStr">
        <is>
          <t>Đạt</t>
        </is>
      </c>
      <c r="J246" s="16" t="n">
        <v>0.004</v>
      </c>
    </row>
    <row r="247">
      <c r="A247" s="16" t="n">
        <v>243</v>
      </c>
      <c r="B247" s="16" t="inlineStr">
        <is>
          <t>Backend</t>
        </is>
      </c>
      <c r="C247" s="17" t="inlineStr">
        <is>
          <t>starter-security</t>
        </is>
      </c>
      <c r="D247" s="16" t="inlineStr">
        <is>
          <t>Unit</t>
        </is>
      </c>
      <c r="E247" s="17" t="inlineStr">
        <is>
          <t>TenantFilterTest › Cleanup</t>
        </is>
      </c>
      <c r="F247" s="17" t="inlineStr">
        <is>
          <t>Dọn ngữ cảnh</t>
        </is>
      </c>
      <c r="G247" s="17" t="inlineStr">
        <is>
          <t>sau request, TenantContext về ẩn danh</t>
        </is>
      </c>
      <c r="H247" s="17" t="inlineStr">
        <is>
          <t>sau_request_ve_an_danh</t>
        </is>
      </c>
      <c r="I247" s="16" t="inlineStr">
        <is>
          <t>Đạt</t>
        </is>
      </c>
      <c r="J247" s="16" t="n">
        <v>0.003</v>
      </c>
    </row>
    <row r="248">
      <c r="A248" s="16" t="n">
        <v>244</v>
      </c>
      <c r="B248" s="16" t="inlineStr">
        <is>
          <t>Backend</t>
        </is>
      </c>
      <c r="C248" s="17" t="inlineStr">
        <is>
          <t>starter-security</t>
        </is>
      </c>
      <c r="D248" s="16" t="inlineStr">
        <is>
          <t>Unit</t>
        </is>
      </c>
      <c r="E248" s="17" t="inlineStr">
        <is>
          <t>TenantFilterTest › Cleanup</t>
        </is>
      </c>
      <c r="F248" s="17" t="inlineStr">
        <is>
          <t>Dọn ngữ cảnh</t>
        </is>
      </c>
      <c r="G248" s="17" t="inlineStr">
        <is>
          <t>controller ném lỗi: TenantContext vẫn được dọn</t>
        </is>
      </c>
      <c r="H248" s="17" t="inlineStr">
        <is>
          <t>loi_van_don</t>
        </is>
      </c>
      <c r="I248" s="16" t="inlineStr">
        <is>
          <t>Đạt</t>
        </is>
      </c>
      <c r="J248" s="16" t="n">
        <v>0.005</v>
      </c>
    </row>
    <row r="249">
      <c r="A249" s="16" t="n">
        <v>245</v>
      </c>
      <c r="B249" s="16" t="inlineStr">
        <is>
          <t>Backend</t>
        </is>
      </c>
      <c r="C249" s="17" t="inlineStr">
        <is>
          <t>starter-security</t>
        </is>
      </c>
      <c r="D249" s="16" t="inlineStr">
        <is>
          <t>Unit</t>
        </is>
      </c>
      <c r="E249" s="17" t="inlineStr">
        <is>
          <t>TenantFilterTest › NeverTrustClient</t>
        </is>
      </c>
      <c r="F249" s="17" t="inlineStr">
        <is>
          <t>Không bao giờ tin tổ chức do client tự khai</t>
        </is>
      </c>
      <c r="G249" s="17" t="inlineStr">
        <is>
          <t>claim superAdmin/roles tự nhét trong JWT không cấp quyền — chỉ identity quyết định</t>
        </is>
      </c>
      <c r="H249" s="17" t="inlineStr">
        <is>
          <t>claim_tu_nhet_khong_cap_quyen</t>
        </is>
      </c>
      <c r="I249" s="16" t="inlineStr">
        <is>
          <t>Đạt</t>
        </is>
      </c>
      <c r="J249" s="16" t="n">
        <v>0.006</v>
      </c>
    </row>
    <row r="250">
      <c r="A250" s="16" t="n">
        <v>246</v>
      </c>
      <c r="B250" s="16" t="inlineStr">
        <is>
          <t>Backend</t>
        </is>
      </c>
      <c r="C250" s="17" t="inlineStr">
        <is>
          <t>starter-security</t>
        </is>
      </c>
      <c r="D250" s="16" t="inlineStr">
        <is>
          <t>Unit</t>
        </is>
      </c>
      <c r="E250" s="17" t="inlineStr">
        <is>
          <t>TenantFilterTest › NeverTrustClient</t>
        </is>
      </c>
      <c r="F250" s="17" t="inlineStr">
        <is>
          <t>Không bao giờ tin tổ chức do client tự khai</t>
        </is>
      </c>
      <c r="G250" s="17" t="inlineStr">
        <is>
          <t>header X-Organization-Id trỏ sang tổ chức khác: bị bỏ qua</t>
        </is>
      </c>
      <c r="H250" s="17" t="inlineStr">
        <is>
          <t>header_to_chuc_bi_bo_qua</t>
        </is>
      </c>
      <c r="I250" s="16" t="inlineStr">
        <is>
          <t>Đạt</t>
        </is>
      </c>
      <c r="J250" s="16" t="n">
        <v>0.005</v>
      </c>
    </row>
    <row r="251">
      <c r="A251" s="16" t="n">
        <v>247</v>
      </c>
      <c r="B251" s="16" t="inlineStr">
        <is>
          <t>Backend</t>
        </is>
      </c>
      <c r="C251" s="17" t="inlineStr">
        <is>
          <t>starter-security</t>
        </is>
      </c>
      <c r="D251" s="16" t="inlineStr">
        <is>
          <t>Unit</t>
        </is>
      </c>
      <c r="E251" s="17" t="inlineStr">
        <is>
          <t>TenantFilterTest › NeverTrustClient</t>
        </is>
      </c>
      <c r="F251" s="17" t="inlineStr">
        <is>
          <t>Không bao giờ tin tổ chức do client tự khai</t>
        </is>
      </c>
      <c r="G251" s="17" t="inlineStr">
        <is>
          <t>query organizationId trỏ sang tổ chức khác: bị bỏ qua</t>
        </is>
      </c>
      <c r="H251" s="17" t="inlineStr">
        <is>
          <t>query_to_chuc_bi_bo_qua</t>
        </is>
      </c>
      <c r="I251" s="16" t="inlineStr">
        <is>
          <t>Đạt</t>
        </is>
      </c>
      <c r="J251" s="16" t="n">
        <v>0.163</v>
      </c>
    </row>
    <row r="252">
      <c r="A252" s="16" t="n">
        <v>248</v>
      </c>
      <c r="B252" s="16" t="inlineStr">
        <is>
          <t>Backend</t>
        </is>
      </c>
      <c r="C252" s="17" t="inlineStr">
        <is>
          <t>starter-security</t>
        </is>
      </c>
      <c r="D252" s="16" t="inlineStr">
        <is>
          <t>Unit</t>
        </is>
      </c>
      <c r="E252" s="17" t="inlineStr">
        <is>
          <t>TenantFilterTest › NoOrganizationInPath</t>
        </is>
      </c>
      <c r="F252" s="17" t="inlineStr">
        <is>
          <t>Route không mang tổ chức</t>
        </is>
      </c>
      <c r="G252" s="17" t="inlineStr">
        <is>
          <t>route nền tảng /v1/platform/organizations/{id}: superadmin đi tiếp, không có activeTenant</t>
        </is>
      </c>
      <c r="H252" s="17" t="inlineStr">
        <is>
          <t>route_nen_tang_cho_superadmin</t>
        </is>
      </c>
      <c r="I252" s="16" t="inlineStr">
        <is>
          <t>Đạt</t>
        </is>
      </c>
      <c r="J252" s="16" t="n">
        <v>0.007</v>
      </c>
    </row>
    <row r="253">
      <c r="A253" s="16" t="n">
        <v>249</v>
      </c>
      <c r="B253" s="16" t="inlineStr">
        <is>
          <t>Backend</t>
        </is>
      </c>
      <c r="C253" s="17" t="inlineStr">
        <is>
          <t>starter-security</t>
        </is>
      </c>
      <c r="D253" s="16" t="inlineStr">
        <is>
          <t>Unit</t>
        </is>
      </c>
      <c r="E253" s="17" t="inlineStr">
        <is>
          <t>TenantFilterTest › NoOrganizationInPath</t>
        </is>
      </c>
      <c r="F253" s="17" t="inlineStr">
        <is>
          <t>Route không mang tổ chức</t>
        </is>
      </c>
      <c r="G253" s="17" t="inlineStr">
        <is>
          <t>route nền tảng với người thường: đi tiếp nhưng KHÔNG nhận tổ chức trên đường dẫn</t>
        </is>
      </c>
      <c r="H253" s="17" t="inlineStr">
        <is>
          <t>route_nen_tang_nguoi_thuong_khong_nhan_to_chuc</t>
        </is>
      </c>
      <c r="I253" s="16" t="inlineStr">
        <is>
          <t>Đạt</t>
        </is>
      </c>
      <c r="J253" s="16" t="n">
        <v>0.004</v>
      </c>
    </row>
    <row r="254">
      <c r="A254" s="16" t="n">
        <v>250</v>
      </c>
      <c r="B254" s="16" t="inlineStr">
        <is>
          <t>Backend</t>
        </is>
      </c>
      <c r="C254" s="17" t="inlineStr">
        <is>
          <t>starter-security</t>
        </is>
      </c>
      <c r="D254" s="16" t="inlineStr">
        <is>
          <t>Unit</t>
        </is>
      </c>
      <c r="E254" s="17" t="inlineStr">
        <is>
          <t>TenantFilterTest › NoOrganizationInPath</t>
        </is>
      </c>
      <c r="F254" s="17" t="inlineStr">
        <is>
          <t>Route không mang tổ chức</t>
        </is>
      </c>
      <c r="G254" s="17" t="inlineStr">
        <is>
          <t>chỉ thuộc một tổ chức: tổ chức đó là activeTenant</t>
        </is>
      </c>
      <c r="H254" s="17" t="inlineStr">
        <is>
          <t>mot_to_chuc_tu_chon</t>
        </is>
      </c>
      <c r="I254" s="16" t="inlineStr">
        <is>
          <t>Đạt</t>
        </is>
      </c>
      <c r="J254" s="16" t="n">
        <v>0.002</v>
      </c>
    </row>
    <row r="255">
      <c r="A255" s="16" t="n">
        <v>251</v>
      </c>
      <c r="B255" s="16" t="inlineStr">
        <is>
          <t>Backend</t>
        </is>
      </c>
      <c r="C255" s="17" t="inlineStr">
        <is>
          <t>starter-security</t>
        </is>
      </c>
      <c r="D255" s="16" t="inlineStr">
        <is>
          <t>Unit</t>
        </is>
      </c>
      <c r="E255" s="17" t="inlineStr">
        <is>
          <t>TenantFilterTest › NoOrganizationInPath</t>
        </is>
      </c>
      <c r="F255" s="17" t="inlineStr">
        <is>
          <t>Route không mang tổ chức</t>
        </is>
      </c>
      <c r="G255" s="17" t="inlineStr">
        <is>
          <t>thuộc nhiều tổ chức: không đoán, activeTenant null</t>
        </is>
      </c>
      <c r="H255" s="17" t="inlineStr">
        <is>
          <t>nhieu_to_chuc_khong_doan</t>
        </is>
      </c>
      <c r="I255" s="16" t="inlineStr">
        <is>
          <t>Đạt</t>
        </is>
      </c>
      <c r="J255" s="16" t="n">
        <v>0.006</v>
      </c>
    </row>
    <row r="256">
      <c r="A256" s="16" t="n">
        <v>252</v>
      </c>
      <c r="B256" s="16" t="inlineStr">
        <is>
          <t>Backend</t>
        </is>
      </c>
      <c r="C256" s="17" t="inlineStr">
        <is>
          <t>starter-security</t>
        </is>
      </c>
      <c r="D256" s="16" t="inlineStr">
        <is>
          <t>Unit</t>
        </is>
      </c>
      <c r="E256" s="17" t="inlineStr">
        <is>
          <t>TenantFilterTest › OrganizationFromPath</t>
        </is>
      </c>
      <c r="F256" s="17" t="inlineStr">
        <is>
          <t>Tổ chức trên đường dẫn</t>
        </is>
      </c>
      <c r="G256" s="17" t="inlineStr">
        <is>
          <t>superadmin trên route /organizations/{id} vẫn phải là thành viên thật: 404</t>
        </is>
      </c>
      <c r="H256" s="17" t="inlineStr">
        <is>
          <t>superadmin_tren_route_to_chuc_van_404</t>
        </is>
      </c>
      <c r="I256" s="16" t="inlineStr">
        <is>
          <t>Đạt</t>
        </is>
      </c>
      <c r="J256" s="16" t="n">
        <v>0.002</v>
      </c>
    </row>
    <row r="257">
      <c r="A257" s="16" t="n">
        <v>253</v>
      </c>
      <c r="B257" s="16" t="inlineStr">
        <is>
          <t>Backend</t>
        </is>
      </c>
      <c r="C257" s="17" t="inlineStr">
        <is>
          <t>starter-security</t>
        </is>
      </c>
      <c r="D257" s="16" t="inlineStr">
        <is>
          <t>Unit</t>
        </is>
      </c>
      <c r="E257" s="17" t="inlineStr">
        <is>
          <t>TenantFilterTest › OrganizationFromPath</t>
        </is>
      </c>
      <c r="F257" s="17" t="inlineStr">
        <is>
          <t>Tổ chức trên đường dẫn</t>
        </is>
      </c>
      <c r="G257" s="17" t="inlineStr">
        <is>
          <t>không phải thành viên: 404 và request KHÔNG tới controller</t>
        </is>
      </c>
      <c r="H257" s="17" t="inlineStr">
        <is>
          <t>nguoi_ngoai_nhan_404</t>
        </is>
      </c>
      <c r="I257" s="16" t="inlineStr">
        <is>
          <t>Đạt</t>
        </is>
      </c>
      <c r="J257" s="16" t="n">
        <v>0.004</v>
      </c>
    </row>
    <row r="258">
      <c r="A258" s="16" t="n">
        <v>254</v>
      </c>
      <c r="B258" s="16" t="inlineStr">
        <is>
          <t>Backend</t>
        </is>
      </c>
      <c r="C258" s="17" t="inlineStr">
        <is>
          <t>starter-security</t>
        </is>
      </c>
      <c r="D258" s="16" t="inlineStr">
        <is>
          <t>Unit</t>
        </is>
      </c>
      <c r="E258" s="17" t="inlineStr">
        <is>
          <t>TenantFilterTest › OrganizationFromPath</t>
        </is>
      </c>
      <c r="F258" s="17" t="inlineStr">
        <is>
          <t>Tổ chức trên đường dẫn</t>
        </is>
      </c>
      <c r="G258" s="17" t="inlineStr">
        <is>
          <t>đoạn tổ chức không phải UUID: 404 chứ không phải 500</t>
        </is>
      </c>
      <c r="H258" s="17" t="inlineStr">
        <is>
          <t>doan_khong_phai_uuid_404</t>
        </is>
      </c>
      <c r="I258" s="16" t="inlineStr">
        <is>
          <t>Đạt</t>
        </is>
      </c>
      <c r="J258" s="16" t="n">
        <v>0.003</v>
      </c>
    </row>
    <row r="259">
      <c r="A259" s="16" t="n">
        <v>255</v>
      </c>
      <c r="B259" s="16" t="inlineStr">
        <is>
          <t>Backend</t>
        </is>
      </c>
      <c r="C259" s="17" t="inlineStr">
        <is>
          <t>starter-security</t>
        </is>
      </c>
      <c r="D259" s="16" t="inlineStr">
        <is>
          <t>Unit</t>
        </is>
      </c>
      <c r="E259" s="17" t="inlineStr">
        <is>
          <t>TenantFilterTest › OrganizationFromPath</t>
        </is>
      </c>
      <c r="F259" s="17" t="inlineStr">
        <is>
          <t>Tổ chức trên đường dẫn</t>
        </is>
      </c>
      <c r="G259" s="17" t="inlineStr">
        <is>
          <t>UUID mã hoá phần trăm: 404, không rơi về nhánh 'chỉ một tổ chức'</t>
        </is>
      </c>
      <c r="H259" s="17" t="inlineStr">
        <is>
          <t>ma_hoa_phan_tram_bi_chan</t>
        </is>
      </c>
      <c r="I259" s="16" t="inlineStr">
        <is>
          <t>Đạt</t>
        </is>
      </c>
      <c r="J259" s="16" t="n">
        <v>0.003</v>
      </c>
    </row>
    <row r="260">
      <c r="A260" s="16" t="n">
        <v>256</v>
      </c>
      <c r="B260" s="16" t="inlineStr">
        <is>
          <t>Backend</t>
        </is>
      </c>
      <c r="C260" s="17" t="inlineStr">
        <is>
          <t>starter-security</t>
        </is>
      </c>
      <c r="D260" s="16" t="inlineStr">
        <is>
          <t>Unit</t>
        </is>
      </c>
      <c r="E260" s="17" t="inlineStr">
        <is>
          <t>TenantFilterTest › OrganizationFromPath</t>
        </is>
      </c>
      <c r="F260" s="17" t="inlineStr">
        <is>
          <t>Tổ chức trên đường dẫn</t>
        </is>
      </c>
      <c r="G260" s="17" t="inlineStr">
        <is>
          <t>thành viên của tổ chức trên đường dẫn: tổ chức đó thành activeTenant</t>
        </is>
      </c>
      <c r="H260" s="17" t="inlineStr">
        <is>
          <t>thanh_vien_duoc_chon_to_chuc</t>
        </is>
      </c>
      <c r="I260" s="16" t="inlineStr">
        <is>
          <t>Đạt</t>
        </is>
      </c>
      <c r="J260" s="16" t="n">
        <v>0.002</v>
      </c>
    </row>
    <row r="261">
      <c r="A261" s="16" t="n">
        <v>257</v>
      </c>
      <c r="B261" s="16" t="inlineStr">
        <is>
          <t>Backend</t>
        </is>
      </c>
      <c r="C261" s="17" t="inlineStr">
        <is>
          <t>starter-security</t>
        </is>
      </c>
      <c r="D261" s="16" t="inlineStr">
        <is>
          <t>Unit</t>
        </is>
      </c>
      <c r="E261" s="17" t="inlineStr">
        <is>
          <t>TenantPathTest</t>
        </is>
      </c>
      <c r="F261" s="17" t="inlineStr"/>
      <c r="G261" s="17" t="inlineStr">
        <is>
          <t>uri null: absent, không ném NPE từ trong filter</t>
        </is>
      </c>
      <c r="H261" s="17" t="inlineStr">
        <is>
          <t>uri_null_la_absent</t>
        </is>
      </c>
      <c r="I261" s="16" t="inlineStr">
        <is>
          <t>Đạt</t>
        </is>
      </c>
      <c r="J261" s="16" t="n">
        <v>0</v>
      </c>
    </row>
    <row r="262">
      <c r="A262" s="16" t="n">
        <v>258</v>
      </c>
      <c r="B262" s="16" t="inlineStr">
        <is>
          <t>Backend</t>
        </is>
      </c>
      <c r="C262" s="17" t="inlineStr">
        <is>
          <t>starter-security</t>
        </is>
      </c>
      <c r="D262" s="16" t="inlineStr">
        <is>
          <t>Unit</t>
        </is>
      </c>
      <c r="E262" s="17" t="inlineStr">
        <is>
          <t>TenantPathTest</t>
        </is>
      </c>
      <c r="F262" s="17" t="inlineStr"/>
      <c r="G262" s="17" t="inlineStr">
        <is>
          <t>UUID viết hoa vẫn là cùng tổ chức</t>
        </is>
      </c>
      <c r="H262" s="17" t="inlineStr">
        <is>
          <t>uuid_viet_hoa_cung_to_chuc</t>
        </is>
      </c>
      <c r="I262" s="16" t="inlineStr">
        <is>
          <t>Đạt</t>
        </is>
      </c>
      <c r="J262" s="16" t="n">
        <v>0.004</v>
      </c>
    </row>
    <row r="263">
      <c r="A263" s="16" t="n">
        <v>259</v>
      </c>
      <c r="B263" s="16" t="inlineStr">
        <is>
          <t>Backend</t>
        </is>
      </c>
      <c r="C263" s="17" t="inlineStr">
        <is>
          <t>starter-security</t>
        </is>
      </c>
      <c r="D263" s="16" t="inlineStr">
        <is>
          <t>Unit</t>
        </is>
      </c>
      <c r="E263" s="17" t="inlineStr">
        <is>
          <t>TenantPathTest</t>
        </is>
      </c>
      <c r="F263" s="17" t="inlineStr"/>
      <c r="G263" s="17" t="inlineStr">
        <is>
          <t>đoạn tổ chức có mặt nhưng không phải UUID chuẩn: malformed để người gọi từ chối</t>
        </is>
      </c>
      <c r="H263" s="17" t="inlineStr">
        <is>
          <t>bien_the_khong_chuan_la_malformed(String)[1]</t>
        </is>
      </c>
      <c r="I263" s="16" t="inlineStr">
        <is>
          <t>Đạt</t>
        </is>
      </c>
      <c r="J263" s="16" t="n">
        <v>0.002</v>
      </c>
    </row>
    <row r="264">
      <c r="A264" s="16" t="n">
        <v>260</v>
      </c>
      <c r="B264" s="16" t="inlineStr">
        <is>
          <t>Backend</t>
        </is>
      </c>
      <c r="C264" s="17" t="inlineStr">
        <is>
          <t>starter-security</t>
        </is>
      </c>
      <c r="D264" s="16" t="inlineStr">
        <is>
          <t>Unit</t>
        </is>
      </c>
      <c r="E264" s="17" t="inlineStr">
        <is>
          <t>TenantPathTest</t>
        </is>
      </c>
      <c r="F264" s="17" t="inlineStr"/>
      <c r="G264" s="17" t="inlineStr">
        <is>
          <t>đoạn tổ chức có mặt nhưng không phải UUID chuẩn: malformed để người gọi từ chối</t>
        </is>
      </c>
      <c r="H264" s="17" t="inlineStr">
        <is>
          <t>bien_the_khong_chuan_la_malformed(String)[2]</t>
        </is>
      </c>
      <c r="I264" s="16" t="inlineStr">
        <is>
          <t>Đạt</t>
        </is>
      </c>
      <c r="J264" s="16" t="n">
        <v>0.002</v>
      </c>
    </row>
    <row r="265">
      <c r="A265" s="16" t="n">
        <v>261</v>
      </c>
      <c r="B265" s="16" t="inlineStr">
        <is>
          <t>Backend</t>
        </is>
      </c>
      <c r="C265" s="17" t="inlineStr">
        <is>
          <t>starter-security</t>
        </is>
      </c>
      <c r="D265" s="16" t="inlineStr">
        <is>
          <t>Unit</t>
        </is>
      </c>
      <c r="E265" s="17" t="inlineStr">
        <is>
          <t>TenantPathTest</t>
        </is>
      </c>
      <c r="F265" s="17" t="inlineStr"/>
      <c r="G265" s="17" t="inlineStr">
        <is>
          <t>đoạn tổ chức có mặt nhưng không phải UUID chuẩn: malformed để người gọi từ chối</t>
        </is>
      </c>
      <c r="H265" s="17" t="inlineStr">
        <is>
          <t>bien_the_khong_chuan_la_malformed(String)[3]</t>
        </is>
      </c>
      <c r="I265" s="16" t="inlineStr">
        <is>
          <t>Đạt</t>
        </is>
      </c>
      <c r="J265" s="16" t="n">
        <v>0.002</v>
      </c>
    </row>
    <row r="266">
      <c r="A266" s="16" t="n">
        <v>262</v>
      </c>
      <c r="B266" s="16" t="inlineStr">
        <is>
          <t>Backend</t>
        </is>
      </c>
      <c r="C266" s="17" t="inlineStr">
        <is>
          <t>starter-security</t>
        </is>
      </c>
      <c r="D266" s="16" t="inlineStr">
        <is>
          <t>Unit</t>
        </is>
      </c>
      <c r="E266" s="17" t="inlineStr">
        <is>
          <t>TenantPathTest</t>
        </is>
      </c>
      <c r="F266" s="17" t="inlineStr"/>
      <c r="G266" s="17" t="inlineStr">
        <is>
          <t>đoạn tổ chức có mặt nhưng không phải UUID chuẩn: malformed để người gọi từ chối</t>
        </is>
      </c>
      <c r="H266" s="17" t="inlineStr">
        <is>
          <t>bien_the_khong_chuan_la_malformed(String)[4]</t>
        </is>
      </c>
      <c r="I266" s="16" t="inlineStr">
        <is>
          <t>Đạt</t>
        </is>
      </c>
      <c r="J266" s="16" t="n">
        <v>0.001</v>
      </c>
    </row>
    <row r="267">
      <c r="A267" s="16" t="n">
        <v>263</v>
      </c>
      <c r="B267" s="16" t="inlineStr">
        <is>
          <t>Backend</t>
        </is>
      </c>
      <c r="C267" s="17" t="inlineStr">
        <is>
          <t>starter-security</t>
        </is>
      </c>
      <c r="D267" s="16" t="inlineStr">
        <is>
          <t>Unit</t>
        </is>
      </c>
      <c r="E267" s="17" t="inlineStr">
        <is>
          <t>TenantPathTest</t>
        </is>
      </c>
      <c r="F267" s="17" t="inlineStr"/>
      <c r="G267" s="17" t="inlineStr">
        <is>
          <t>đoạn tổ chức có mặt nhưng không phải UUID chuẩn: malformed để người gọi từ chối</t>
        </is>
      </c>
      <c r="H267" s="17" t="inlineStr">
        <is>
          <t>bien_the_khong_chuan_la_malformed(String)[5]</t>
        </is>
      </c>
      <c r="I267" s="16" t="inlineStr">
        <is>
          <t>Đạt</t>
        </is>
      </c>
      <c r="J267" s="16" t="n">
        <v>0.002</v>
      </c>
    </row>
    <row r="268">
      <c r="A268" s="16" t="n">
        <v>264</v>
      </c>
      <c r="B268" s="16" t="inlineStr">
        <is>
          <t>Backend</t>
        </is>
      </c>
      <c r="C268" s="17" t="inlineStr">
        <is>
          <t>starter-security</t>
        </is>
      </c>
      <c r="D268" s="16" t="inlineStr">
        <is>
          <t>Unit</t>
        </is>
      </c>
      <c r="E268" s="17" t="inlineStr">
        <is>
          <t>TenantPathTest</t>
        </is>
      </c>
      <c r="F268" s="17" t="inlineStr"/>
      <c r="G268" s="17" t="inlineStr">
        <is>
          <t>đoạn tổ chức có mặt nhưng không phải UUID chuẩn: malformed để người gọi từ chối</t>
        </is>
      </c>
      <c r="H268" s="17" t="inlineStr">
        <is>
          <t>bien_the_khong_chuan_la_malformed(String)[6]</t>
        </is>
      </c>
      <c r="I268" s="16" t="inlineStr">
        <is>
          <t>Đạt</t>
        </is>
      </c>
      <c r="J268" s="16" t="n">
        <v>0.001</v>
      </c>
    </row>
    <row r="269">
      <c r="A269" s="16" t="n">
        <v>265</v>
      </c>
      <c r="B269" s="16" t="inlineStr">
        <is>
          <t>Backend</t>
        </is>
      </c>
      <c r="C269" s="17" t="inlineStr">
        <is>
          <t>starter-security</t>
        </is>
      </c>
      <c r="D269" s="16" t="inlineStr">
        <is>
          <t>Unit</t>
        </is>
      </c>
      <c r="E269" s="17" t="inlineStr">
        <is>
          <t>TenantPathTest</t>
        </is>
      </c>
      <c r="F269" s="17" t="inlineStr"/>
      <c r="G269" s="17" t="inlineStr">
        <is>
          <t>đoạn tổ chức có mặt nhưng không phải UUID chuẩn: malformed để người gọi từ chối</t>
        </is>
      </c>
      <c r="H269" s="17" t="inlineStr">
        <is>
          <t>bien_the_khong_chuan_la_malformed(String)[7]</t>
        </is>
      </c>
      <c r="I269" s="16" t="inlineStr">
        <is>
          <t>Đạt</t>
        </is>
      </c>
      <c r="J269" s="16" t="n">
        <v>0.003</v>
      </c>
    </row>
    <row r="270">
      <c r="A270" s="16" t="n">
        <v>266</v>
      </c>
      <c r="B270" s="16" t="inlineStr">
        <is>
          <t>Backend</t>
        </is>
      </c>
      <c r="C270" s="17" t="inlineStr">
        <is>
          <t>starter-security</t>
        </is>
      </c>
      <c r="D270" s="16" t="inlineStr">
        <is>
          <t>Unit</t>
        </is>
      </c>
      <c r="E270" s="17" t="inlineStr">
        <is>
          <t>TenantPathTest</t>
        </is>
      </c>
      <c r="F270" s="17" t="inlineStr"/>
      <c r="G270" s="17" t="inlineStr">
        <is>
          <t>đoạn tổ chức có mặt nhưng không phải UUID chuẩn: malformed để người gọi từ chối</t>
        </is>
      </c>
      <c r="H270" s="17" t="inlineStr">
        <is>
          <t>bien_the_khong_chuan_la_malformed(String)[8]</t>
        </is>
      </c>
      <c r="I270" s="16" t="inlineStr">
        <is>
          <t>Đạt</t>
        </is>
      </c>
      <c r="J270" s="16" t="n">
        <v>0.002</v>
      </c>
    </row>
    <row r="271">
      <c r="A271" s="16" t="n">
        <v>267</v>
      </c>
      <c r="B271" s="16" t="inlineStr">
        <is>
          <t>Backend</t>
        </is>
      </c>
      <c r="C271" s="17" t="inlineStr">
        <is>
          <t>starter-security</t>
        </is>
      </c>
      <c r="D271" s="16" t="inlineStr">
        <is>
          <t>Unit</t>
        </is>
      </c>
      <c r="E271" s="17" t="inlineStr">
        <is>
          <t>TenantPathTest</t>
        </is>
      </c>
      <c r="F271" s="17" t="inlineStr"/>
      <c r="G271" s="17" t="inlineStr">
        <is>
          <t>đoạn tổ chức có mặt nhưng không phải UUID chuẩn: malformed để người gọi từ chối</t>
        </is>
      </c>
      <c r="H271" s="17" t="inlineStr">
        <is>
          <t>bien_the_khong_chuan_la_malformed(String)[9]</t>
        </is>
      </c>
      <c r="I271" s="16" t="inlineStr">
        <is>
          <t>Đạt</t>
        </is>
      </c>
      <c r="J271" s="16" t="n">
        <v>0.005</v>
      </c>
    </row>
    <row r="272">
      <c r="A272" s="16" t="n">
        <v>268</v>
      </c>
      <c r="B272" s="16" t="inlineStr">
        <is>
          <t>Backend</t>
        </is>
      </c>
      <c r="C272" s="17" t="inlineStr">
        <is>
          <t>starter-security</t>
        </is>
      </c>
      <c r="D272" s="16" t="inlineStr">
        <is>
          <t>Unit</t>
        </is>
      </c>
      <c r="E272" s="17" t="inlineStr">
        <is>
          <t>TenantPathTest</t>
        </is>
      </c>
      <c r="F272" s="17" t="inlineStr"/>
      <c r="G272" s="17" t="inlineStr">
        <is>
          <t>đoạn tổ chức ở cuối đường dẫn, không có gì phía sau</t>
        </is>
      </c>
      <c r="H272" s="17" t="inlineStr">
        <is>
          <t>doan_to_chuc_o_cuoi</t>
        </is>
      </c>
      <c r="I272" s="16" t="inlineStr">
        <is>
          <t>Đạt</t>
        </is>
      </c>
      <c r="J272" s="16" t="n">
        <v>0.001</v>
      </c>
    </row>
    <row r="273">
      <c r="A273" s="16" t="n">
        <v>269</v>
      </c>
      <c r="B273" s="16" t="inlineStr">
        <is>
          <t>Backend</t>
        </is>
      </c>
      <c r="C273" s="17" t="inlineStr">
        <is>
          <t>starter-security</t>
        </is>
      </c>
      <c r="D273" s="16" t="inlineStr">
        <is>
          <t>Unit</t>
        </is>
      </c>
      <c r="E273" s="17" t="inlineStr">
        <is>
          <t>TenantPathTest</t>
        </is>
      </c>
      <c r="F273" s="17" t="inlineStr"/>
      <c r="G273" s="17" t="inlineStr">
        <is>
          <t>route nền tảng /v1/platform/organizations/{id} vẫn được đọc — miễn trừ là việc của filter</t>
        </is>
      </c>
      <c r="H273" s="17" t="inlineStr">
        <is>
          <t>route_nen_tang_van_doc_duoc</t>
        </is>
      </c>
      <c r="I273" s="16" t="inlineStr">
        <is>
          <t>Đạt</t>
        </is>
      </c>
      <c r="J273" s="16" t="n">
        <v>0.001</v>
      </c>
    </row>
    <row r="274">
      <c r="A274" s="16" t="n">
        <v>270</v>
      </c>
      <c r="B274" s="16" t="inlineStr">
        <is>
          <t>Backend</t>
        </is>
      </c>
      <c r="C274" s="17" t="inlineStr">
        <is>
          <t>starter-security</t>
        </is>
      </c>
      <c r="D274" s="16" t="inlineStr">
        <is>
          <t>Unit</t>
        </is>
      </c>
      <c r="E274" s="17" t="inlineStr">
        <is>
          <t>TenantPathTest</t>
        </is>
      </c>
      <c r="F274" s="17" t="inlineStr"/>
      <c r="G274" s="17" t="inlineStr">
        <is>
          <t>hai đoạn tổ chức: lấy đoạn ĐẦU — bộ lọc và bộ chặn quyền luôn đọc cùng một đoạn</t>
        </is>
      </c>
      <c r="H274" s="17" t="inlineStr">
        <is>
          <t>hai_doan_lay_doan_dau</t>
        </is>
      </c>
      <c r="I274" s="16" t="inlineStr">
        <is>
          <t>Đạt</t>
        </is>
      </c>
      <c r="J274" s="16" t="n">
        <v>0.003</v>
      </c>
    </row>
    <row r="275">
      <c r="A275" s="16" t="n">
        <v>271</v>
      </c>
      <c r="B275" s="16" t="inlineStr">
        <is>
          <t>Backend</t>
        </is>
      </c>
      <c r="C275" s="17" t="inlineStr">
        <is>
          <t>starter-security</t>
        </is>
      </c>
      <c r="D275" s="16" t="inlineStr">
        <is>
          <t>Unit</t>
        </is>
      </c>
      <c r="E275" s="17" t="inlineStr">
        <is>
          <t>TenantPathTest</t>
        </is>
      </c>
      <c r="F275" s="17" t="inlineStr"/>
      <c r="G275" s="17" t="inlineStr">
        <is>
          <t>UUID chuẩn trên đường dẫn: present và đọc ra đúng tổ chức</t>
        </is>
      </c>
      <c r="H275" s="17" t="inlineStr">
        <is>
          <t>uuid_chuan_doc_dung_to_chuc</t>
        </is>
      </c>
      <c r="I275" s="16" t="inlineStr">
        <is>
          <t>Đạt</t>
        </is>
      </c>
      <c r="J275" s="16" t="n">
        <v>0.003</v>
      </c>
    </row>
    <row r="276">
      <c r="A276" s="16" t="n">
        <v>272</v>
      </c>
      <c r="B276" s="16" t="inlineStr">
        <is>
          <t>Backend</t>
        </is>
      </c>
      <c r="C276" s="17" t="inlineStr">
        <is>
          <t>starter-security</t>
        </is>
      </c>
      <c r="D276" s="16" t="inlineStr">
        <is>
          <t>Unit</t>
        </is>
      </c>
      <c r="E276" s="17" t="inlineStr">
        <is>
          <t>TenantPathTest</t>
        </is>
      </c>
      <c r="F276" s="17" t="inlineStr"/>
      <c r="G276" s="17" t="inlineStr">
        <is>
          <t>không có đoạn /organizations/{x}: absent, không malformed</t>
        </is>
      </c>
      <c r="H276" s="17" t="inlineStr">
        <is>
          <t>khong_co_doan_to_chuc(String)[1]</t>
        </is>
      </c>
      <c r="I276" s="16" t="inlineStr">
        <is>
          <t>Đạt</t>
        </is>
      </c>
      <c r="J276" s="16" t="n">
        <v>0.003</v>
      </c>
    </row>
    <row r="277">
      <c r="A277" s="16" t="n">
        <v>273</v>
      </c>
      <c r="B277" s="16" t="inlineStr">
        <is>
          <t>Backend</t>
        </is>
      </c>
      <c r="C277" s="17" t="inlineStr">
        <is>
          <t>starter-security</t>
        </is>
      </c>
      <c r="D277" s="16" t="inlineStr">
        <is>
          <t>Unit</t>
        </is>
      </c>
      <c r="E277" s="17" t="inlineStr">
        <is>
          <t>TenantPathTest</t>
        </is>
      </c>
      <c r="F277" s="17" t="inlineStr"/>
      <c r="G277" s="17" t="inlineStr">
        <is>
          <t>không có đoạn /organizations/{x}: absent, không malformed</t>
        </is>
      </c>
      <c r="H277" s="17" t="inlineStr">
        <is>
          <t>khong_co_doan_to_chuc(String)[2]</t>
        </is>
      </c>
      <c r="I277" s="16" t="inlineStr">
        <is>
          <t>Đạt</t>
        </is>
      </c>
      <c r="J277" s="16" t="n">
        <v>0.001</v>
      </c>
    </row>
    <row r="278">
      <c r="A278" s="16" t="n">
        <v>274</v>
      </c>
      <c r="B278" s="16" t="inlineStr">
        <is>
          <t>Backend</t>
        </is>
      </c>
      <c r="C278" s="17" t="inlineStr">
        <is>
          <t>starter-security</t>
        </is>
      </c>
      <c r="D278" s="16" t="inlineStr">
        <is>
          <t>Unit</t>
        </is>
      </c>
      <c r="E278" s="17" t="inlineStr">
        <is>
          <t>TenantPathTest</t>
        </is>
      </c>
      <c r="F278" s="17" t="inlineStr"/>
      <c r="G278" s="17" t="inlineStr">
        <is>
          <t>không có đoạn /organizations/{x}: absent, không malformed</t>
        </is>
      </c>
      <c r="H278" s="17" t="inlineStr">
        <is>
          <t>khong_co_doan_to_chuc(String)[3]</t>
        </is>
      </c>
      <c r="I278" s="16" t="inlineStr">
        <is>
          <t>Đạt</t>
        </is>
      </c>
      <c r="J278" s="16" t="n">
        <v>0.002</v>
      </c>
    </row>
    <row r="279">
      <c r="A279" s="16" t="n">
        <v>275</v>
      </c>
      <c r="B279" s="16" t="inlineStr">
        <is>
          <t>Backend</t>
        </is>
      </c>
      <c r="C279" s="17" t="inlineStr">
        <is>
          <t>starter-security</t>
        </is>
      </c>
      <c r="D279" s="16" t="inlineStr">
        <is>
          <t>Unit</t>
        </is>
      </c>
      <c r="E279" s="17" t="inlineStr">
        <is>
          <t>TenantPathTest</t>
        </is>
      </c>
      <c r="F279" s="17" t="inlineStr"/>
      <c r="G279" s="17" t="inlineStr">
        <is>
          <t>không có đoạn /organizations/{x}: absent, không malformed</t>
        </is>
      </c>
      <c r="H279" s="17" t="inlineStr">
        <is>
          <t>khong_co_doan_to_chuc(String)[4]</t>
        </is>
      </c>
      <c r="I279" s="16" t="inlineStr">
        <is>
          <t>Đạt</t>
        </is>
      </c>
      <c r="J279" s="16" t="n">
        <v>0.005</v>
      </c>
    </row>
    <row r="280">
      <c r="A280" s="16" t="n">
        <v>276</v>
      </c>
      <c r="B280" s="16" t="inlineStr">
        <is>
          <t>Backend</t>
        </is>
      </c>
      <c r="C280" s="17" t="inlineStr">
        <is>
          <t>starter-security</t>
        </is>
      </c>
      <c r="D280" s="16" t="inlineStr">
        <is>
          <t>Unit</t>
        </is>
      </c>
      <c r="E280" s="17" t="inlineStr">
        <is>
          <t>TenantPathTest</t>
        </is>
      </c>
      <c r="F280" s="17" t="inlineStr"/>
      <c r="G280" s="17" t="inlineStr">
        <is>
          <t>không có đoạn /organizations/{x}: absent, không malformed</t>
        </is>
      </c>
      <c r="H280" s="17" t="inlineStr">
        <is>
          <t>khong_co_doan_to_chuc(String)[5]</t>
        </is>
      </c>
      <c r="I280" s="16" t="inlineStr">
        <is>
          <t>Đạt</t>
        </is>
      </c>
      <c r="J280" s="16" t="n">
        <v>0.004</v>
      </c>
    </row>
    <row r="281">
      <c r="A281" s="16" t="n">
        <v>277</v>
      </c>
      <c r="B281" s="16" t="inlineStr">
        <is>
          <t>Backend</t>
        </is>
      </c>
      <c r="C281" s="17" t="inlineStr">
        <is>
          <t>starter-web</t>
        </is>
      </c>
      <c r="D281" s="16" t="inlineStr">
        <is>
          <t>Unit</t>
        </is>
      </c>
      <c r="E281" s="17" t="inlineStr">
        <is>
          <t>CorrelationIdFilterTest</t>
        </is>
      </c>
      <c r="F281" s="17" t="inlineStr"/>
      <c r="G281" s="17" t="inlineStr">
        <is>
          <t>đúng 64 ký tự là biên còn được chấp nhận</t>
        </is>
      </c>
      <c r="H281" s="17" t="inlineStr">
        <is>
          <t>dung_64_ky_tu_duoc_chap_nhan</t>
        </is>
      </c>
      <c r="I281" s="16" t="inlineStr">
        <is>
          <t>Đạt</t>
        </is>
      </c>
      <c r="J281" s="16" t="n">
        <v>0.297</v>
      </c>
    </row>
    <row r="282">
      <c r="A282" s="16" t="n">
        <v>278</v>
      </c>
      <c r="B282" s="16" t="inlineStr">
        <is>
          <t>Backend</t>
        </is>
      </c>
      <c r="C282" s="17" t="inlineStr">
        <is>
          <t>starter-web</t>
        </is>
      </c>
      <c r="D282" s="16" t="inlineStr">
        <is>
          <t>Unit</t>
        </is>
      </c>
      <c r="E282" s="17" t="inlineStr">
        <is>
          <t>CorrelationIdFilterTest</t>
        </is>
      </c>
      <c r="F282" s="17" t="inlineStr"/>
      <c r="G282" s="17" t="inlineStr">
        <is>
          <t>không có header: sinh mã mới 26 ký tự Crockford Base32 và trả lại trong phản hồi</t>
        </is>
      </c>
      <c r="H282" s="17" t="inlineStr">
        <is>
          <t>khong_co_header_thi_sinh_moi</t>
        </is>
      </c>
      <c r="I282" s="16" t="inlineStr">
        <is>
          <t>Đạt</t>
        </is>
      </c>
      <c r="J282" s="16" t="n">
        <v>0.243</v>
      </c>
    </row>
    <row r="283">
      <c r="A283" s="16" t="n">
        <v>279</v>
      </c>
      <c r="B283" s="16" t="inlineStr">
        <is>
          <t>Backend</t>
        </is>
      </c>
      <c r="C283" s="17" t="inlineStr">
        <is>
          <t>starter-web</t>
        </is>
      </c>
      <c r="D283" s="16" t="inlineStr">
        <is>
          <t>Unit</t>
        </is>
      </c>
      <c r="E283" s="17" t="inlineStr">
        <is>
          <t>CorrelationIdFilterTest</t>
        </is>
      </c>
      <c r="F283" s="17" t="inlineStr"/>
      <c r="G283" s="17" t="inlineStr">
        <is>
          <t>sau request, context và MDC được dọn — luồng không mang mã sang request sau</t>
        </is>
      </c>
      <c r="H283" s="17" t="inlineStr">
        <is>
          <t>don_context_sau_request</t>
        </is>
      </c>
      <c r="I283" s="16" t="inlineStr">
        <is>
          <t>Đạt</t>
        </is>
      </c>
      <c r="J283" s="16" t="n">
        <v>0.003</v>
      </c>
    </row>
    <row r="284">
      <c r="A284" s="16" t="n">
        <v>280</v>
      </c>
      <c r="B284" s="16" t="inlineStr">
        <is>
          <t>Backend</t>
        </is>
      </c>
      <c r="C284" s="17" t="inlineStr">
        <is>
          <t>starter-web</t>
        </is>
      </c>
      <c r="D284" s="16" t="inlineStr">
        <is>
          <t>Unit</t>
        </is>
      </c>
      <c r="E284" s="17" t="inlineStr">
        <is>
          <t>CorrelationIdFilterTest</t>
        </is>
      </c>
      <c r="F284" s="17" t="inlineStr"/>
      <c r="G284" s="17" t="inlineStr">
        <is>
          <t>hai request liên tiếp không có header nhận hai mã khác nhau</t>
        </is>
      </c>
      <c r="H284" s="17" t="inlineStr">
        <is>
          <t>hai_request_hai_ma</t>
        </is>
      </c>
      <c r="I284" s="16" t="inlineStr">
        <is>
          <t>Đạt</t>
        </is>
      </c>
      <c r="J284" s="16" t="n">
        <v>0.011</v>
      </c>
    </row>
    <row r="285">
      <c r="A285" s="16" t="n">
        <v>281</v>
      </c>
      <c r="B285" s="16" t="inlineStr">
        <is>
          <t>Backend</t>
        </is>
      </c>
      <c r="C285" s="17" t="inlineStr">
        <is>
          <t>starter-web</t>
        </is>
      </c>
      <c r="D285" s="16" t="inlineStr">
        <is>
          <t>Unit</t>
        </is>
      </c>
      <c r="E285" s="17" t="inlineStr">
        <is>
          <t>CorrelationIdFilterTest</t>
        </is>
      </c>
      <c r="F285" s="17" t="inlineStr"/>
      <c r="G285" s="17" t="inlineStr">
        <is>
          <t>chuỗi filter ném ngoại lệ: ngoại lệ đi tiếp, nhưng context và MDC vẫn được dọn</t>
        </is>
      </c>
      <c r="H285" s="17" t="inlineStr">
        <is>
          <t>don_context_ca_khi_nem_loi</t>
        </is>
      </c>
      <c r="I285" s="16" t="inlineStr">
        <is>
          <t>Đạt</t>
        </is>
      </c>
      <c r="J285" s="16" t="n">
        <v>0.008999999999999999</v>
      </c>
    </row>
    <row r="286">
      <c r="A286" s="16" t="n">
        <v>282</v>
      </c>
      <c r="B286" s="16" t="inlineStr">
        <is>
          <t>Backend</t>
        </is>
      </c>
      <c r="C286" s="17" t="inlineStr">
        <is>
          <t>starter-web</t>
        </is>
      </c>
      <c r="D286" s="16" t="inlineStr">
        <is>
          <t>Unit</t>
        </is>
      </c>
      <c r="E286" s="17" t="inlineStr">
        <is>
          <t>CorrelationIdFilterTest</t>
        </is>
      </c>
      <c r="F286" s="17" t="inlineStr"/>
      <c r="G286" s="17" t="inlineStr">
        <is>
          <t>header trống hoặc dài quá 64 ký tự: bỏ, sinh mã mới</t>
        </is>
      </c>
      <c r="H286" s="17" t="inlineStr">
        <is>
          <t>header_trong_hoac_qua_dai_bi_bo(int)[1]</t>
        </is>
      </c>
      <c r="I286" s="16" t="inlineStr">
        <is>
          <t>Đạt</t>
        </is>
      </c>
      <c r="J286" s="16" t="n">
        <v>0.037</v>
      </c>
    </row>
    <row r="287">
      <c r="A287" s="16" t="n">
        <v>283</v>
      </c>
      <c r="B287" s="16" t="inlineStr">
        <is>
          <t>Backend</t>
        </is>
      </c>
      <c r="C287" s="17" t="inlineStr">
        <is>
          <t>starter-web</t>
        </is>
      </c>
      <c r="D287" s="16" t="inlineStr">
        <is>
          <t>Unit</t>
        </is>
      </c>
      <c r="E287" s="17" t="inlineStr">
        <is>
          <t>CorrelationIdFilterTest</t>
        </is>
      </c>
      <c r="F287" s="17" t="inlineStr"/>
      <c r="G287" s="17" t="inlineStr">
        <is>
          <t>header trống hoặc dài quá 64 ký tự: bỏ, sinh mã mới</t>
        </is>
      </c>
      <c r="H287" s="17" t="inlineStr">
        <is>
          <t>header_trong_hoac_qua_dai_bi_bo(int)[2]</t>
        </is>
      </c>
      <c r="I287" s="16" t="inlineStr">
        <is>
          <t>Đạt</t>
        </is>
      </c>
      <c r="J287" s="16" t="n">
        <v>0.005</v>
      </c>
    </row>
    <row r="288">
      <c r="A288" s="16" t="n">
        <v>284</v>
      </c>
      <c r="B288" s="16" t="inlineStr">
        <is>
          <t>Backend</t>
        </is>
      </c>
      <c r="C288" s="17" t="inlineStr">
        <is>
          <t>starter-web</t>
        </is>
      </c>
      <c r="D288" s="16" t="inlineStr">
        <is>
          <t>Unit</t>
        </is>
      </c>
      <c r="E288" s="17" t="inlineStr">
        <is>
          <t>CorrelationIdFilterTest</t>
        </is>
      </c>
      <c r="F288" s="17" t="inlineStr"/>
      <c r="G288" s="17" t="inlineStr">
        <is>
          <t>header trống hoặc dài quá 64 ký tự: bỏ, sinh mã mới</t>
        </is>
      </c>
      <c r="H288" s="17" t="inlineStr">
        <is>
          <t>header_trong_hoac_qua_dai_bi_bo(int)[3]</t>
        </is>
      </c>
      <c r="I288" s="16" t="inlineStr">
        <is>
          <t>Đạt</t>
        </is>
      </c>
      <c r="J288" s="16" t="n">
        <v>0.006</v>
      </c>
    </row>
    <row r="289">
      <c r="A289" s="16" t="n">
        <v>285</v>
      </c>
      <c r="B289" s="16" t="inlineStr">
        <is>
          <t>Backend</t>
        </is>
      </c>
      <c r="C289" s="17" t="inlineStr">
        <is>
          <t>starter-web</t>
        </is>
      </c>
      <c r="D289" s="16" t="inlineStr">
        <is>
          <t>Unit</t>
        </is>
      </c>
      <c r="E289" s="17" t="inlineStr">
        <is>
          <t>CorrelationIdFilterTest</t>
        </is>
      </c>
      <c r="F289" s="17" t="inlineStr"/>
      <c r="G289" s="17" t="inlineStr">
        <is>
          <t>mã hợp lệ từ client được giữ nguyên: context, MDC và header phản hồi cùng một giá trị</t>
        </is>
      </c>
      <c r="H289" s="17" t="inlineStr">
        <is>
          <t>giu_nguyen_ma_hop_le</t>
        </is>
      </c>
      <c r="I289" s="16" t="inlineStr">
        <is>
          <t>Đạt</t>
        </is>
      </c>
      <c r="J289" s="16" t="n">
        <v>0.015</v>
      </c>
    </row>
    <row r="290">
      <c r="A290" s="16" t="n">
        <v>286</v>
      </c>
      <c r="B290" s="16" t="inlineStr">
        <is>
          <t>Backend</t>
        </is>
      </c>
      <c r="C290" s="17" t="inlineStr">
        <is>
          <t>starter-web</t>
        </is>
      </c>
      <c r="D290" s="16" t="inlineStr">
        <is>
          <t>Unit</t>
        </is>
      </c>
      <c r="E290" s="17" t="inlineStr">
        <is>
          <t>CorrelationIdFilterTest</t>
        </is>
      </c>
      <c r="F290" s="17" t="inlineStr"/>
      <c r="G290" s="17" t="inlineStr">
        <is>
          <t>header chỉ có khoảng trắng: bỏ, sinh mã mới</t>
        </is>
      </c>
      <c r="H290" s="17" t="inlineStr">
        <is>
          <t>header_khoang_trang_bi_bo</t>
        </is>
      </c>
      <c r="I290" s="16" t="inlineStr">
        <is>
          <t>Đạt</t>
        </is>
      </c>
      <c r="J290" s="16" t="n">
        <v>0.011</v>
      </c>
    </row>
    <row r="291">
      <c r="A291" s="16" t="n">
        <v>287</v>
      </c>
      <c r="B291" s="16" t="inlineStr">
        <is>
          <t>Backend</t>
        </is>
      </c>
      <c r="C291" s="17" t="inlineStr">
        <is>
          <t>starter-web</t>
        </is>
      </c>
      <c r="D291" s="16" t="inlineStr">
        <is>
          <t>Unit</t>
        </is>
      </c>
      <c r="E291" s="17" t="inlineStr">
        <is>
          <t>CorrelationIdFilterTest</t>
        </is>
      </c>
      <c r="F291" s="17" t="inlineStr"/>
      <c r="G291" s="17" t="inlineStr">
        <is>
          <t>current() cũ (deprecated) đọc đúng chỗ giữ ở shared-kernel</t>
        </is>
      </c>
      <c r="H291" s="17" t="inlineStr">
        <is>
          <t>current_cu_doc_tu_shared_kernel</t>
        </is>
      </c>
      <c r="I291" s="16" t="inlineStr">
        <is>
          <t>Đạt</t>
        </is>
      </c>
      <c r="J291" s="16" t="n">
        <v>0.008</v>
      </c>
    </row>
    <row r="292">
      <c r="A292" s="16" t="n">
        <v>288</v>
      </c>
      <c r="B292" s="16" t="inlineStr">
        <is>
          <t>Backend</t>
        </is>
      </c>
      <c r="C292" s="17" t="inlineStr">
        <is>
          <t>starter-web</t>
        </is>
      </c>
      <c r="D292" s="16" t="inlineStr">
        <is>
          <t>Unit</t>
        </is>
      </c>
      <c r="E292" s="17" t="inlineStr">
        <is>
          <t>CorrelationIdFilterTest</t>
        </is>
      </c>
      <c r="F292" s="17" t="inlineStr"/>
      <c r="G292" s="17" t="inlineStr">
        <is>
          <t>mã chứa ký tự điều khiển (CR/LF) bị bỏ và thay bằng mã mới — chống giả mạo log</t>
        </is>
      </c>
      <c r="H292" s="17" t="inlineStr">
        <is>
          <t>ma_chua_ky_tu_dieu_khien_bi_bo</t>
        </is>
      </c>
      <c r="I292" s="16" t="inlineStr">
        <is>
          <t>Đạt</t>
        </is>
      </c>
      <c r="J292" s="16" t="n">
        <v>0.031</v>
      </c>
    </row>
    <row r="293">
      <c r="A293" s="16" t="n">
        <v>289</v>
      </c>
      <c r="B293" s="16" t="inlineStr">
        <is>
          <t>Backend</t>
        </is>
      </c>
      <c r="C293" s="17" t="inlineStr">
        <is>
          <t>starter-web</t>
        </is>
      </c>
      <c r="D293" s="16" t="inlineStr">
        <is>
          <t>Unit</t>
        </is>
      </c>
      <c r="E293" s="17" t="inlineStr">
        <is>
          <t>CorrelationPropagationTest</t>
        </is>
      </c>
      <c r="F293" s="17" t="inlineStr"/>
      <c r="G293" s="17" t="inlineStr">
        <is>
          <t>lời gọi tự khai id thì giữ nguyên, không ghi đè</t>
        </is>
      </c>
      <c r="H293" s="17" t="inlineStr">
        <is>
          <t>khong_ghi_de_id_da_khai</t>
        </is>
      </c>
      <c r="I293" s="16" t="inlineStr">
        <is>
          <t>Đạt</t>
        </is>
      </c>
      <c r="J293" s="16" t="n">
        <v>1.649</v>
      </c>
    </row>
    <row r="294">
      <c r="A294" s="16" t="n">
        <v>290</v>
      </c>
      <c r="B294" s="16" t="inlineStr">
        <is>
          <t>Backend</t>
        </is>
      </c>
      <c r="C294" s="17" t="inlineStr">
        <is>
          <t>starter-web</t>
        </is>
      </c>
      <c r="D294" s="16" t="inlineStr">
        <is>
          <t>Unit</t>
        </is>
      </c>
      <c r="E294" s="17" t="inlineStr">
        <is>
          <t>CorrelationPropagationTest</t>
        </is>
      </c>
      <c r="F294" s="17" t="inlineStr"/>
      <c r="G294" s="17" t="inlineStr">
        <is>
          <t>id của request đang xử lý đi theo sang service được gọi</t>
        </is>
      </c>
      <c r="H294" s="17" t="inlineStr">
        <is>
          <t>id_di_theo_sang_service_duoc_goi</t>
        </is>
      </c>
      <c r="I294" s="16" t="inlineStr">
        <is>
          <t>Đạt</t>
        </is>
      </c>
      <c r="J294" s="16" t="n">
        <v>0.044</v>
      </c>
    </row>
    <row r="295">
      <c r="A295" s="16" t="n">
        <v>291</v>
      </c>
      <c r="B295" s="16" t="inlineStr">
        <is>
          <t>Backend</t>
        </is>
      </c>
      <c r="C295" s="17" t="inlineStr">
        <is>
          <t>starter-web</t>
        </is>
      </c>
      <c r="D295" s="16" t="inlineStr">
        <is>
          <t>Unit</t>
        </is>
      </c>
      <c r="E295" s="17" t="inlineStr">
        <is>
          <t>CorrelationPropagationTest</t>
        </is>
      </c>
      <c r="F295" s="17" t="inlineStr"/>
      <c r="G295" s="17" t="inlineStr">
        <is>
          <t>ngoài ngữ cảnh request thì KHÔNG bịa ra id</t>
        </is>
      </c>
      <c r="H295" s="17" t="inlineStr">
        <is>
          <t>khong_bia_ra_id_khi_khong_co_ngu_canh</t>
        </is>
      </c>
      <c r="I295" s="16" t="inlineStr">
        <is>
          <t>Đạt</t>
        </is>
      </c>
      <c r="J295" s="16" t="n">
        <v>0.03</v>
      </c>
    </row>
    <row r="296">
      <c r="A296" s="16" t="n">
        <v>292</v>
      </c>
      <c r="B296" s="16" t="inlineStr">
        <is>
          <t>Backend</t>
        </is>
      </c>
      <c r="C296" s="17" t="inlineStr">
        <is>
          <t>starter-web</t>
        </is>
      </c>
      <c r="D296" s="16" t="inlineStr">
        <is>
          <t>Unit</t>
        </is>
      </c>
      <c r="E296" s="17" t="inlineStr">
        <is>
          <t>ApiErrorTest › ApiExceptionTests</t>
        </is>
      </c>
      <c r="F296" s="17" t="inlineStr">
        <is>
          <t>ApiException</t>
        </is>
      </c>
      <c r="G296" s="17" t="inlineStr">
        <is>
          <t>meta được sao chép phòng thủ: sửa map gốc sau khi ném không đổi được lỗi</t>
        </is>
      </c>
      <c r="H296" s="17" t="inlineStr">
        <is>
          <t>meta_sao_chep_phong_thu</t>
        </is>
      </c>
      <c r="I296" s="16" t="inlineStr">
        <is>
          <t>Đạt</t>
        </is>
      </c>
      <c r="J296" s="16" t="n">
        <v>0.017</v>
      </c>
    </row>
    <row r="297">
      <c r="A297" s="16" t="n">
        <v>293</v>
      </c>
      <c r="B297" s="16" t="inlineStr">
        <is>
          <t>Backend</t>
        </is>
      </c>
      <c r="C297" s="17" t="inlineStr">
        <is>
          <t>starter-web</t>
        </is>
      </c>
      <c r="D297" s="16" t="inlineStr">
        <is>
          <t>Unit</t>
        </is>
      </c>
      <c r="E297" s="17" t="inlineStr">
        <is>
          <t>ApiErrorTest › ApiExceptionTests</t>
        </is>
      </c>
      <c r="F297" s="17" t="inlineStr">
        <is>
          <t>ApiException</t>
        </is>
      </c>
      <c r="G297" s="17" t="inlineStr">
        <is>
          <t>meta chứa giá trị null thì bị từ chối ngay lúc tạo, không đợi tới lúc ghi JSON</t>
        </is>
      </c>
      <c r="H297" s="17" t="inlineStr">
        <is>
          <t>meta_null_value_bi_tu_choi</t>
        </is>
      </c>
      <c r="I297" s="16" t="inlineStr">
        <is>
          <t>Đạt</t>
        </is>
      </c>
      <c r="J297" s="16" t="n">
        <v>0.002</v>
      </c>
    </row>
    <row r="298">
      <c r="A298" s="16" t="n">
        <v>294</v>
      </c>
      <c r="B298" s="16" t="inlineStr">
        <is>
          <t>Backend</t>
        </is>
      </c>
      <c r="C298" s="17" t="inlineStr">
        <is>
          <t>starter-web</t>
        </is>
      </c>
      <c r="D298" s="16" t="inlineStr">
        <is>
          <t>Unit</t>
        </is>
      </c>
      <c r="E298" s="17" t="inlineStr">
        <is>
          <t>ApiErrorTest › ApiExceptionTests</t>
        </is>
      </c>
      <c r="F298" s="17" t="inlineStr">
        <is>
          <t>ApiException</t>
        </is>
      </c>
      <c r="G298" s="17" t="inlineStr">
        <is>
          <t>forbidden mang mã FORBIDDEN và giữ detail</t>
        </is>
      </c>
      <c r="H298" s="17" t="inlineStr">
        <is>
          <t>forbidden</t>
        </is>
      </c>
      <c r="I298" s="16" t="inlineStr">
        <is>
          <t>Đạt</t>
        </is>
      </c>
      <c r="J298" s="16" t="n">
        <v>0.001</v>
      </c>
    </row>
    <row r="299">
      <c r="A299" s="16" t="n">
        <v>295</v>
      </c>
      <c r="B299" s="16" t="inlineStr">
        <is>
          <t>Backend</t>
        </is>
      </c>
      <c r="C299" s="17" t="inlineStr">
        <is>
          <t>starter-web</t>
        </is>
      </c>
      <c r="D299" s="16" t="inlineStr">
        <is>
          <t>Unit</t>
        </is>
      </c>
      <c r="E299" s="17" t="inlineStr">
        <is>
          <t>ApiErrorTest › ApiExceptionTests</t>
        </is>
      </c>
      <c r="F299" s="17" t="inlineStr">
        <is>
          <t>ApiException</t>
        </is>
      </c>
      <c r="G299" s="17" t="inlineStr">
        <is>
          <t>notFound ghép tên đối tượng vào detail và mang mã NOT_FOUND</t>
        </is>
      </c>
      <c r="H299" s="17" t="inlineStr">
        <is>
          <t>not_found</t>
        </is>
      </c>
      <c r="I299" s="16" t="inlineStr">
        <is>
          <t>Đạt</t>
        </is>
      </c>
      <c r="J299" s="16" t="n">
        <v>0.003</v>
      </c>
    </row>
    <row r="300">
      <c r="A300" s="16" t="n">
        <v>296</v>
      </c>
      <c r="B300" s="16" t="inlineStr">
        <is>
          <t>Backend</t>
        </is>
      </c>
      <c r="C300" s="17" t="inlineStr">
        <is>
          <t>starter-web</t>
        </is>
      </c>
      <c r="D300" s="16" t="inlineStr">
        <is>
          <t>Unit</t>
        </is>
      </c>
      <c r="E300" s="17" t="inlineStr">
        <is>
          <t>ApiErrorTest › Codes</t>
        </is>
      </c>
      <c r="F300" s="17" t="inlineStr">
        <is>
          <t>ErrorCode.Common</t>
        </is>
      </c>
      <c r="G300" s="17" t="inlineStr">
        <is>
          <t>code() trùng tên hằng, và là mã lỗi hợp lệ (4xx/5xx)</t>
        </is>
      </c>
      <c r="H300" s="17" t="inlineStr">
        <is>
          <t>code_trung_ten_hang(Common)[1]</t>
        </is>
      </c>
      <c r="I300" s="16" t="inlineStr">
        <is>
          <t>Đạt</t>
        </is>
      </c>
      <c r="J300" s="16" t="n">
        <v>0.015</v>
      </c>
    </row>
    <row r="301">
      <c r="A301" s="16" t="n">
        <v>297</v>
      </c>
      <c r="B301" s="16" t="inlineStr">
        <is>
          <t>Backend</t>
        </is>
      </c>
      <c r="C301" s="17" t="inlineStr">
        <is>
          <t>starter-web</t>
        </is>
      </c>
      <c r="D301" s="16" t="inlineStr">
        <is>
          <t>Unit</t>
        </is>
      </c>
      <c r="E301" s="17" t="inlineStr">
        <is>
          <t>ApiErrorTest › Codes</t>
        </is>
      </c>
      <c r="F301" s="17" t="inlineStr">
        <is>
          <t>ErrorCode.Common</t>
        </is>
      </c>
      <c r="G301" s="17" t="inlineStr">
        <is>
          <t>code() trùng tên hằng, và là mã lỗi hợp lệ (4xx/5xx)</t>
        </is>
      </c>
      <c r="H301" s="17" t="inlineStr">
        <is>
          <t>code_trung_ten_hang(Common)[2]</t>
        </is>
      </c>
      <c r="I301" s="16" t="inlineStr">
        <is>
          <t>Đạt</t>
        </is>
      </c>
      <c r="J301" s="16" t="n">
        <v>0.002</v>
      </c>
    </row>
    <row r="302">
      <c r="A302" s="16" t="n">
        <v>298</v>
      </c>
      <c r="B302" s="16" t="inlineStr">
        <is>
          <t>Backend</t>
        </is>
      </c>
      <c r="C302" s="17" t="inlineStr">
        <is>
          <t>starter-web</t>
        </is>
      </c>
      <c r="D302" s="16" t="inlineStr">
        <is>
          <t>Unit</t>
        </is>
      </c>
      <c r="E302" s="17" t="inlineStr">
        <is>
          <t>ApiErrorTest › Codes</t>
        </is>
      </c>
      <c r="F302" s="17" t="inlineStr">
        <is>
          <t>ErrorCode.Common</t>
        </is>
      </c>
      <c r="G302" s="17" t="inlineStr">
        <is>
          <t>code() trùng tên hằng, và là mã lỗi hợp lệ (4xx/5xx)</t>
        </is>
      </c>
      <c r="H302" s="17" t="inlineStr">
        <is>
          <t>code_trung_ten_hang(Common)[3]</t>
        </is>
      </c>
      <c r="I302" s="16" t="inlineStr">
        <is>
          <t>Đạt</t>
        </is>
      </c>
      <c r="J302" s="16" t="n">
        <v>0.002</v>
      </c>
    </row>
    <row r="303">
      <c r="A303" s="16" t="n">
        <v>299</v>
      </c>
      <c r="B303" s="16" t="inlineStr">
        <is>
          <t>Backend</t>
        </is>
      </c>
      <c r="C303" s="17" t="inlineStr">
        <is>
          <t>starter-web</t>
        </is>
      </c>
      <c r="D303" s="16" t="inlineStr">
        <is>
          <t>Unit</t>
        </is>
      </c>
      <c r="E303" s="17" t="inlineStr">
        <is>
          <t>ApiErrorTest › Codes</t>
        </is>
      </c>
      <c r="F303" s="17" t="inlineStr">
        <is>
          <t>ErrorCode.Common</t>
        </is>
      </c>
      <c r="G303" s="17" t="inlineStr">
        <is>
          <t>code() trùng tên hằng, và là mã lỗi hợp lệ (4xx/5xx)</t>
        </is>
      </c>
      <c r="H303" s="17" t="inlineStr">
        <is>
          <t>code_trung_ten_hang(Common)[4]</t>
        </is>
      </c>
      <c r="I303" s="16" t="inlineStr">
        <is>
          <t>Đạt</t>
        </is>
      </c>
      <c r="J303" s="16" t="n">
        <v>0.002</v>
      </c>
    </row>
    <row r="304">
      <c r="A304" s="16" t="n">
        <v>300</v>
      </c>
      <c r="B304" s="16" t="inlineStr">
        <is>
          <t>Backend</t>
        </is>
      </c>
      <c r="C304" s="17" t="inlineStr">
        <is>
          <t>starter-web</t>
        </is>
      </c>
      <c r="D304" s="16" t="inlineStr">
        <is>
          <t>Unit</t>
        </is>
      </c>
      <c r="E304" s="17" t="inlineStr">
        <is>
          <t>ApiErrorTest › Codes</t>
        </is>
      </c>
      <c r="F304" s="17" t="inlineStr">
        <is>
          <t>ErrorCode.Common</t>
        </is>
      </c>
      <c r="G304" s="17" t="inlineStr">
        <is>
          <t>code() trùng tên hằng, và là mã lỗi hợp lệ (4xx/5xx)</t>
        </is>
      </c>
      <c r="H304" s="17" t="inlineStr">
        <is>
          <t>code_trung_ten_hang(Common)[5]</t>
        </is>
      </c>
      <c r="I304" s="16" t="inlineStr">
        <is>
          <t>Đạt</t>
        </is>
      </c>
      <c r="J304" s="16" t="n">
        <v>0.003</v>
      </c>
    </row>
    <row r="305">
      <c r="A305" s="16" t="n">
        <v>301</v>
      </c>
      <c r="B305" s="16" t="inlineStr">
        <is>
          <t>Backend</t>
        </is>
      </c>
      <c r="C305" s="17" t="inlineStr">
        <is>
          <t>starter-web</t>
        </is>
      </c>
      <c r="D305" s="16" t="inlineStr">
        <is>
          <t>Unit</t>
        </is>
      </c>
      <c r="E305" s="17" t="inlineStr">
        <is>
          <t>ApiErrorTest › Codes</t>
        </is>
      </c>
      <c r="F305" s="17" t="inlineStr">
        <is>
          <t>ErrorCode.Common</t>
        </is>
      </c>
      <c r="G305" s="17" t="inlineStr">
        <is>
          <t>code() trùng tên hằng, và là mã lỗi hợp lệ (4xx/5xx)</t>
        </is>
      </c>
      <c r="H305" s="17" t="inlineStr">
        <is>
          <t>code_trung_ten_hang(Common)[6]</t>
        </is>
      </c>
      <c r="I305" s="16" t="inlineStr">
        <is>
          <t>Đạt</t>
        </is>
      </c>
      <c r="J305" s="16" t="n">
        <v>0.002</v>
      </c>
    </row>
    <row r="306">
      <c r="A306" s="16" t="n">
        <v>302</v>
      </c>
      <c r="B306" s="16" t="inlineStr">
        <is>
          <t>Backend</t>
        </is>
      </c>
      <c r="C306" s="17" t="inlineStr">
        <is>
          <t>starter-web</t>
        </is>
      </c>
      <c r="D306" s="16" t="inlineStr">
        <is>
          <t>Unit</t>
        </is>
      </c>
      <c r="E306" s="17" t="inlineStr">
        <is>
          <t>ApiErrorTest › Codes</t>
        </is>
      </c>
      <c r="F306" s="17" t="inlineStr">
        <is>
          <t>ErrorCode.Common</t>
        </is>
      </c>
      <c r="G306" s="17" t="inlineStr">
        <is>
          <t>code() trùng tên hằng, và là mã lỗi hợp lệ (4xx/5xx)</t>
        </is>
      </c>
      <c r="H306" s="17" t="inlineStr">
        <is>
          <t>code_trung_ten_hang(Common)[7]</t>
        </is>
      </c>
      <c r="I306" s="16" t="inlineStr">
        <is>
          <t>Đạt</t>
        </is>
      </c>
      <c r="J306" s="16" t="n">
        <v>0.001</v>
      </c>
    </row>
    <row r="307">
      <c r="A307" s="16" t="n">
        <v>303</v>
      </c>
      <c r="B307" s="16" t="inlineStr">
        <is>
          <t>Backend</t>
        </is>
      </c>
      <c r="C307" s="17" t="inlineStr">
        <is>
          <t>starter-web</t>
        </is>
      </c>
      <c r="D307" s="16" t="inlineStr">
        <is>
          <t>Unit</t>
        </is>
      </c>
      <c r="E307" s="17" t="inlineStr">
        <is>
          <t>ApiErrorTest › Codes</t>
        </is>
      </c>
      <c r="F307" s="17" t="inlineStr">
        <is>
          <t>ErrorCode.Common</t>
        </is>
      </c>
      <c r="G307" s="17" t="inlineStr">
        <is>
          <t>code() trùng tên hằng, và là mã lỗi hợp lệ (4xx/5xx)</t>
        </is>
      </c>
      <c r="H307" s="17" t="inlineStr">
        <is>
          <t>code_trung_ten_hang(Common)[8]</t>
        </is>
      </c>
      <c r="I307" s="16" t="inlineStr">
        <is>
          <t>Đạt</t>
        </is>
      </c>
      <c r="J307" s="16" t="n">
        <v>0.002</v>
      </c>
    </row>
    <row r="308">
      <c r="A308" s="16" t="n">
        <v>304</v>
      </c>
      <c r="B308" s="16" t="inlineStr">
        <is>
          <t>Backend</t>
        </is>
      </c>
      <c r="C308" s="17" t="inlineStr">
        <is>
          <t>starter-web</t>
        </is>
      </c>
      <c r="D308" s="16" t="inlineStr">
        <is>
          <t>Unit</t>
        </is>
      </c>
      <c r="E308" s="17" t="inlineStr">
        <is>
          <t>ApiErrorTest › Codes</t>
        </is>
      </c>
      <c r="F308" s="17" t="inlineStr">
        <is>
          <t>ErrorCode.Common</t>
        </is>
      </c>
      <c r="G308" s="17" t="inlineStr">
        <is>
          <t>code() trùng tên hằng, và là mã lỗi hợp lệ (4xx/5xx)</t>
        </is>
      </c>
      <c r="H308" s="17" t="inlineStr">
        <is>
          <t>code_trung_ten_hang(Common)[9]</t>
        </is>
      </c>
      <c r="I308" s="16" t="inlineStr">
        <is>
          <t>Đạt</t>
        </is>
      </c>
      <c r="J308" s="16" t="n">
        <v>0.002</v>
      </c>
    </row>
    <row r="309">
      <c r="A309" s="16" t="n">
        <v>305</v>
      </c>
      <c r="B309" s="16" t="inlineStr">
        <is>
          <t>Backend</t>
        </is>
      </c>
      <c r="C309" s="17" t="inlineStr">
        <is>
          <t>starter-web</t>
        </is>
      </c>
      <c r="D309" s="16" t="inlineStr">
        <is>
          <t>Unit</t>
        </is>
      </c>
      <c r="E309" s="17" t="inlineStr">
        <is>
          <t>ApiErrorTest › Codes</t>
        </is>
      </c>
      <c r="F309" s="17" t="inlineStr">
        <is>
          <t>ErrorCode.Common</t>
        </is>
      </c>
      <c r="G309" s="17" t="inlineStr">
        <is>
          <t>code() trùng tên hằng, và là mã lỗi hợp lệ (4xx/5xx)</t>
        </is>
      </c>
      <c r="H309" s="17" t="inlineStr">
        <is>
          <t>code_trung_ten_hang(Common)[10]</t>
        </is>
      </c>
      <c r="I309" s="16" t="inlineStr">
        <is>
          <t>Đạt</t>
        </is>
      </c>
      <c r="J309" s="16" t="n">
        <v>0.001</v>
      </c>
    </row>
    <row r="310">
      <c r="A310" s="16" t="n">
        <v>306</v>
      </c>
      <c r="B310" s="16" t="inlineStr">
        <is>
          <t>Backend</t>
        </is>
      </c>
      <c r="C310" s="17" t="inlineStr">
        <is>
          <t>starter-web</t>
        </is>
      </c>
      <c r="D310" s="16" t="inlineStr">
        <is>
          <t>Unit</t>
        </is>
      </c>
      <c r="E310" s="17" t="inlineStr">
        <is>
          <t>ApiErrorTest › Codes</t>
        </is>
      </c>
      <c r="F310" s="17" t="inlineStr">
        <is>
          <t>ErrorCode.Common</t>
        </is>
      </c>
      <c r="G310" s="17" t="inlineStr">
        <is>
          <t>code() trùng tên hằng, và là mã lỗi hợp lệ (4xx/5xx)</t>
        </is>
      </c>
      <c r="H310" s="17" t="inlineStr">
        <is>
          <t>code_trung_ten_hang(Common)[11]</t>
        </is>
      </c>
      <c r="I310" s="16" t="inlineStr">
        <is>
          <t>Đạt</t>
        </is>
      </c>
      <c r="J310" s="16" t="n">
        <v>0.001</v>
      </c>
    </row>
    <row r="311">
      <c r="A311" s="16" t="n">
        <v>307</v>
      </c>
      <c r="B311" s="16" t="inlineStr">
        <is>
          <t>Backend</t>
        </is>
      </c>
      <c r="C311" s="17" t="inlineStr">
        <is>
          <t>starter-web</t>
        </is>
      </c>
      <c r="D311" s="16" t="inlineStr">
        <is>
          <t>Unit</t>
        </is>
      </c>
      <c r="E311" s="17" t="inlineStr">
        <is>
          <t>ApiErrorTest › Codes</t>
        </is>
      </c>
      <c r="F311" s="17" t="inlineStr">
        <is>
          <t>ErrorCode.Common</t>
        </is>
      </c>
      <c r="G311" s="17" t="inlineStr">
        <is>
          <t>mỗi mã gắn đúng trạng thái HTTP mà frontend chờ</t>
        </is>
      </c>
      <c r="H311" s="17" t="inlineStr">
        <is>
          <t>trang_thai_http_cua_tung_ma</t>
        </is>
      </c>
      <c r="I311" s="16" t="inlineStr">
        <is>
          <t>Đạt</t>
        </is>
      </c>
      <c r="J311" s="16" t="n">
        <v>0.004</v>
      </c>
    </row>
    <row r="312">
      <c r="A312" s="16" t="n">
        <v>308</v>
      </c>
      <c r="B312" s="16" t="inlineStr">
        <is>
          <t>Backend</t>
        </is>
      </c>
      <c r="C312" s="17" t="inlineStr">
        <is>
          <t>starter-web</t>
        </is>
      </c>
      <c r="D312" s="16" t="inlineStr">
        <is>
          <t>Unit</t>
        </is>
      </c>
      <c r="E312" s="17" t="inlineStr">
        <is>
          <t>ApiErrorTest › Codes</t>
        </is>
      </c>
      <c r="F312" s="17" t="inlineStr">
        <is>
          <t>ErrorCode.Common</t>
        </is>
      </c>
      <c r="G312" s="17" t="inlineStr">
        <is>
          <t>tập mã chung đã phát hành không bị xoá hay đổi tên</t>
        </is>
      </c>
      <c r="H312" s="17" t="inlineStr">
        <is>
          <t>tap_ma_da_phat_hanh</t>
        </is>
      </c>
      <c r="I312" s="16" t="inlineStr">
        <is>
          <t>Đạt</t>
        </is>
      </c>
      <c r="J312" s="16" t="n">
        <v>0.005</v>
      </c>
    </row>
    <row r="313">
      <c r="A313" s="16" t="n">
        <v>309</v>
      </c>
      <c r="B313" s="16" t="inlineStr">
        <is>
          <t>Backend</t>
        </is>
      </c>
      <c r="C313" s="17" t="inlineStr">
        <is>
          <t>starter-web</t>
        </is>
      </c>
      <c r="D313" s="16" t="inlineStr">
        <is>
          <t>Unit</t>
        </is>
      </c>
      <c r="E313" s="17" t="inlineStr">
        <is>
          <t>ApiErrorTest › Of</t>
        </is>
      </c>
      <c r="F313" s="17" t="inlineStr">
        <is>
          <t>ApiError.of</t>
        </is>
      </c>
      <c r="G313" s="17" t="inlineStr">
        <is>
          <t>meta có dữ liệu thì giữ nguyên</t>
        </is>
      </c>
      <c r="H313" s="17" t="inlineStr">
        <is>
          <t>meta_co_du_lieu_giu_nguyen</t>
        </is>
      </c>
      <c r="I313" s="16" t="inlineStr">
        <is>
          <t>Đạt</t>
        </is>
      </c>
      <c r="J313" s="16" t="n">
        <v>0.006</v>
      </c>
    </row>
    <row r="314">
      <c r="A314" s="16" t="n">
        <v>310</v>
      </c>
      <c r="B314" s="16" t="inlineStr">
        <is>
          <t>Backend</t>
        </is>
      </c>
      <c r="C314" s="17" t="inlineStr">
        <is>
          <t>starter-web</t>
        </is>
      </c>
      <c r="D314" s="16" t="inlineStr">
        <is>
          <t>Unit</t>
        </is>
      </c>
      <c r="E314" s="17" t="inlineStr">
        <is>
          <t>ApiErrorTest › Of</t>
        </is>
      </c>
      <c r="F314" s="17" t="inlineStr">
        <is>
          <t>ApiError.of</t>
        </is>
      </c>
      <c r="G314" s="17" t="inlineStr">
        <is>
          <t>meta null hoặc rỗng thành null để JSON bỏ hẳn trường meta</t>
        </is>
      </c>
      <c r="H314" s="17" t="inlineStr">
        <is>
          <t>meta_rong_thanh_null</t>
        </is>
      </c>
      <c r="I314" s="16" t="inlineStr">
        <is>
          <t>Đạt</t>
        </is>
      </c>
      <c r="J314" s="16" t="n">
        <v>0.001</v>
      </c>
    </row>
    <row r="315">
      <c r="A315" s="16" t="n">
        <v>311</v>
      </c>
      <c r="B315" s="16" t="inlineStr">
        <is>
          <t>Backend</t>
        </is>
      </c>
      <c r="C315" s="17" t="inlineStr">
        <is>
          <t>starter-web</t>
        </is>
      </c>
      <c r="D315" s="16" t="inlineStr">
        <is>
          <t>Unit</t>
        </is>
      </c>
      <c r="E315" s="17" t="inlineStr">
        <is>
          <t>ApiErrorTest › Of</t>
        </is>
      </c>
      <c r="F315" s="17" t="inlineStr">
        <is>
          <t>ApiError.of</t>
        </is>
      </c>
      <c r="G315" s="17" t="inlineStr">
        <is>
          <t>type là URI theo slug, title là slug bỏ gạch, status lấy từ mã</t>
        </is>
      </c>
      <c r="H315" s="17" t="inlineStr">
        <is>
          <t>dung_type_title_status_tu_ma</t>
        </is>
      </c>
      <c r="I315" s="16" t="inlineStr">
        <is>
          <t>Đạt</t>
        </is>
      </c>
      <c r="J315" s="16" t="n">
        <v>0.001</v>
      </c>
    </row>
    <row r="316">
      <c r="A316" s="16" t="n">
        <v>312</v>
      </c>
      <c r="B316" s="16" t="inlineStr">
        <is>
          <t>Backend</t>
        </is>
      </c>
      <c r="C316" s="17" t="inlineStr">
        <is>
          <t>starter-web</t>
        </is>
      </c>
      <c r="D316" s="16" t="inlineStr">
        <is>
          <t>Unit</t>
        </is>
      </c>
      <c r="E316" s="17" t="inlineStr">
        <is>
          <t>ConstraintViolationHandlerTest</t>
        </is>
      </c>
      <c r="F316" s="17" t="inlineStr"/>
      <c r="G316" s="17" t="inlineStr">
        <is>
          <t>detail không lộ tên method nội bộ hay giá trị người gọi vừa gửi</t>
        </is>
      </c>
      <c r="H316" s="17" t="inlineStr">
        <is>
          <t>detail_khong_lo_ten_method_va_gia_tri</t>
        </is>
      </c>
      <c r="I316" s="16" t="inlineStr">
        <is>
          <t>Đạt</t>
        </is>
      </c>
      <c r="J316" s="16" t="n">
        <v>0.368</v>
      </c>
    </row>
    <row r="317">
      <c r="A317" s="16" t="n">
        <v>313</v>
      </c>
      <c r="B317" s="16" t="inlineStr">
        <is>
          <t>Backend</t>
        </is>
      </c>
      <c r="C317" s="17" t="inlineStr">
        <is>
          <t>starter-web</t>
        </is>
      </c>
      <c r="D317" s="16" t="inlineStr">
        <is>
          <t>Unit</t>
        </is>
      </c>
      <c r="E317" s="17" t="inlineStr">
        <is>
          <t>ConstraintViolationHandlerTest</t>
        </is>
      </c>
      <c r="F317" s="17" t="inlineStr"/>
      <c r="G317" s="17" t="inlineStr">
        <is>
          <t>cùng hình dạng meta.fields với handler @Valid, để frontend chỉ đọc một kiểu</t>
        </is>
      </c>
      <c r="H317" s="17" t="inlineStr">
        <is>
          <t>cung_hinh_dang_voi_bean_validation</t>
        </is>
      </c>
      <c r="I317" s="16" t="inlineStr">
        <is>
          <t>Đạt</t>
        </is>
      </c>
      <c r="J317" s="16" t="n">
        <v>0.008</v>
      </c>
    </row>
    <row r="318">
      <c r="A318" s="16" t="n">
        <v>314</v>
      </c>
      <c r="B318" s="16" t="inlineStr">
        <is>
          <t>Backend</t>
        </is>
      </c>
      <c r="C318" s="17" t="inlineStr">
        <is>
          <t>starter-web</t>
        </is>
      </c>
      <c r="D318" s="16" t="inlineStr">
        <is>
          <t>Unit</t>
        </is>
      </c>
      <c r="E318" s="17" t="inlineStr">
        <is>
          <t>ConstraintViolationHandlerTest</t>
        </is>
      </c>
      <c r="F318" s="17" t="inlineStr"/>
      <c r="G318" s="17" t="inlineStr">
        <is>
          <t>trả 400 VALIDATION_FAILED, phẳng hoá thành {tên-tham-số: thông điệp}</t>
        </is>
      </c>
      <c r="H318" s="17" t="inlineStr">
        <is>
          <t>phang_hoa_thanh_ten_tham_so</t>
        </is>
      </c>
      <c r="I318" s="16" t="inlineStr">
        <is>
          <t>Đạt</t>
        </is>
      </c>
      <c r="J318" s="16" t="n">
        <v>0.004</v>
      </c>
    </row>
    <row r="319">
      <c r="A319" s="16" t="n">
        <v>315</v>
      </c>
      <c r="B319" s="16" t="inlineStr">
        <is>
          <t>Backend</t>
        </is>
      </c>
      <c r="C319" s="17" t="inlineStr">
        <is>
          <t>starter-web</t>
        </is>
      </c>
      <c r="D319" s="16" t="inlineStr">
        <is>
          <t>API slice</t>
        </is>
      </c>
      <c r="E319" s="17" t="inlineStr">
        <is>
          <t>GlobalExceptionHandlerWebTest › ApiExceptionTests</t>
        </is>
      </c>
      <c r="F319" s="17" t="inlineStr">
        <is>
          <t>ApiException</t>
        </is>
      </c>
      <c r="G319" s="17" t="inlineStr">
        <is>
          <t>mã nghiệp vụ 5xx vẫn giữ mã của nó, không bị đổi thành INTERNAL_ERROR</t>
        </is>
      </c>
      <c r="H319" s="17" t="inlineStr">
        <is>
          <t>ma_5xx_giu_nguyen</t>
        </is>
      </c>
      <c r="I319" s="16" t="inlineStr">
        <is>
          <t>Đạt</t>
        </is>
      </c>
      <c r="J319" s="16" t="n">
        <v>1.221</v>
      </c>
    </row>
    <row r="320">
      <c r="A320" s="16" t="n">
        <v>316</v>
      </c>
      <c r="B320" s="16" t="inlineStr">
        <is>
          <t>Backend</t>
        </is>
      </c>
      <c r="C320" s="17" t="inlineStr">
        <is>
          <t>starter-web</t>
        </is>
      </c>
      <c r="D320" s="16" t="inlineStr">
        <is>
          <t>API slice</t>
        </is>
      </c>
      <c r="E320" s="17" t="inlineStr">
        <is>
          <t>GlobalExceptionHandlerWebTest › ApiExceptionTests</t>
        </is>
      </c>
      <c r="F320" s="17" t="inlineStr">
        <is>
          <t>ApiException</t>
        </is>
      </c>
      <c r="G320" s="17" t="inlineStr">
        <is>
          <t>mã nghiệp vụ riêng của một service đi qua cùng một hình dạng</t>
        </is>
      </c>
      <c r="H320" s="17" t="inlineStr">
        <is>
          <t>ma_rieng_cua_service</t>
        </is>
      </c>
      <c r="I320" s="16" t="inlineStr">
        <is>
          <t>Đạt</t>
        </is>
      </c>
      <c r="J320" s="16" t="n">
        <v>0.055</v>
      </c>
    </row>
    <row r="321">
      <c r="A321" s="16" t="n">
        <v>317</v>
      </c>
      <c r="B321" s="16" t="inlineStr">
        <is>
          <t>Backend</t>
        </is>
      </c>
      <c r="C321" s="17" t="inlineStr">
        <is>
          <t>starter-web</t>
        </is>
      </c>
      <c r="D321" s="16" t="inlineStr">
        <is>
          <t>API slice</t>
        </is>
      </c>
      <c r="E321" s="17" t="inlineStr">
        <is>
          <t>GlobalExceptionHandlerWebTest › ApiExceptionTests</t>
        </is>
      </c>
      <c r="F321" s="17" t="inlineStr">
        <is>
          <t>ApiException</t>
        </is>
      </c>
      <c r="G321" s="17" t="inlineStr">
        <is>
          <t>mã nghiệp vụ 4xx đi ra đúng trạng thái, mã, detail và meta</t>
        </is>
      </c>
      <c r="H321" s="17" t="inlineStr">
        <is>
          <t>ma_4xx_giu_nguyen_trang_thai_va_meta</t>
        </is>
      </c>
      <c r="I321" s="16" t="inlineStr">
        <is>
          <t>Đạt</t>
        </is>
      </c>
      <c r="J321" s="16" t="n">
        <v>0.074</v>
      </c>
    </row>
    <row r="322">
      <c r="A322" s="16" t="n">
        <v>318</v>
      </c>
      <c r="B322" s="16" t="inlineStr">
        <is>
          <t>Backend</t>
        </is>
      </c>
      <c r="C322" s="17" t="inlineStr">
        <is>
          <t>starter-web</t>
        </is>
      </c>
      <c r="D322" s="16" t="inlineStr">
        <is>
          <t>API slice</t>
        </is>
      </c>
      <c r="E322" s="17" t="inlineStr">
        <is>
          <t>GlobalExceptionHandlerWebTest › ApiExceptionTests</t>
        </is>
      </c>
      <c r="F322" s="17" t="inlineStr">
        <is>
          <t>ApiException</t>
        </is>
      </c>
      <c r="G322" s="17" t="inlineStr">
        <is>
          <t>forbidden() trả 403 FORBIDDEN</t>
        </is>
      </c>
      <c r="H322" s="17" t="inlineStr">
        <is>
          <t>forbidden_tra_403</t>
        </is>
      </c>
      <c r="I322" s="16" t="inlineStr">
        <is>
          <t>Đạt</t>
        </is>
      </c>
      <c r="J322" s="16" t="n">
        <v>0.063</v>
      </c>
    </row>
    <row r="323">
      <c r="A323" s="16" t="n">
        <v>319</v>
      </c>
      <c r="B323" s="16" t="inlineStr">
        <is>
          <t>Backend</t>
        </is>
      </c>
      <c r="C323" s="17" t="inlineStr">
        <is>
          <t>starter-web</t>
        </is>
      </c>
      <c r="D323" s="16" t="inlineStr">
        <is>
          <t>API slice</t>
        </is>
      </c>
      <c r="E323" s="17" t="inlineStr">
        <is>
          <t>GlobalExceptionHandlerWebTest › ApiExceptionTests</t>
        </is>
      </c>
      <c r="F323" s="17" t="inlineStr">
        <is>
          <t>ApiException</t>
        </is>
      </c>
      <c r="G323" s="17" t="inlineStr">
        <is>
          <t>meta rỗng thì trường meta bị bỏ hẳn khỏi JSON, không phải {} hay null</t>
        </is>
      </c>
      <c r="H323" s="17" t="inlineStr">
        <is>
          <t>meta_rong_thi_khong_co_truong_meta</t>
        </is>
      </c>
      <c r="I323" s="16" t="inlineStr">
        <is>
          <t>Đạt</t>
        </is>
      </c>
      <c r="J323" s="16" t="n">
        <v>0.054</v>
      </c>
    </row>
    <row r="324">
      <c r="A324" s="16" t="n">
        <v>320</v>
      </c>
      <c r="B324" s="16" t="inlineStr">
        <is>
          <t>Backend</t>
        </is>
      </c>
      <c r="C324" s="17" t="inlineStr">
        <is>
          <t>starter-web</t>
        </is>
      </c>
      <c r="D324" s="16" t="inlineStr">
        <is>
          <t>API slice</t>
        </is>
      </c>
      <c r="E324" s="17" t="inlineStr">
        <is>
          <t>GlobalExceptionHandlerWebTest › BodyValidation</t>
        </is>
      </c>
      <c r="F324" s="17" t="inlineStr">
        <is>
          <t>Validation thân request</t>
        </is>
      </c>
      <c r="G324" s="17" t="inlineStr">
        <is>
          <t>thân request thiếu hẳn: 400 chứ không phải 500</t>
        </is>
      </c>
      <c r="H324" s="17" t="inlineStr">
        <is>
          <t>than_trong_tra_400</t>
        </is>
      </c>
      <c r="I324" s="16" t="inlineStr">
        <is>
          <t>Đạt</t>
        </is>
      </c>
      <c r="J324" s="16" t="n">
        <v>0.145</v>
      </c>
    </row>
    <row r="325">
      <c r="A325" s="16" t="n">
        <v>321</v>
      </c>
      <c r="B325" s="16" t="inlineStr">
        <is>
          <t>Backend</t>
        </is>
      </c>
      <c r="C325" s="17" t="inlineStr">
        <is>
          <t>starter-web</t>
        </is>
      </c>
      <c r="D325" s="16" t="inlineStr">
        <is>
          <t>API slice</t>
        </is>
      </c>
      <c r="E325" s="17" t="inlineStr">
        <is>
          <t>GlobalExceptionHandlerWebTest › BodyValidation</t>
        </is>
      </c>
      <c r="F325" s="17" t="inlineStr">
        <is>
          <t>Validation thân request</t>
        </is>
      </c>
      <c r="G325" s="17" t="inlineStr">
        <is>
          <t>@Valid hỏng: 400 VALIDATION_FAILED, meta.fields liệt kê từng trường hỏng</t>
        </is>
      </c>
      <c r="H325" s="17" t="inlineStr">
        <is>
          <t>bean_validation_liet_ke_truong</t>
        </is>
      </c>
      <c r="I325" s="16" t="inlineStr">
        <is>
          <t>Đạt</t>
        </is>
      </c>
      <c r="J325" s="16" t="n">
        <v>0.223</v>
      </c>
    </row>
    <row r="326">
      <c r="A326" s="16" t="n">
        <v>322</v>
      </c>
      <c r="B326" s="16" t="inlineStr">
        <is>
          <t>Backend</t>
        </is>
      </c>
      <c r="C326" s="17" t="inlineStr">
        <is>
          <t>starter-web</t>
        </is>
      </c>
      <c r="D326" s="16" t="inlineStr">
        <is>
          <t>API slice</t>
        </is>
      </c>
      <c r="E326" s="17" t="inlineStr">
        <is>
          <t>GlobalExceptionHandlerWebTest › BodyValidation</t>
        </is>
      </c>
      <c r="F326" s="17" t="inlineStr">
        <is>
          <t>Validation thân request</t>
        </is>
      </c>
      <c r="G326" s="17" t="inlineStr">
        <is>
          <t>JSON hỏng: 400, và detail không nhắc lại lỗi parser (vị trí, lớp Java)</t>
        </is>
      </c>
      <c r="H326" s="17" t="inlineStr">
        <is>
          <t>json_hong_tra_400_khong_lo_parser</t>
        </is>
      </c>
      <c r="I326" s="16" t="inlineStr">
        <is>
          <t>Đạt</t>
        </is>
      </c>
      <c r="J326" s="16" t="n">
        <v>0.047</v>
      </c>
    </row>
    <row r="327">
      <c r="A327" s="16" t="n">
        <v>323</v>
      </c>
      <c r="B327" s="16" t="inlineStr">
        <is>
          <t>Backend</t>
        </is>
      </c>
      <c r="C327" s="17" t="inlineStr">
        <is>
          <t>starter-web</t>
        </is>
      </c>
      <c r="D327" s="16" t="inlineStr">
        <is>
          <t>API slice</t>
        </is>
      </c>
      <c r="E327" s="17" t="inlineStr">
        <is>
          <t>GlobalExceptionHandlerWebTest › InfrastructureExceptions</t>
        </is>
      </c>
      <c r="F327" s="17" t="inlineStr">
        <is>
          <t>Ngoại lệ hạ tầng có handler riêng</t>
        </is>
      </c>
      <c r="G327" s="17" t="inlineStr">
        <is>
          <t>request async quá hạn: 503 UPSTREAM_UNAVAILABLE, không phải 500</t>
        </is>
      </c>
      <c r="H327" s="17" t="inlineStr">
        <is>
          <t>async_qua_han_tra_503</t>
        </is>
      </c>
      <c r="I327" s="16" t="inlineStr">
        <is>
          <t>Đạt</t>
        </is>
      </c>
      <c r="J327" s="16" t="n">
        <v>0.023</v>
      </c>
    </row>
    <row r="328">
      <c r="A328" s="16" t="n">
        <v>324</v>
      </c>
      <c r="B328" s="16" t="inlineStr">
        <is>
          <t>Backend</t>
        </is>
      </c>
      <c r="C328" s="17" t="inlineStr">
        <is>
          <t>starter-web</t>
        </is>
      </c>
      <c r="D328" s="16" t="inlineStr">
        <is>
          <t>API slice</t>
        </is>
      </c>
      <c r="E328" s="17" t="inlineStr">
        <is>
          <t>GlobalExceptionHandlerWebTest › InfrastructureExceptions</t>
        </is>
      </c>
      <c r="F328" s="17" t="inlineStr">
        <is>
          <t>Ngoại lệ hạ tầng có handler riêng</t>
        </is>
      </c>
      <c r="G328" s="17" t="inlineStr">
        <is>
          <t>ResponseStatusException 409 từ controller: giữ 409, mã VALIDATION_FAILED, không lộ reason</t>
        </is>
      </c>
      <c r="H328" s="17" t="inlineStr">
        <is>
          <t>response_status_exception_giu_trang_thai</t>
        </is>
      </c>
      <c r="I328" s="16" t="inlineStr">
        <is>
          <t>Đạt</t>
        </is>
      </c>
      <c r="J328" s="16" t="n">
        <v>0.033</v>
      </c>
    </row>
    <row r="329">
      <c r="A329" s="16" t="n">
        <v>325</v>
      </c>
      <c r="B329" s="16" t="inlineStr">
        <is>
          <t>Backend</t>
        </is>
      </c>
      <c r="C329" s="17" t="inlineStr">
        <is>
          <t>starter-web</t>
        </is>
      </c>
      <c r="D329" s="16" t="inlineStr">
        <is>
          <t>API slice</t>
        </is>
      </c>
      <c r="E329" s="17" t="inlineStr">
        <is>
          <t>GlobalExceptionHandlerWebTest › InfrastructureExceptions</t>
        </is>
      </c>
      <c r="F329" s="17" t="inlineStr">
        <is>
          <t>Ngoại lệ hạ tầng có handler riêng</t>
        </is>
      </c>
      <c r="G329" s="17" t="inlineStr">
        <is>
          <t>đường dẫn không tồn tại: 404 NOT_FOUND, không nhắc lại đường dẫn</t>
        </is>
      </c>
      <c r="H329" s="17" t="inlineStr">
        <is>
          <t>duong_dan_khong_ton_tai_tra_404</t>
        </is>
      </c>
      <c r="I329" s="16" t="inlineStr">
        <is>
          <t>Đạt</t>
        </is>
      </c>
      <c r="J329" s="16" t="n">
        <v>0.049</v>
      </c>
    </row>
    <row r="330">
      <c r="A330" s="16" t="n">
        <v>326</v>
      </c>
      <c r="B330" s="16" t="inlineStr">
        <is>
          <t>Backend</t>
        </is>
      </c>
      <c r="C330" s="17" t="inlineStr">
        <is>
          <t>starter-web</t>
        </is>
      </c>
      <c r="D330" s="16" t="inlineStr">
        <is>
          <t>API slice</t>
        </is>
      </c>
      <c r="E330" s="17" t="inlineStr">
        <is>
          <t>GlobalExceptionHandlerWebTest › SpringClientErrors</t>
        </is>
      </c>
      <c r="F330" s="17" t="inlineStr">
        <is>
          <t>Ngoại lệ chuẩn của Spring MVC phải là 4xx, không phải 500</t>
        </is>
      </c>
      <c r="G330" s="17" t="inlineStr">
        <is>
          <t>path variable không phải UUID (MethodArgumentTypeMismatchException): 400</t>
        </is>
      </c>
      <c r="H330" s="17" t="inlineStr">
        <is>
          <t>path_variable_sai_uuid_tra_400</t>
        </is>
      </c>
      <c r="I330" s="16" t="inlineStr">
        <is>
          <t>Đạt</t>
        </is>
      </c>
      <c r="J330" s="16" t="n">
        <v>0.11</v>
      </c>
    </row>
    <row r="331">
      <c r="A331" s="16" t="n">
        <v>327</v>
      </c>
      <c r="B331" s="16" t="inlineStr">
        <is>
          <t>Backend</t>
        </is>
      </c>
      <c r="C331" s="17" t="inlineStr">
        <is>
          <t>starter-web</t>
        </is>
      </c>
      <c r="D331" s="16" t="inlineStr">
        <is>
          <t>API slice</t>
        </is>
      </c>
      <c r="E331" s="17" t="inlineStr">
        <is>
          <t>GlobalExceptionHandlerWebTest › SpringClientErrors</t>
        </is>
      </c>
      <c r="F331" s="17" t="inlineStr">
        <is>
          <t>Ngoại lệ chuẩn của Spring MVC phải là 4xx, không phải 500</t>
        </is>
      </c>
      <c r="G331" s="17" t="inlineStr">
        <is>
          <t>sai Content-Type (HttpMediaTypeNotSupportedException): 415</t>
        </is>
      </c>
      <c r="H331" s="17" t="inlineStr">
        <is>
          <t>sai_content_type_tra_415</t>
        </is>
      </c>
      <c r="I331" s="16" t="inlineStr">
        <is>
          <t>Đạt</t>
        </is>
      </c>
      <c r="J331" s="16" t="n">
        <v>0.057</v>
      </c>
    </row>
    <row r="332">
      <c r="A332" s="16" t="n">
        <v>328</v>
      </c>
      <c r="B332" s="16" t="inlineStr">
        <is>
          <t>Backend</t>
        </is>
      </c>
      <c r="C332" s="17" t="inlineStr">
        <is>
          <t>starter-web</t>
        </is>
      </c>
      <c r="D332" s="16" t="inlineStr">
        <is>
          <t>API slice</t>
        </is>
      </c>
      <c r="E332" s="17" t="inlineStr">
        <is>
          <t>GlobalExceptionHandlerWebTest › SpringClientErrors</t>
        </is>
      </c>
      <c r="F332" s="17" t="inlineStr">
        <is>
          <t>Ngoại lệ chuẩn của Spring MVC phải là 4xx, không phải 500</t>
        </is>
      </c>
      <c r="G332" s="17" t="inlineStr">
        <is>
          <t>query param sai kiểu (MethodArgumentTypeMismatchException): 400</t>
        </is>
      </c>
      <c r="H332" s="17" t="inlineStr">
        <is>
          <t>sai_kieu_query_param_tra_400</t>
        </is>
      </c>
      <c r="I332" s="16" t="inlineStr">
        <is>
          <t>Đạt</t>
        </is>
      </c>
      <c r="J332" s="16" t="n">
        <v>0.049</v>
      </c>
    </row>
    <row r="333">
      <c r="A333" s="16" t="n">
        <v>329</v>
      </c>
      <c r="B333" s="16" t="inlineStr">
        <is>
          <t>Backend</t>
        </is>
      </c>
      <c r="C333" s="17" t="inlineStr">
        <is>
          <t>starter-web</t>
        </is>
      </c>
      <c r="D333" s="16" t="inlineStr">
        <is>
          <t>API slice</t>
        </is>
      </c>
      <c r="E333" s="17" t="inlineStr">
        <is>
          <t>GlobalExceptionHandlerWebTest › SpringClientErrors</t>
        </is>
      </c>
      <c r="F333" s="17" t="inlineStr">
        <is>
          <t>Ngoại lệ chuẩn của Spring MVC phải là 4xx, không phải 500</t>
        </is>
      </c>
      <c r="G333" s="17" t="inlineStr">
        <is>
          <t>thiếu header bắt buộc (MissingRequestHeaderException): 400</t>
        </is>
      </c>
      <c r="H333" s="17" t="inlineStr">
        <is>
          <t>thieu_header_tra_400</t>
        </is>
      </c>
      <c r="I333" s="16" t="inlineStr">
        <is>
          <t>Đạt</t>
        </is>
      </c>
      <c r="J333" s="16" t="n">
        <v>0.067</v>
      </c>
    </row>
    <row r="334">
      <c r="A334" s="16" t="n">
        <v>330</v>
      </c>
      <c r="B334" s="16" t="inlineStr">
        <is>
          <t>Backend</t>
        </is>
      </c>
      <c r="C334" s="17" t="inlineStr">
        <is>
          <t>starter-web</t>
        </is>
      </c>
      <c r="D334" s="16" t="inlineStr">
        <is>
          <t>API slice</t>
        </is>
      </c>
      <c r="E334" s="17" t="inlineStr">
        <is>
          <t>GlobalExceptionHandlerWebTest › SpringClientErrors</t>
        </is>
      </c>
      <c r="F334" s="17" t="inlineStr">
        <is>
          <t>Ngoại lệ chuẩn của Spring MVC phải là 4xx, không phải 500</t>
        </is>
      </c>
      <c r="G334" s="17" t="inlineStr">
        <is>
          <t>sai HTTP method (HttpRequestMethodNotSupportedException): 405</t>
        </is>
      </c>
      <c r="H334" s="17" t="inlineStr">
        <is>
          <t>sai_method_tra_405</t>
        </is>
      </c>
      <c r="I334" s="16" t="inlineStr">
        <is>
          <t>Đạt</t>
        </is>
      </c>
      <c r="J334" s="16" t="n">
        <v>0.06900000000000001</v>
      </c>
    </row>
    <row r="335">
      <c r="A335" s="16" t="n">
        <v>331</v>
      </c>
      <c r="B335" s="16" t="inlineStr">
        <is>
          <t>Backend</t>
        </is>
      </c>
      <c r="C335" s="17" t="inlineStr">
        <is>
          <t>starter-web</t>
        </is>
      </c>
      <c r="D335" s="16" t="inlineStr">
        <is>
          <t>API slice</t>
        </is>
      </c>
      <c r="E335" s="17" t="inlineStr">
        <is>
          <t>GlobalExceptionHandlerWebTest › SpringClientErrors</t>
        </is>
      </c>
      <c r="F335" s="17" t="inlineStr">
        <is>
          <t>Ngoại lệ chuẩn của Spring MVC phải là 4xx, không phải 500</t>
        </is>
      </c>
      <c r="G335" s="17" t="inlineStr">
        <is>
          <t>@Size trên @RequestParam không có @Validated (HandlerMethodValidationException): 400 kèm meta.fields</t>
        </is>
      </c>
      <c r="H335" s="17" t="inlineStr">
        <is>
          <t>rang_buoc_tham_so_khong_validated_tra_400</t>
        </is>
      </c>
      <c r="I335" s="16" t="inlineStr">
        <is>
          <t>Đạt</t>
        </is>
      </c>
      <c r="J335" s="16" t="n">
        <v>0.114</v>
      </c>
    </row>
    <row r="336">
      <c r="A336" s="16" t="n">
        <v>332</v>
      </c>
      <c r="B336" s="16" t="inlineStr">
        <is>
          <t>Backend</t>
        </is>
      </c>
      <c r="C336" s="17" t="inlineStr">
        <is>
          <t>starter-web</t>
        </is>
      </c>
      <c r="D336" s="16" t="inlineStr">
        <is>
          <t>API slice</t>
        </is>
      </c>
      <c r="E336" s="17" t="inlineStr">
        <is>
          <t>GlobalExceptionHandlerWebTest › SpringClientErrors</t>
        </is>
      </c>
      <c r="F336" s="17" t="inlineStr">
        <is>
          <t>Ngoại lệ chuẩn của Spring MVC phải là 4xx, không phải 500</t>
        </is>
      </c>
      <c r="G336" s="17" t="inlineStr">
        <is>
          <t>thiếu query param bắt buộc (MissingServletRequestParameterException): 400</t>
        </is>
      </c>
      <c r="H336" s="17" t="inlineStr">
        <is>
          <t>thieu_query_param_tra_400</t>
        </is>
      </c>
      <c r="I336" s="16" t="inlineStr">
        <is>
          <t>Đạt</t>
        </is>
      </c>
      <c r="J336" s="16" t="n">
        <v>0.053</v>
      </c>
    </row>
    <row r="337">
      <c r="A337" s="16" t="n">
        <v>333</v>
      </c>
      <c r="B337" s="16" t="inlineStr">
        <is>
          <t>Backend</t>
        </is>
      </c>
      <c r="C337" s="17" t="inlineStr">
        <is>
          <t>starter-web</t>
        </is>
      </c>
      <c r="D337" s="16" t="inlineStr">
        <is>
          <t>API slice</t>
        </is>
      </c>
      <c r="E337" s="17" t="inlineStr">
        <is>
          <t>GlobalExceptionHandlerWebTest › Unexpected</t>
        </is>
      </c>
      <c r="F337" s="17" t="inlineStr">
        <is>
          <t>Lưới cuối: lỗi không lường trước</t>
        </is>
      </c>
      <c r="G337" s="17" t="inlineStr">
        <is>
          <t>NullPointerException: 500, không lộ tên lớp ngoại lệ hay tên biến</t>
        </is>
      </c>
      <c r="H337" s="17" t="inlineStr">
        <is>
          <t>npe_khong_lo_gi</t>
        </is>
      </c>
      <c r="I337" s="16" t="inlineStr">
        <is>
          <t>Đạt</t>
        </is>
      </c>
      <c r="J337" s="16" t="n">
        <v>0.136</v>
      </c>
    </row>
    <row r="338">
      <c r="A338" s="16" t="n">
        <v>334</v>
      </c>
      <c r="B338" s="16" t="inlineStr">
        <is>
          <t>Backend</t>
        </is>
      </c>
      <c r="C338" s="17" t="inlineStr">
        <is>
          <t>starter-web</t>
        </is>
      </c>
      <c r="D338" s="16" t="inlineStr">
        <is>
          <t>API slice</t>
        </is>
      </c>
      <c r="E338" s="17" t="inlineStr">
        <is>
          <t>GlobalExceptionHandlerWebTest › Unexpected</t>
        </is>
      </c>
      <c r="F338" s="17" t="inlineStr">
        <is>
          <t>Lưới cuối: lỗi không lường trước</t>
        </is>
      </c>
      <c r="G338" s="17" t="inlineStr">
        <is>
          <t>500 INTERNAL_ERROR, KHÔNG lộ thông điệp gốc hay stack trace</t>
        </is>
      </c>
      <c r="H338" s="17" t="inlineStr">
        <is>
          <t>khong_lo_thong_diep_goc</t>
        </is>
      </c>
      <c r="I338" s="16" t="inlineStr">
        <is>
          <t>Đạt</t>
        </is>
      </c>
      <c r="J338" s="16" t="n">
        <v>0.179</v>
      </c>
    </row>
    <row r="339">
      <c r="A339" s="16" t="n">
        <v>335</v>
      </c>
      <c r="B339" s="16" t="inlineStr">
        <is>
          <t>Backend</t>
        </is>
      </c>
      <c r="C339" s="17" t="inlineStr">
        <is>
          <t>starter-web</t>
        </is>
      </c>
      <c r="D339" s="16" t="inlineStr">
        <is>
          <t>Unit</t>
        </is>
      </c>
      <c r="E339" s="17" t="inlineStr">
        <is>
          <t>StatusExceptionHandlerTest</t>
        </is>
      </c>
      <c r="F339" s="17" t="inlineStr"/>
      <c r="G339" s="17" t="inlineStr">
        <is>
          <t>hai lớp NoResourceFoundException có HAI cây kế thừa khác nhau</t>
        </is>
      </c>
      <c r="H339" s="17" t="inlineStr">
        <is>
          <t>hai_lop_hai_cay_ke_thua</t>
        </is>
      </c>
      <c r="I339" s="16" t="inlineStr">
        <is>
          <t>Đạt</t>
        </is>
      </c>
      <c r="J339" s="16" t="n">
        <v>0.008</v>
      </c>
    </row>
    <row r="340">
      <c r="A340" s="16" t="n">
        <v>336</v>
      </c>
      <c r="B340" s="16" t="inlineStr">
        <is>
          <t>Backend</t>
        </is>
      </c>
      <c r="C340" s="17" t="inlineStr">
        <is>
          <t>starter-web</t>
        </is>
      </c>
      <c r="D340" s="16" t="inlineStr">
        <is>
          <t>Unit</t>
        </is>
      </c>
      <c r="E340" s="17" t="inlineStr">
        <is>
          <t>StatusExceptionHandlerTest</t>
        </is>
      </c>
      <c r="F340" s="17" t="inlineStr"/>
      <c r="G340" s="17" t="inlineStr">
        <is>
          <t>4xx khác 404 thành lỗi của người gọi, không thành lỗi server</t>
        </is>
      </c>
      <c r="H340" s="17" t="inlineStr">
        <is>
          <t>bon_xx_khac_khong_thanh_loi_server</t>
        </is>
      </c>
      <c r="I340" s="16" t="inlineStr">
        <is>
          <t>Đạt</t>
        </is>
      </c>
      <c r="J340" s="16" t="n">
        <v>0.002</v>
      </c>
    </row>
    <row r="341">
      <c r="A341" s="16" t="n">
        <v>337</v>
      </c>
      <c r="B341" s="16" t="inlineStr">
        <is>
          <t>Backend</t>
        </is>
      </c>
      <c r="C341" s="17" t="inlineStr">
        <is>
          <t>starter-web</t>
        </is>
      </c>
      <c r="D341" s="16" t="inlineStr">
        <is>
          <t>Unit</t>
        </is>
      </c>
      <c r="E341" s="17" t="inlineStr">
        <is>
          <t>StatusExceptionHandlerTest</t>
        </is>
      </c>
      <c r="F341" s="17" t="inlineStr"/>
      <c r="G341" s="17" t="inlineStr">
        <is>
          <t>5xx của Spring vẫn là 5xx</t>
        </is>
      </c>
      <c r="H341" s="17" t="inlineStr">
        <is>
          <t>nam_xx_giu_nguyen</t>
        </is>
      </c>
      <c r="I341" s="16" t="inlineStr">
        <is>
          <t>Đạt</t>
        </is>
      </c>
      <c r="J341" s="16" t="n">
        <v>0.004</v>
      </c>
    </row>
    <row r="342">
      <c r="A342" s="16" t="n">
        <v>338</v>
      </c>
      <c r="B342" s="16" t="inlineStr">
        <is>
          <t>Backend</t>
        </is>
      </c>
      <c r="C342" s="17" t="inlineStr">
        <is>
          <t>starter-web</t>
        </is>
      </c>
      <c r="D342" s="16" t="inlineStr">
        <is>
          <t>Unit</t>
        </is>
      </c>
      <c r="E342" s="17" t="inlineStr">
        <is>
          <t>StatusExceptionHandlerTest</t>
        </is>
      </c>
      <c r="F342" s="17" t="inlineStr"/>
      <c r="G342" s="17" t="inlineStr">
        <is>
          <t>404 của Spring đi ra thành 404, không phải 500</t>
        </is>
      </c>
      <c r="H342" s="17" t="inlineStr">
        <is>
          <t>bon_khong_bon_giu_nguyen</t>
        </is>
      </c>
      <c r="I342" s="16" t="inlineStr">
        <is>
          <t>Đạt</t>
        </is>
      </c>
      <c r="J342" s="16" t="n">
        <v>0.001</v>
      </c>
    </row>
    <row r="343">
      <c r="A343" s="16" t="n">
        <v>339</v>
      </c>
      <c r="B343" s="16" t="inlineStr">
        <is>
          <t>Backend</t>
        </is>
      </c>
      <c r="C343" s="17" t="inlineStr">
        <is>
          <t>starter-web</t>
        </is>
      </c>
      <c r="D343" s="16" t="inlineStr">
        <is>
          <t>Unit</t>
        </is>
      </c>
      <c r="E343" s="17" t="inlineStr">
        <is>
          <t>StatusExceptionHandlerTest</t>
        </is>
      </c>
      <c r="F343" s="17" t="inlineStr"/>
      <c r="G343" s="17" t="inlineStr">
        <is>
          <t>thân phản hồi KHÔNG nhắc lại đường dẫn người gọi vừa gõ</t>
        </is>
      </c>
      <c r="H343" s="17" t="inlineStr">
        <is>
          <t>khong_lo_duong_dan_noi_bo</t>
        </is>
      </c>
      <c r="I343" s="16" t="inlineStr">
        <is>
          <t>Đạt</t>
        </is>
      </c>
      <c r="J343" s="16" t="n">
        <v>0.002</v>
      </c>
    </row>
    <row r="344">
      <c r="A344" s="16" t="n">
        <v>340</v>
      </c>
      <c r="B344" s="16" t="inlineStr">
        <is>
          <t>Backend</t>
        </is>
      </c>
      <c r="C344" s="17" t="inlineStr">
        <is>
          <t>starter-web</t>
        </is>
      </c>
      <c r="D344" s="16" t="inlineStr">
        <is>
          <t>Unit</t>
        </is>
      </c>
      <c r="E344" s="17" t="inlineStr">
        <is>
          <t>ProductionHardeningTest</t>
        </is>
      </c>
      <c r="F344" s="17" t="inlineStr"/>
      <c r="G344" s="17" t="inlineStr">
        <is>
          <t>cấu hình đúng thì khởi động bình thường</t>
        </is>
      </c>
      <c r="H344" s="17" t="inlineStr">
        <is>
          <t>cau_hinh_dung_thi_qua</t>
        </is>
      </c>
      <c r="I344" s="16" t="inlineStr">
        <is>
          <t>Đạt</t>
        </is>
      </c>
      <c r="J344" s="16" t="n">
        <v>0.011</v>
      </c>
    </row>
    <row r="345">
      <c r="A345" s="16" t="n">
        <v>341</v>
      </c>
      <c r="B345" s="16" t="inlineStr">
        <is>
          <t>Backend</t>
        </is>
      </c>
      <c r="C345" s="17" t="inlineStr">
        <is>
          <t>starter-web</t>
        </is>
      </c>
      <c r="D345" s="16" t="inlineStr">
        <is>
          <t>Unit</t>
        </is>
      </c>
      <c r="E345" s="17" t="inlineStr">
        <is>
          <t>ProductionHardeningTest</t>
        </is>
      </c>
      <c r="F345" s="17" t="inlineStr"/>
      <c r="G345" s="17" t="inlineStr">
        <is>
          <t>profile prod + cấu hình dev: ném lỗi có nội dung, không phải NPE câm</t>
        </is>
      </c>
      <c r="H345" s="17" t="inlineStr">
        <is>
          <t>profile_prod_thi_chan</t>
        </is>
      </c>
      <c r="I345" s="16" t="inlineStr">
        <is>
          <t>Đạt</t>
        </is>
      </c>
      <c r="J345" s="16" t="n">
        <v>0.004</v>
      </c>
    </row>
    <row r="346">
      <c r="A346" s="16" t="n">
        <v>342</v>
      </c>
      <c r="B346" s="16" t="inlineStr">
        <is>
          <t>Backend</t>
        </is>
      </c>
      <c r="C346" s="17" t="inlineStr">
        <is>
          <t>starter-web</t>
        </is>
      </c>
      <c r="D346" s="16" t="inlineStr">
        <is>
          <t>Unit</t>
        </is>
      </c>
      <c r="E346" s="17" t="inlineStr">
        <is>
          <t>ProductionHardeningTest</t>
        </is>
      </c>
      <c r="F346" s="17" t="inlineStr"/>
      <c r="G346" s="17" t="inlineStr">
        <is>
          <t>cờ dữ liệu mẫu bật: chặn, quét theo hình dạng khoá chứ không theo danh sách</t>
        </is>
      </c>
      <c r="H346" s="17" t="inlineStr">
        <is>
          <t>co_du_lieu_mau_bi_chan</t>
        </is>
      </c>
      <c r="I346" s="16" t="inlineStr">
        <is>
          <t>Đạt</t>
        </is>
      </c>
      <c r="J346" s="16" t="n">
        <v>0.003</v>
      </c>
    </row>
    <row r="347">
      <c r="A347" s="16" t="n">
        <v>343</v>
      </c>
      <c r="B347" s="16" t="inlineStr">
        <is>
          <t>Backend</t>
        </is>
      </c>
      <c r="C347" s="17" t="inlineStr">
        <is>
          <t>starter-web</t>
        </is>
      </c>
      <c r="D347" s="16" t="inlineStr">
        <is>
          <t>Unit</t>
        </is>
      </c>
      <c r="E347" s="17" t="inlineStr">
        <is>
          <t>ProductionHardeningTest</t>
        </is>
      </c>
      <c r="F347" s="17" t="inlineStr"/>
      <c r="G347" s="17" t="inlineStr">
        <is>
          <t>không có profile prod thì không kiểm gì — dev vẫn tiện như cũ</t>
        </is>
      </c>
      <c r="H347" s="17" t="inlineStr">
        <is>
          <t>ngoai_prod_thi_khong_kiem</t>
        </is>
      </c>
      <c r="I347" s="16" t="inlineStr">
        <is>
          <t>Đạt</t>
        </is>
      </c>
      <c r="J347" s="16" t="n">
        <v>0.003</v>
      </c>
    </row>
    <row r="348">
      <c r="A348" s="16" t="n">
        <v>344</v>
      </c>
      <c r="B348" s="16" t="inlineStr">
        <is>
          <t>Backend</t>
        </is>
      </c>
      <c r="C348" s="17" t="inlineStr">
        <is>
          <t>starter-web</t>
        </is>
      </c>
      <c r="D348" s="16" t="inlineStr">
        <is>
          <t>Unit</t>
        </is>
      </c>
      <c r="E348" s="17" t="inlineStr">
        <is>
          <t>ProductionHardeningTest</t>
        </is>
      </c>
      <c r="F348" s="17" t="inlineStr"/>
      <c r="G348" s="17" t="inlineStr">
        <is>
          <t>còn bí mật dev của Keycloak Admin API: chặn</t>
        </is>
      </c>
      <c r="H348" s="17" t="inlineStr">
        <is>
          <t>con_bi_mat_dev_cua_keycloak</t>
        </is>
      </c>
      <c r="I348" s="16" t="inlineStr">
        <is>
          <t>Đạt</t>
        </is>
      </c>
      <c r="J348" s="16" t="n">
        <v>0.004</v>
      </c>
    </row>
    <row r="349">
      <c r="A349" s="16" t="n">
        <v>345</v>
      </c>
      <c r="B349" s="16" t="inlineStr">
        <is>
          <t>Backend</t>
        </is>
      </c>
      <c r="C349" s="17" t="inlineStr">
        <is>
          <t>starter-web</t>
        </is>
      </c>
      <c r="D349" s="16" t="inlineStr">
        <is>
          <t>Unit</t>
        </is>
      </c>
      <c r="E349" s="17" t="inlineStr">
        <is>
          <t>ProductionHardeningTest</t>
        </is>
      </c>
      <c r="F349" s="17" t="inlineStr"/>
      <c r="G349" s="17" t="inlineStr">
        <is>
          <t>issuer qua http: chặn — trừ loopback</t>
        </is>
      </c>
      <c r="H349" s="17" t="inlineStr">
        <is>
          <t>issuer_phai_la_https</t>
        </is>
      </c>
      <c r="I349" s="16" t="inlineStr">
        <is>
          <t>Đạt</t>
        </is>
      </c>
      <c r="J349" s="16" t="n">
        <v>0.004</v>
      </c>
    </row>
    <row r="350">
      <c r="A350" s="16" t="n">
        <v>346</v>
      </c>
      <c r="B350" s="16" t="inlineStr">
        <is>
          <t>Backend</t>
        </is>
      </c>
      <c r="C350" s="17" t="inlineStr">
        <is>
          <t>starter-web</t>
        </is>
      </c>
      <c r="D350" s="16" t="inlineStr">
        <is>
          <t>Unit</t>
        </is>
      </c>
      <c r="E350" s="17" t="inlineStr">
        <is>
          <t>ProductionHardeningTest</t>
        </is>
      </c>
      <c r="F350" s="17" t="inlineStr"/>
      <c r="G350" s="17" t="inlineStr">
        <is>
          <t>chạy SAU bộ nạp config data, nếu không mọi thuộc tính đều trống</t>
        </is>
      </c>
      <c r="H350" s="17" t="inlineStr">
        <is>
          <t>chay_sau_config_data</t>
        </is>
      </c>
      <c r="I350" s="16" t="inlineStr">
        <is>
          <t>Đạt</t>
        </is>
      </c>
      <c r="J350" s="16" t="n">
        <v>0.002</v>
      </c>
    </row>
    <row r="351">
      <c r="A351" s="16" t="n">
        <v>347</v>
      </c>
      <c r="B351" s="16" t="inlineStr">
        <is>
          <t>Backend</t>
        </is>
      </c>
      <c r="C351" s="17" t="inlineStr">
        <is>
          <t>starter-web</t>
        </is>
      </c>
      <c r="D351" s="16" t="inlineStr">
        <is>
          <t>Unit</t>
        </is>
      </c>
      <c r="E351" s="17" t="inlineStr">
        <is>
          <t>ProductionHardeningTest</t>
        </is>
      </c>
      <c r="F351" s="17" t="inlineStr"/>
      <c r="G351" s="17" t="inlineStr">
        <is>
          <t>liệt kê TẤT CẢ vấn đề trong một lần, không dừng ở cái đầu</t>
        </is>
      </c>
      <c r="H351" s="17" t="inlineStr">
        <is>
          <t>liet_ke_tat_ca_van_de</t>
        </is>
      </c>
      <c r="I351" s="16" t="inlineStr">
        <is>
          <t>Đạt</t>
        </is>
      </c>
      <c r="J351" s="16" t="n">
        <v>0.001</v>
      </c>
    </row>
    <row r="352">
      <c r="A352" s="16" t="n">
        <v>348</v>
      </c>
      <c r="B352" s="16" t="inlineStr">
        <is>
          <t>Backend</t>
        </is>
      </c>
      <c r="C352" s="17" t="inlineStr">
        <is>
          <t>starter-web</t>
        </is>
      </c>
      <c r="D352" s="16" t="inlineStr">
        <is>
          <t>Unit</t>
        </is>
      </c>
      <c r="E352" s="17" t="inlineStr">
        <is>
          <t>ProductionHardeningTest</t>
        </is>
      </c>
      <c r="F352" s="17" t="inlineStr"/>
      <c r="G352" s="17" t="inlineStr">
        <is>
          <t>nguồn cấu hình không liệt kê được thì bị bỏ sót — giới hạn đã biết của cách quét</t>
        </is>
      </c>
      <c r="H352" s="17" t="inlineStr">
        <is>
          <t>nguon_khong_liet_ke_duoc_bi_bo_sot</t>
        </is>
      </c>
      <c r="I352" s="16" t="inlineStr">
        <is>
          <t>Đạt</t>
        </is>
      </c>
      <c r="J352" s="16" t="n">
        <v>0</v>
      </c>
    </row>
    <row r="353">
      <c r="A353" s="16" t="n">
        <v>349</v>
      </c>
      <c r="B353" s="16" t="inlineStr">
        <is>
          <t>Backend</t>
        </is>
      </c>
      <c r="C353" s="17" t="inlineStr">
        <is>
          <t>starter-web</t>
        </is>
      </c>
      <c r="D353" s="16" t="inlineStr">
        <is>
          <t>Unit</t>
        </is>
      </c>
      <c r="E353" s="17" t="inlineStr">
        <is>
          <t>ProductionHardeningTest</t>
        </is>
      </c>
      <c r="F353" s="17" t="inlineStr"/>
      <c r="G353" s="17" t="inlineStr">
        <is>
          <t>còn email superadmin mặc định: chặn</t>
        </is>
      </c>
      <c r="H353" s="17" t="inlineStr">
        <is>
          <t>con_email_superadmin_mac_dinh</t>
        </is>
      </c>
      <c r="I353" s="16" t="inlineStr">
        <is>
          <t>Đạt</t>
        </is>
      </c>
      <c r="J353" s="16" t="n">
        <v>0.002</v>
      </c>
    </row>
    <row r="354">
      <c r="A354" s="16" t="n">
        <v>350</v>
      </c>
      <c r="B354" s="16" t="inlineStr">
        <is>
          <t>Backend</t>
        </is>
      </c>
      <c r="C354" s="17" t="inlineStr">
        <is>
          <t>starter-web</t>
        </is>
      </c>
      <c r="D354" s="16" t="inlineStr">
        <is>
          <t>Unit</t>
        </is>
      </c>
      <c r="E354" s="17" t="inlineStr">
        <is>
          <t>ProductionHardeningTest</t>
        </is>
      </c>
      <c r="F354" s="17" t="inlineStr"/>
      <c r="G354" s="17" t="inlineStr">
        <is>
          <t>http nội bộ trong cụm: chấp nhận, nhưng phải khai tường minh</t>
        </is>
      </c>
      <c r="H354" s="17" t="inlineStr">
        <is>
          <t>http_noi_bo_phai_khai_tuong_minh</t>
        </is>
      </c>
      <c r="I354" s="16" t="inlineStr">
        <is>
          <t>Đạt</t>
        </is>
      </c>
      <c r="J354" s="16" t="n">
        <v>0.002</v>
      </c>
    </row>
    <row r="355">
      <c r="A355" s="16" t="n">
        <v>351</v>
      </c>
      <c r="B355" s="16" t="inlineStr">
        <is>
          <t>Backend</t>
        </is>
      </c>
      <c r="C355" s="17" t="inlineStr">
        <is>
          <t>starter-web</t>
        </is>
      </c>
      <c r="D355" s="16" t="inlineStr">
        <is>
          <t>Unit</t>
        </is>
      </c>
      <c r="E355" s="17" t="inlineStr">
        <is>
          <t>ProductionHardeningTest</t>
        </is>
      </c>
      <c r="F355" s="17" t="inlineStr"/>
      <c r="G355" s="17" t="inlineStr">
        <is>
          <t>thiếu bí mật /internal: chặn, vì đó là đường tự cấp SUPER_ADMIN</t>
        </is>
      </c>
      <c r="H355" s="17" t="inlineStr">
        <is>
          <t>thieu_bi_mat_internal</t>
        </is>
      </c>
      <c r="I355" s="16" t="inlineStr">
        <is>
          <t>Đạt</t>
        </is>
      </c>
      <c r="J355" s="16" t="n">
        <v>0.001</v>
      </c>
    </row>
    <row r="356">
      <c r="A356" s="16" t="n">
        <v>352</v>
      </c>
      <c r="B356" s="16" t="inlineStr">
        <is>
          <t>Backend</t>
        </is>
      </c>
      <c r="C356" s="17" t="inlineStr">
        <is>
          <t>ai-chatbox-service</t>
        </is>
      </c>
      <c r="D356" s="16" t="inlineStr">
        <is>
          <t>Unit</t>
        </is>
      </c>
      <c r="E356" s="17" t="inlineStr">
        <is>
          <t>AgentMetricsCardinalityTest</t>
        </is>
      </c>
      <c r="F356" s="17" t="inlineStr"/>
      <c r="G356" s="17" t="inlineStr">
        <is>
          <t>ten tool la gom ve unknown</t>
        </is>
      </c>
      <c r="H356" s="17" t="inlineStr">
        <is>
          <t>ten_tool_la_gom_ve_unknown</t>
        </is>
      </c>
      <c r="I356" s="16" t="inlineStr">
        <is>
          <t>Đạt</t>
        </is>
      </c>
      <c r="J356" s="16" t="n">
        <v>0.155</v>
      </c>
    </row>
    <row r="357">
      <c r="A357" s="16" t="n">
        <v>353</v>
      </c>
      <c r="B357" s="16" t="inlineStr">
        <is>
          <t>Backend</t>
        </is>
      </c>
      <c r="C357" s="17" t="inlineStr">
        <is>
          <t>ai-chatbox-service</t>
        </is>
      </c>
      <c r="D357" s="16" t="inlineStr">
        <is>
          <t>Unit</t>
        </is>
      </c>
      <c r="E357" s="17" t="inlineStr">
        <is>
          <t>AgentMetricsCardinalityTest</t>
        </is>
      </c>
      <c r="F357" s="17" t="inlineStr"/>
      <c r="G357" s="17" t="inlineStr">
        <is>
          <t>dem ca lan goi llm thanh cong lan hong</t>
        </is>
      </c>
      <c r="H357" s="17" t="inlineStr">
        <is>
          <t>dem_ca_lan_goi_llm_thanh_cong_lan_hong</t>
        </is>
      </c>
      <c r="I357" s="16" t="inlineStr">
        <is>
          <t>Đạt</t>
        </is>
      </c>
      <c r="J357" s="16" t="n">
        <v>0.015</v>
      </c>
    </row>
    <row r="358">
      <c r="A358" s="16" t="n">
        <v>354</v>
      </c>
      <c r="B358" s="16" t="inlineStr">
        <is>
          <t>Backend</t>
        </is>
      </c>
      <c r="C358" s="17" t="inlineStr">
        <is>
          <t>ai-chatbox-service</t>
        </is>
      </c>
      <c r="D358" s="16" t="inlineStr">
        <is>
          <t>Unit</t>
        </is>
      </c>
      <c r="E358" s="17" t="inlineStr">
        <is>
          <t>AgentRoundsAndFallbackTest</t>
        </is>
      </c>
      <c r="F358" s="17" t="inlineStr"/>
      <c r="G358" s="17" t="inlineStr">
        <is>
          <t>tra loi binh thuong ghi dung mot lan</t>
        </is>
      </c>
      <c r="H358" s="17" t="inlineStr">
        <is>
          <t>tra_loi_binh_thuong_ghi_dung_mot_lan</t>
        </is>
      </c>
      <c r="I358" s="16" t="inlineStr">
        <is>
          <t>Đạt</t>
        </is>
      </c>
      <c r="J358" s="16" t="n">
        <v>0.353</v>
      </c>
    </row>
    <row r="359">
      <c r="A359" s="16" t="n">
        <v>355</v>
      </c>
      <c r="B359" s="16" t="inlineStr">
        <is>
          <t>Backend</t>
        </is>
      </c>
      <c r="C359" s="17" t="inlineStr">
        <is>
          <t>ai-chatbox-service</t>
        </is>
      </c>
      <c r="D359" s="16" t="inlineStr">
        <is>
          <t>Unit</t>
        </is>
      </c>
      <c r="E359" s="17" t="inlineStr">
        <is>
          <t>AgentRoundsAndFallbackTest</t>
        </is>
      </c>
      <c r="F359" s="17" t="inlineStr"/>
      <c r="G359" s="17" t="inlineStr">
        <is>
          <t>mo hinh hong thi chuyen nhan vien va van ghi so vong</t>
        </is>
      </c>
      <c r="H359" s="17" t="inlineStr">
        <is>
          <t>mo_hinh_hong_thi_chuyen_nhan_vien_va_van_ghi_so_vong</t>
        </is>
      </c>
      <c r="I359" s="16" t="inlineStr">
        <is>
          <t>Đạt</t>
        </is>
      </c>
      <c r="J359" s="16" t="n">
        <v>0.019</v>
      </c>
    </row>
    <row r="360">
      <c r="A360" s="16" t="n">
        <v>356</v>
      </c>
      <c r="B360" s="16" t="inlineStr">
        <is>
          <t>Backend</t>
        </is>
      </c>
      <c r="C360" s="17" t="inlineStr">
        <is>
          <t>ai-chatbox-service</t>
        </is>
      </c>
      <c r="D360" s="16" t="inlineStr">
        <is>
          <t>Unit</t>
        </is>
      </c>
      <c r="E360" s="17" t="inlineStr">
        <is>
          <t>AgentRoundsAndFallbackTest</t>
        </is>
      </c>
      <c r="F360" s="17" t="inlineStr"/>
      <c r="G360" s="17" t="inlineStr">
        <is>
          <t>ket thuc som bang tool dieu khien van ghi so vong</t>
        </is>
      </c>
      <c r="H360" s="17" t="inlineStr">
        <is>
          <t>ket_thuc_som_bang_tool_dieu_khien_van_ghi_so_vong</t>
        </is>
      </c>
      <c r="I360" s="16" t="inlineStr">
        <is>
          <t>Đạt</t>
        </is>
      </c>
      <c r="J360" s="16" t="n">
        <v>0.08400000000000001</v>
      </c>
    </row>
    <row r="361">
      <c r="A361" s="16" t="n">
        <v>357</v>
      </c>
      <c r="B361" s="16" t="inlineStr">
        <is>
          <t>Backend</t>
        </is>
      </c>
      <c r="C361" s="17" t="inlineStr">
        <is>
          <t>ai-chatbox-service</t>
        </is>
      </c>
      <c r="D361" s="16" t="inlineStr">
        <is>
          <t>Unit</t>
        </is>
      </c>
      <c r="E361" s="17" t="inlineStr">
        <is>
          <t>AnswerGroundingTest</t>
        </is>
      </c>
      <c r="F361" s="17" t="inlineStr"/>
      <c r="G361" s="17" t="inlineStr">
        <is>
          <t>tra don khong ra thi cau thay the khong nhac su kien</t>
        </is>
      </c>
      <c r="H361" s="17" t="inlineStr">
        <is>
          <t>tra_don_khong_ra_thi_cau_thay_the_khong_nhac_su_kien</t>
        </is>
      </c>
      <c r="I361" s="16" t="inlineStr">
        <is>
          <t>Đạt</t>
        </is>
      </c>
      <c r="J361" s="16" t="n">
        <v>0.006</v>
      </c>
    </row>
    <row r="362">
      <c r="A362" s="16" t="n">
        <v>358</v>
      </c>
      <c r="B362" s="16" t="inlineStr">
        <is>
          <t>Backend</t>
        </is>
      </c>
      <c r="C362" s="17" t="inlineStr">
        <is>
          <t>ai-chatbox-service</t>
        </is>
      </c>
      <c r="D362" s="16" t="inlineStr">
        <is>
          <t>Unit</t>
        </is>
      </c>
      <c r="E362" s="17" t="inlineStr">
        <is>
          <t>AnswerGroundingTest</t>
        </is>
      </c>
      <c r="F362" s="17" t="inlineStr"/>
      <c r="G362" s="17" t="inlineStr">
        <is>
          <t>cau null hoac rong tra nguyen</t>
        </is>
      </c>
      <c r="H362" s="17" t="inlineStr">
        <is>
          <t>cau_null_hoac_rong_tra_nguyen</t>
        </is>
      </c>
      <c r="I362" s="16" t="inlineStr">
        <is>
          <t>Đạt</t>
        </is>
      </c>
      <c r="J362" s="16" t="n">
        <v>0.004</v>
      </c>
    </row>
    <row r="363">
      <c r="A363" s="16" t="n">
        <v>359</v>
      </c>
      <c r="B363" s="16" t="inlineStr">
        <is>
          <t>Backend</t>
        </is>
      </c>
      <c r="C363" s="17" t="inlineStr">
        <is>
          <t>ai-chatbox-service</t>
        </is>
      </c>
      <c r="D363" s="16" t="inlineStr">
        <is>
          <t>Unit</t>
        </is>
      </c>
      <c r="E363" s="17" t="inlineStr">
        <is>
          <t>AnswerGroundingTest</t>
        </is>
      </c>
      <c r="F363" s="17" t="inlineStr"/>
      <c r="G363" s="17" t="inlineStr">
        <is>
          <t>cau hotline kem so tien bia van bi chan</t>
        </is>
      </c>
      <c r="H363" s="17" t="inlineStr">
        <is>
          <t>cau_hotline_kem_so_tien_bia_van_bi_chan</t>
        </is>
      </c>
      <c r="I363" s="16" t="inlineStr">
        <is>
          <t>Đạt</t>
        </is>
      </c>
      <c r="J363" s="16" t="n">
        <v>0.003</v>
      </c>
    </row>
    <row r="364">
      <c r="A364" s="16" t="n">
        <v>360</v>
      </c>
      <c r="B364" s="16" t="inlineStr">
        <is>
          <t>Backend</t>
        </is>
      </c>
      <c r="C364" s="17" t="inlineStr">
        <is>
          <t>ai-chatbox-service</t>
        </is>
      </c>
      <c r="D364" s="16" t="inlineStr">
        <is>
          <t>Unit</t>
        </is>
      </c>
      <c r="E364" s="17" t="inlineStr">
        <is>
          <t>AnswerGroundingTest</t>
        </is>
      </c>
      <c r="F364" s="17" t="inlineStr"/>
      <c r="G364" s="17" t="inlineStr">
        <is>
          <t>chan ca khi mo hinh khong goi tool nao</t>
        </is>
      </c>
      <c r="H364" s="17" t="inlineStr">
        <is>
          <t>chan_ca_khi_mo_hinh_khong_goi_tool_nao</t>
        </is>
      </c>
      <c r="I364" s="16" t="inlineStr">
        <is>
          <t>Đạt</t>
        </is>
      </c>
      <c r="J364" s="16" t="n">
        <v>0.001</v>
      </c>
    </row>
    <row r="365">
      <c r="A365" s="16" t="n">
        <v>361</v>
      </c>
      <c r="B365" s="16" t="inlineStr">
        <is>
          <t>Backend</t>
        </is>
      </c>
      <c r="C365" s="17" t="inlineStr">
        <is>
          <t>ai-chatbox-service</t>
        </is>
      </c>
      <c r="D365" s="16" t="inlineStr">
        <is>
          <t>Unit</t>
        </is>
      </c>
      <c r="E365" s="17" t="inlineStr">
        <is>
          <t>AnswerGroundingTest</t>
        </is>
      </c>
      <c r="F365" s="17" t="inlineStr"/>
      <c r="G365" s="17" t="inlineStr">
        <is>
          <t>giu nguyen khi co doan tri thuc duoc lay ra</t>
        </is>
      </c>
      <c r="H365" s="17" t="inlineStr">
        <is>
          <t>giu_nguyen_khi_co_doan_tri_thuc_duoc_lay_ra</t>
        </is>
      </c>
      <c r="I365" s="16" t="inlineStr">
        <is>
          <t>Đạt</t>
        </is>
      </c>
      <c r="J365" s="16" t="n">
        <v>0.001</v>
      </c>
    </row>
    <row r="366">
      <c r="A366" s="16" t="n">
        <v>362</v>
      </c>
      <c r="B366" s="16" t="inlineStr">
        <is>
          <t>Backend</t>
        </is>
      </c>
      <c r="C366" s="17" t="inlineStr">
        <is>
          <t>ai-chatbox-service</t>
        </is>
      </c>
      <c r="D366" s="16" t="inlineStr">
        <is>
          <t>Unit</t>
        </is>
      </c>
      <c r="E366" s="17" t="inlineStr">
        <is>
          <t>AnswerGroundingTest</t>
        </is>
      </c>
      <c r="F366" s="17" t="inlineStr"/>
      <c r="G366" s="17" t="inlineStr">
        <is>
          <t>hang ly do khop payload cua tool</t>
        </is>
      </c>
      <c r="H366" s="17" t="inlineStr">
        <is>
          <t>hang_ly_do_khop_payload_cua_tool</t>
        </is>
      </c>
      <c r="I366" s="16" t="inlineStr">
        <is>
          <t>Đạt</t>
        </is>
      </c>
      <c r="J366" s="16" t="n">
        <v>0.002</v>
      </c>
    </row>
    <row r="367">
      <c r="A367" s="16" t="n">
        <v>363</v>
      </c>
      <c r="B367" s="16" t="inlineStr">
        <is>
          <t>Backend</t>
        </is>
      </c>
      <c r="C367" s="17" t="inlineStr">
        <is>
          <t>ai-chatbox-service</t>
        </is>
      </c>
      <c r="D367" s="16" t="inlineStr">
        <is>
          <t>Unit</t>
        </is>
      </c>
      <c r="E367" s="17" t="inlineStr">
        <is>
          <t>AnswerGroundingTest</t>
        </is>
      </c>
      <c r="F367" s="17" t="inlineStr"/>
      <c r="G367" s="17" t="inlineStr">
        <is>
          <t>khong chan cau tra loi khong neu con so nao</t>
        </is>
      </c>
      <c r="H367" s="17" t="inlineStr">
        <is>
          <t>khong_chan_cau_tra_loi_khong_neu_con_so_nao</t>
        </is>
      </c>
      <c r="I367" s="16" t="inlineStr">
        <is>
          <t>Đạt</t>
        </is>
      </c>
      <c r="J367" s="16" t="n">
        <v>0.002</v>
      </c>
    </row>
    <row r="368">
      <c r="A368" s="16" t="n">
        <v>364</v>
      </c>
      <c r="B368" s="16" t="inlineStr">
        <is>
          <t>Backend</t>
        </is>
      </c>
      <c r="C368" s="17" t="inlineStr">
        <is>
          <t>ai-chatbox-service</t>
        </is>
      </c>
      <c r="D368" s="16" t="inlineStr">
        <is>
          <t>Unit</t>
        </is>
      </c>
      <c r="E368" s="17" t="inlineStr">
        <is>
          <t>AnswerGroundingTest</t>
        </is>
      </c>
      <c r="F368" s="17" t="inlineStr"/>
      <c r="G368" s="17" t="inlineStr">
        <is>
          <t>giu nguyen cau hotline cua he thong</t>
        </is>
      </c>
      <c r="H368" s="17" t="inlineStr">
        <is>
          <t>giu_nguyen_cau_hotline_cua_he_thong(String)[1]</t>
        </is>
      </c>
      <c r="I368" s="16" t="inlineStr">
        <is>
          <t>Đạt</t>
        </is>
      </c>
      <c r="J368" s="16" t="n">
        <v>0.015</v>
      </c>
    </row>
    <row r="369">
      <c r="A369" s="16" t="n">
        <v>365</v>
      </c>
      <c r="B369" s="16" t="inlineStr">
        <is>
          <t>Backend</t>
        </is>
      </c>
      <c r="C369" s="17" t="inlineStr">
        <is>
          <t>ai-chatbox-service</t>
        </is>
      </c>
      <c r="D369" s="16" t="inlineStr">
        <is>
          <t>Unit</t>
        </is>
      </c>
      <c r="E369" s="17" t="inlineStr">
        <is>
          <t>AnswerGroundingTest</t>
        </is>
      </c>
      <c r="F369" s="17" t="inlineStr"/>
      <c r="G369" s="17" t="inlineStr">
        <is>
          <t>giu nguyen cau hotline cua he thong</t>
        </is>
      </c>
      <c r="H369" s="17" t="inlineStr">
        <is>
          <t>giu_nguyen_cau_hotline_cua_he_thong(String)[2]</t>
        </is>
      </c>
      <c r="I369" s="16" t="inlineStr">
        <is>
          <t>Đạt</t>
        </is>
      </c>
      <c r="J369" s="16" t="n">
        <v>0.003</v>
      </c>
    </row>
    <row r="370">
      <c r="A370" s="16" t="n">
        <v>366</v>
      </c>
      <c r="B370" s="16" t="inlineStr">
        <is>
          <t>Backend</t>
        </is>
      </c>
      <c r="C370" s="17" t="inlineStr">
        <is>
          <t>ai-chatbox-service</t>
        </is>
      </c>
      <c r="D370" s="16" t="inlineStr">
        <is>
          <t>Unit</t>
        </is>
      </c>
      <c r="E370" s="17" t="inlineStr">
        <is>
          <t>AnswerGroundingTest</t>
        </is>
      </c>
      <c r="F370" s="17" t="inlineStr"/>
      <c r="G370" s="17" t="inlineStr">
        <is>
          <t>giu nguyen cau hotline cua he thong</t>
        </is>
      </c>
      <c r="H370" s="17" t="inlineStr">
        <is>
          <t>giu_nguyen_cau_hotline_cua_he_thong(String)[3]</t>
        </is>
      </c>
      <c r="I370" s="16" t="inlineStr">
        <is>
          <t>Đạt</t>
        </is>
      </c>
      <c r="J370" s="16" t="n">
        <v>0.002</v>
      </c>
    </row>
    <row r="371">
      <c r="A371" s="16" t="n">
        <v>367</v>
      </c>
      <c r="B371" s="16" t="inlineStr">
        <is>
          <t>Backend</t>
        </is>
      </c>
      <c r="C371" s="17" t="inlineStr">
        <is>
          <t>ai-chatbox-service</t>
        </is>
      </c>
      <c r="D371" s="16" t="inlineStr">
        <is>
          <t>Unit</t>
        </is>
      </c>
      <c r="E371" s="17" t="inlineStr">
        <is>
          <t>AnswerGroundingTest</t>
        </is>
      </c>
      <c r="F371" s="17" t="inlineStr"/>
      <c r="G371" s="17" t="inlineStr">
        <is>
          <t>giu nguyen cau hotline cua he thong</t>
        </is>
      </c>
      <c r="H371" s="17" t="inlineStr">
        <is>
          <t>giu_nguyen_cau_hotline_cua_he_thong(String)[4]</t>
        </is>
      </c>
      <c r="I371" s="16" t="inlineStr">
        <is>
          <t>Đạt</t>
        </is>
      </c>
      <c r="J371" s="16" t="n">
        <v>0.001</v>
      </c>
    </row>
    <row r="372">
      <c r="A372" s="16" t="n">
        <v>368</v>
      </c>
      <c r="B372" s="16" t="inlineStr">
        <is>
          <t>Backend</t>
        </is>
      </c>
      <c r="C372" s="17" t="inlineStr">
        <is>
          <t>ai-chatbox-service</t>
        </is>
      </c>
      <c r="D372" s="16" t="inlineStr">
        <is>
          <t>Unit</t>
        </is>
      </c>
      <c r="E372" s="17" t="inlineStr">
        <is>
          <t>AnswerGroundingTest</t>
        </is>
      </c>
      <c r="F372" s="17" t="inlineStr"/>
      <c r="G372" s="17" t="inlineStr">
        <is>
          <t>gio le khong phai khung hotline van bi do</t>
        </is>
      </c>
      <c r="H372" s="17" t="inlineStr">
        <is>
          <t>gio_le_khong_phai_khung_hotline_van_bi_do</t>
        </is>
      </c>
      <c r="I372" s="16" t="inlineStr">
        <is>
          <t>Đạt</t>
        </is>
      </c>
      <c r="J372" s="16" t="n">
        <v>0.001</v>
      </c>
    </row>
    <row r="373">
      <c r="A373" s="16" t="n">
        <v>369</v>
      </c>
      <c r="B373" s="16" t="inlineStr">
        <is>
          <t>Backend</t>
        </is>
      </c>
      <c r="C373" s="17" t="inlineStr">
        <is>
          <t>ai-chatbox-service</t>
        </is>
      </c>
      <c r="D373" s="16" t="inlineStr">
        <is>
          <t>Unit</t>
        </is>
      </c>
      <c r="E373" s="17" t="inlineStr">
        <is>
          <t>AnswerGroundingTest</t>
        </is>
      </c>
      <c r="F373" s="17" t="inlineStr"/>
      <c r="G373" s="17" t="inlineStr">
        <is>
          <t>thay cau tra loi co ngay gio khi tra danh muc khong ra gi</t>
        </is>
      </c>
      <c r="H373" s="17" t="inlineStr">
        <is>
          <t>thay_cau_tra_loi_co_ngay_gio_khi_tra_danh_muc_khong_ra_gi</t>
        </is>
      </c>
      <c r="I373" s="16" t="inlineStr">
        <is>
          <t>Đạt</t>
        </is>
      </c>
      <c r="J373" s="16" t="n">
        <v>0.001</v>
      </c>
    </row>
    <row r="374">
      <c r="A374" s="16" t="n">
        <v>370</v>
      </c>
      <c r="B374" s="16" t="inlineStr">
        <is>
          <t>Backend</t>
        </is>
      </c>
      <c r="C374" s="17" t="inlineStr">
        <is>
          <t>ai-chatbox-service</t>
        </is>
      </c>
      <c r="D374" s="16" t="inlineStr">
        <is>
          <t>Unit</t>
        </is>
      </c>
      <c r="E374" s="17" t="inlineStr">
        <is>
          <t>AnswerGroundingTest</t>
        </is>
      </c>
      <c r="F374" s="17" t="inlineStr"/>
      <c r="G374" s="17" t="inlineStr">
        <is>
          <t>giu nguyen khi tool co tra ve du lieu</t>
        </is>
      </c>
      <c r="H374" s="17" t="inlineStr">
        <is>
          <t>giu_nguyen_khi_tool_co_tra_ve_du_lieu</t>
        </is>
      </c>
      <c r="I374" s="16" t="inlineStr">
        <is>
          <t>Đạt</t>
        </is>
      </c>
      <c r="J374" s="16" t="n">
        <v>0</v>
      </c>
    </row>
    <row r="375">
      <c r="A375" s="16" t="n">
        <v>371</v>
      </c>
      <c r="B375" s="16" t="inlineStr">
        <is>
          <t>Backend</t>
        </is>
      </c>
      <c r="C375" s="17" t="inlineStr">
        <is>
          <t>ai-chatbox-service</t>
        </is>
      </c>
      <c r="D375" s="16" t="inlineStr">
        <is>
          <t>Unit</t>
        </is>
      </c>
      <c r="E375" s="17" t="inlineStr">
        <is>
          <t>AnswerGroundingTest</t>
        </is>
      </c>
      <c r="F375" s="17" t="inlineStr"/>
      <c r="G375" s="17" t="inlineStr">
        <is>
          <t>khong chan cau tra loi co thoi luong dang chu</t>
        </is>
      </c>
      <c r="H375" s="17" t="inlineStr">
        <is>
          <t>khong_chan_cau_tra_loi_co_thoi_luong_dang_chu</t>
        </is>
      </c>
      <c r="I375" s="16" t="inlineStr">
        <is>
          <t>Đạt</t>
        </is>
      </c>
      <c r="J375" s="16" t="n">
        <v>0.003</v>
      </c>
    </row>
    <row r="376">
      <c r="A376" s="16" t="n">
        <v>372</v>
      </c>
      <c r="B376" s="16" t="inlineStr">
        <is>
          <t>Backend</t>
        </is>
      </c>
      <c r="C376" s="17" t="inlineStr">
        <is>
          <t>ai-chatbox-service</t>
        </is>
      </c>
      <c r="D376" s="16" t="inlineStr">
        <is>
          <t>Unit</t>
        </is>
      </c>
      <c r="E376" s="17" t="inlineStr">
        <is>
          <t>AnswerGroundingTest</t>
        </is>
      </c>
      <c r="F376" s="17" t="inlineStr"/>
      <c r="G376" s="17" t="inlineStr">
        <is>
          <t>ket qua tu choi hay dat ve la du lieu</t>
        </is>
      </c>
      <c r="H376" s="17" t="inlineStr">
        <is>
          <t>ket_qua_tu_choi_hay_dat_ve_la_du_lieu(String)[1]</t>
        </is>
      </c>
      <c r="I376" s="16" t="inlineStr">
        <is>
          <t>Đạt</t>
        </is>
      </c>
      <c r="J376" s="16" t="n">
        <v>0.001</v>
      </c>
    </row>
    <row r="377">
      <c r="A377" s="16" t="n">
        <v>373</v>
      </c>
      <c r="B377" s="16" t="inlineStr">
        <is>
          <t>Backend</t>
        </is>
      </c>
      <c r="C377" s="17" t="inlineStr">
        <is>
          <t>ai-chatbox-service</t>
        </is>
      </c>
      <c r="D377" s="16" t="inlineStr">
        <is>
          <t>Unit</t>
        </is>
      </c>
      <c r="E377" s="17" t="inlineStr">
        <is>
          <t>AnswerGroundingTest</t>
        </is>
      </c>
      <c r="F377" s="17" t="inlineStr"/>
      <c r="G377" s="17" t="inlineStr">
        <is>
          <t>ket qua tu choi hay dat ve la du lieu</t>
        </is>
      </c>
      <c r="H377" s="17" t="inlineStr">
        <is>
          <t>ket_qua_tu_choi_hay_dat_ve_la_du_lieu(String)[2]</t>
        </is>
      </c>
      <c r="I377" s="16" t="inlineStr">
        <is>
          <t>Đạt</t>
        </is>
      </c>
      <c r="J377" s="16" t="n">
        <v>0.001</v>
      </c>
    </row>
    <row r="378">
      <c r="A378" s="16" t="n">
        <v>374</v>
      </c>
      <c r="B378" s="16" t="inlineStr">
        <is>
          <t>Backend</t>
        </is>
      </c>
      <c r="C378" s="17" t="inlineStr">
        <is>
          <t>ai-chatbox-service</t>
        </is>
      </c>
      <c r="D378" s="16" t="inlineStr">
        <is>
          <t>Unit</t>
        </is>
      </c>
      <c r="E378" s="17" t="inlineStr">
        <is>
          <t>AnswerGroundingTest</t>
        </is>
      </c>
      <c r="F378" s="17" t="inlineStr"/>
      <c r="G378" s="17" t="inlineStr">
        <is>
          <t>ket qua tu choi hay dat ve la du lieu</t>
        </is>
      </c>
      <c r="H378" s="17" t="inlineStr">
        <is>
          <t>ket_qua_tu_choi_hay_dat_ve_la_du_lieu(String)[3]</t>
        </is>
      </c>
      <c r="I378" s="16" t="inlineStr">
        <is>
          <t>Đạt</t>
        </is>
      </c>
      <c r="J378" s="16" t="n">
        <v>0.001</v>
      </c>
    </row>
    <row r="379">
      <c r="A379" s="16" t="n">
        <v>375</v>
      </c>
      <c r="B379" s="16" t="inlineStr">
        <is>
          <t>Backend</t>
        </is>
      </c>
      <c r="C379" s="17" t="inlineStr">
        <is>
          <t>ai-chatbox-service</t>
        </is>
      </c>
      <c r="D379" s="16" t="inlineStr">
        <is>
          <t>Unit</t>
        </is>
      </c>
      <c r="E379" s="17" t="inlineStr">
        <is>
          <t>AnswerGroundingTest</t>
        </is>
      </c>
      <c r="F379" s="17" t="inlineStr"/>
      <c r="G379" s="17" t="inlineStr">
        <is>
          <t>tra danh muc khong ra thi cau thay the noi ve su kien</t>
        </is>
      </c>
      <c r="H379" s="17" t="inlineStr">
        <is>
          <t>tra_danh_muc_khong_ra_thi_cau_thay_the_noi_ve_su_kien</t>
        </is>
      </c>
      <c r="I379" s="16" t="inlineStr">
        <is>
          <t>Đạt</t>
        </is>
      </c>
      <c r="J379" s="16" t="n">
        <v>0.001</v>
      </c>
    </row>
    <row r="380">
      <c r="A380" s="16" t="n">
        <v>376</v>
      </c>
      <c r="B380" s="16" t="inlineStr">
        <is>
          <t>Backend</t>
        </is>
      </c>
      <c r="C380" s="17" t="inlineStr">
        <is>
          <t>ai-chatbox-service</t>
        </is>
      </c>
      <c r="D380" s="16" t="inlineStr">
        <is>
          <t>Unit</t>
        </is>
      </c>
      <c r="E380" s="17" t="inlineStr">
        <is>
          <t>CustomerHandoffViewJsonTest</t>
        </is>
      </c>
      <c r="F380" s="17" t="inlineStr"/>
      <c r="G380" s="17" t="inlineStr">
        <is>
          <t>chat thread chi co trang thai moc yeu cau va ten nguoi ho tro</t>
        </is>
      </c>
      <c r="H380" s="17" t="inlineStr">
        <is>
          <t>chat_thread_chi_co_trang_thai_moc_yeu_cau_va_ten_nguoi_ho_tro</t>
        </is>
      </c>
      <c r="I380" s="16" t="inlineStr">
        <is>
          <t>Đạt</t>
        </is>
      </c>
      <c r="J380" s="16" t="n">
        <v>0.107</v>
      </c>
    </row>
    <row r="381">
      <c r="A381" s="16" t="n">
        <v>377</v>
      </c>
      <c r="B381" s="16" t="inlineStr">
        <is>
          <t>Backend</t>
        </is>
      </c>
      <c r="C381" s="17" t="inlineStr">
        <is>
          <t>ai-chatbox-service</t>
        </is>
      </c>
      <c r="D381" s="16" t="inlineStr">
        <is>
          <t>Unit</t>
        </is>
      </c>
      <c r="E381" s="17" t="inlineStr">
        <is>
          <t>CustomerSupportAgentFlowsTest › ChotChanVaLink</t>
        </is>
      </c>
      <c r="F381" s="17" t="inlineStr">
        <is>
          <t>chốt chặn nguồn và đường dẫn mua vé</t>
        </is>
      </c>
      <c r="G381" s="17" t="inlineStr">
        <is>
          <t>tra ra sự kiện thì câu trả lời có giá/ngày được giữ nguyên và kèm đường dẫn mua vé có thật</t>
        </is>
      </c>
      <c r="H381" s="17" t="inlineStr">
        <is>
          <t>giu_cau_tra_loi_co_nguon_va_gan_link</t>
        </is>
      </c>
      <c r="I381" s="16" t="inlineStr">
        <is>
          <t>Đạt</t>
        </is>
      </c>
      <c r="J381" s="16" t="n">
        <v>0.015</v>
      </c>
    </row>
    <row r="382">
      <c r="A382" s="16" t="n">
        <v>378</v>
      </c>
      <c r="B382" s="16" t="inlineStr">
        <is>
          <t>Backend</t>
        </is>
      </c>
      <c r="C382" s="17" t="inlineStr">
        <is>
          <t>ai-chatbox-service</t>
        </is>
      </c>
      <c r="D382" s="16" t="inlineStr">
        <is>
          <t>Unit</t>
        </is>
      </c>
      <c r="E382" s="17" t="inlineStr">
        <is>
          <t>CustomerSupportAgentFlowsTest › ChotChanVaLink</t>
        </is>
      </c>
      <c r="F382" s="17" t="inlineStr">
        <is>
          <t>chốt chặn nguồn và đường dẫn mua vé</t>
        </is>
      </c>
      <c r="G382" s="17" t="inlineStr">
        <is>
          <t>mô hình đã tự viết đường dẫn /events/ thì không gắn thêm</t>
        </is>
      </c>
      <c r="H382" s="17" t="inlineStr">
        <is>
          <t>khong_gan_trung</t>
        </is>
      </c>
      <c r="I382" s="16" t="inlineStr">
        <is>
          <t>Đạt</t>
        </is>
      </c>
      <c r="J382" s="16" t="n">
        <v>0.005</v>
      </c>
    </row>
    <row r="383">
      <c r="A383" s="16" t="n">
        <v>379</v>
      </c>
      <c r="B383" s="16" t="inlineStr">
        <is>
          <t>Backend</t>
        </is>
      </c>
      <c r="C383" s="17" t="inlineStr">
        <is>
          <t>ai-chatbox-service</t>
        </is>
      </c>
      <c r="D383" s="16" t="inlineStr">
        <is>
          <t>Unit</t>
        </is>
      </c>
      <c r="E383" s="17" t="inlineStr">
        <is>
          <t>CustomerSupportAgentFlowsTest › ChotChanVaLink</t>
        </is>
      </c>
      <c r="F383" s="17" t="inlineStr">
        <is>
          <t>chốt chặn nguồn và đường dẫn mua vé</t>
        </is>
      </c>
      <c r="G383" s="17" t="inlineStr">
        <is>
          <t>tra danh mục không ra gì mà câu trả lời vẫn có ngày/giá thì bị thay bằng câu nói thật và lịch sử không giữ câu bịa</t>
        </is>
      </c>
      <c r="H383" s="17" t="inlineStr">
        <is>
          <t>chan_cau_tra_loi_khong_co_nguon</t>
        </is>
      </c>
      <c r="I383" s="16" t="inlineStr">
        <is>
          <t>Đạt</t>
        </is>
      </c>
      <c r="J383" s="16" t="n">
        <v>0.005</v>
      </c>
    </row>
    <row r="384">
      <c r="A384" s="16" t="n">
        <v>380</v>
      </c>
      <c r="B384" s="16" t="inlineStr">
        <is>
          <t>Backend</t>
        </is>
      </c>
      <c r="C384" s="17" t="inlineStr">
        <is>
          <t>ai-chatbox-service</t>
        </is>
      </c>
      <c r="D384" s="16" t="inlineStr">
        <is>
          <t>Unit</t>
        </is>
      </c>
      <c r="E384" s="17" t="inlineStr">
        <is>
          <t>CustomerSupportAgentFlowsTest › MoHinhHong</t>
        </is>
      </c>
      <c r="F384" s="17" t="inlineStr">
        <is>
          <t>mô hình không dùng được</t>
        </is>
      </c>
      <c r="G384" s="17" t="inlineStr">
        <is>
          <t>chuyển thẳng cho người thật: lưu câu hỏi, mở phiếu ASSISTANT_UNAVAILABLE, trả lời bằng câu viết sẵn</t>
        </is>
      </c>
      <c r="H384" s="17" t="inlineStr">
        <is>
          <t>chuyen_thang_cho_nguoi_that</t>
        </is>
      </c>
      <c r="I384" s="16" t="inlineStr">
        <is>
          <t>Đạt</t>
        </is>
      </c>
      <c r="J384" s="16" t="n">
        <v>0.011</v>
      </c>
    </row>
    <row r="385">
      <c r="A385" s="16" t="n">
        <v>381</v>
      </c>
      <c r="B385" s="16" t="inlineStr">
        <is>
          <t>Backend</t>
        </is>
      </c>
      <c r="C385" s="17" t="inlineStr">
        <is>
          <t>ai-chatbox-service</t>
        </is>
      </c>
      <c r="D385" s="16" t="inlineStr">
        <is>
          <t>Unit</t>
        </is>
      </c>
      <c r="E385" s="17" t="inlineStr">
        <is>
          <t>CustomerSupportAgentFlowsTest › MoHinhHong</t>
        </is>
      </c>
      <c r="F385" s="17" t="inlineStr">
        <is>
          <t>mô hình không dùng được</t>
        </is>
      </c>
      <c r="G385" s="17" t="inlineStr">
        <is>
          <t>mô hình hỏng giữa chừng (sau một vòng tool) cũng chuyển thẳng, không để lại phiên nửa vời</t>
        </is>
      </c>
      <c r="H385" s="17" t="inlineStr">
        <is>
          <t>hong_giua_chung</t>
        </is>
      </c>
      <c r="I385" s="16" t="inlineStr">
        <is>
          <t>Đạt</t>
        </is>
      </c>
      <c r="J385" s="16" t="n">
        <v>0.004</v>
      </c>
    </row>
    <row r="386">
      <c r="A386" s="16" t="n">
        <v>382</v>
      </c>
      <c r="B386" s="16" t="inlineStr">
        <is>
          <t>Backend</t>
        </is>
      </c>
      <c r="C386" s="17" t="inlineStr">
        <is>
          <t>ai-chatbox-service</t>
        </is>
      </c>
      <c r="D386" s="16" t="inlineStr">
        <is>
          <t>Unit</t>
        </is>
      </c>
      <c r="E386" s="17" t="inlineStr">
        <is>
          <t>CustomerSupportAgentFlowsTest › MoHinhHong</t>
        </is>
      </c>
      <c r="F386" s="17" t="inlineStr">
        <is>
          <t>mô hình không dùng được</t>
        </is>
      </c>
      <c r="G386" s="17" t="inlineStr">
        <is>
          <t>hỏng lần nữa ở lượt sau khi đã có phiếu mở thì không mở phiếu thứ hai và không gọi mô hình</t>
        </is>
      </c>
      <c r="H386" s="17" t="inlineStr">
        <is>
          <t>khong_mo_phieu_thu_hai</t>
        </is>
      </c>
      <c r="I386" s="16" t="inlineStr">
        <is>
          <t>Đạt</t>
        </is>
      </c>
      <c r="J386" s="16" t="n">
        <v>0.005</v>
      </c>
    </row>
    <row r="387">
      <c r="A387" s="16" t="n">
        <v>383</v>
      </c>
      <c r="B387" s="16" t="inlineStr">
        <is>
          <t>Backend</t>
        </is>
      </c>
      <c r="C387" s="17" t="inlineStr">
        <is>
          <t>ai-chatbox-service</t>
        </is>
      </c>
      <c r="D387" s="16" t="inlineStr">
        <is>
          <t>Unit</t>
        </is>
      </c>
      <c r="E387" s="17" t="inlineStr">
        <is>
          <t>CustomerSupportAgentFlowsTest › MoHinhHong</t>
        </is>
      </c>
      <c r="F387" s="17" t="inlineStr">
        <is>
          <t>mô hình không dùng được</t>
        </is>
      </c>
      <c r="G387" s="17" t="inlineStr">
        <is>
          <t>câu trả lời cho khách không nhắc tới 'AI', 'mô hình' hay lỗi kỹ thuật</t>
        </is>
      </c>
      <c r="H387" s="17" t="inlineStr">
        <is>
          <t>khong_lo_chi_tiet_noi_bo</t>
        </is>
      </c>
      <c r="I387" s="16" t="inlineStr">
        <is>
          <t>Đạt</t>
        </is>
      </c>
      <c r="J387" s="16" t="n">
        <v>0.004</v>
      </c>
    </row>
    <row r="388">
      <c r="A388" s="16" t="n">
        <v>384</v>
      </c>
      <c r="B388" s="16" t="inlineStr">
        <is>
          <t>Backend</t>
        </is>
      </c>
      <c r="C388" s="17" t="inlineStr">
        <is>
          <t>ai-chatbox-service</t>
        </is>
      </c>
      <c r="D388" s="16" t="inlineStr">
        <is>
          <t>Unit</t>
        </is>
      </c>
      <c r="E388" s="17" t="inlineStr">
        <is>
          <t>CustomerSupportAgentFlowsTest › NguoiThatCamPhien</t>
        </is>
      </c>
      <c r="F388" s="17" t="inlineStr">
        <is>
          <t>người thật đang cầm cuộc hội thoại</t>
        </is>
      </c>
      <c r="G388" s="17" t="inlineStr">
        <is>
          <t>có phiếu mở thì trợ lý im: lưu lời khách, KHÔNG lưu câu báo chờ, không gọi mô hình</t>
        </is>
      </c>
      <c r="H388" s="17" t="inlineStr">
        <is>
          <t>co_phieu_mo_thi_tro_ly_im</t>
        </is>
      </c>
      <c r="I388" s="16" t="inlineStr">
        <is>
          <t>Đạt</t>
        </is>
      </c>
      <c r="J388" s="16" t="n">
        <v>0.005</v>
      </c>
    </row>
    <row r="389">
      <c r="A389" s="16" t="n">
        <v>385</v>
      </c>
      <c r="B389" s="16" t="inlineStr">
        <is>
          <t>Backend</t>
        </is>
      </c>
      <c r="C389" s="17" t="inlineStr">
        <is>
          <t>ai-chatbox-service</t>
        </is>
      </c>
      <c r="D389" s="16" t="inlineStr">
        <is>
          <t>Unit</t>
        </is>
      </c>
      <c r="E389" s="17" t="inlineStr">
        <is>
          <t>CustomerSupportAgentFlowsTest › NguoiThatCamPhien</t>
        </is>
      </c>
      <c r="F389" s="17" t="inlineStr">
        <is>
          <t>người thật đang cầm cuộc hội thoại</t>
        </is>
      </c>
      <c r="G389" s="17" t="inlineStr">
        <is>
          <t>khách nói thẳng muốn gặp người thì mở phiếu CUSTOMER_REQUEST mà không hỏi mô hình</t>
        </is>
      </c>
      <c r="H389" s="17" t="inlineStr">
        <is>
          <t>khach_xin_gap_nguoi</t>
        </is>
      </c>
      <c r="I389" s="16" t="inlineStr">
        <is>
          <t>Đạt</t>
        </is>
      </c>
      <c r="J389" s="16" t="n">
        <v>0.002</v>
      </c>
    </row>
    <row r="390">
      <c r="A390" s="16" t="n">
        <v>386</v>
      </c>
      <c r="B390" s="16" t="inlineStr">
        <is>
          <t>Backend</t>
        </is>
      </c>
      <c r="C390" s="17" t="inlineStr">
        <is>
          <t>ai-chatbox-service</t>
        </is>
      </c>
      <c r="D390" s="16" t="inlineStr">
        <is>
          <t>Unit</t>
        </is>
      </c>
      <c r="E390" s="17" t="inlineStr">
        <is>
          <t>CustomerSupportAgentFlowsTest › QuyenSoHuu</t>
        </is>
      </c>
      <c r="F390" s="17" t="inlineStr">
        <is>
          <t>quyền sở hữu phiên</t>
        </is>
      </c>
      <c r="G390" s="17" t="inlineStr">
        <is>
          <t>phiên của người khác thành CHAT_SESSION_NOT_FOUND (404), KHÔNG bị nuốt thành chuyển tiếp</t>
        </is>
      </c>
      <c r="H390" s="17" t="inlineStr">
        <is>
          <t>phien_cua_nguoi_khac</t>
        </is>
      </c>
      <c r="I390" s="16" t="inlineStr">
        <is>
          <t>Đạt</t>
        </is>
      </c>
      <c r="J390" s="16" t="n">
        <v>0.005</v>
      </c>
    </row>
    <row r="391">
      <c r="A391" s="16" t="n">
        <v>387</v>
      </c>
      <c r="B391" s="16" t="inlineStr">
        <is>
          <t>Backend</t>
        </is>
      </c>
      <c r="C391" s="17" t="inlineStr">
        <is>
          <t>ai-chatbox-service</t>
        </is>
      </c>
      <c r="D391" s="16" t="inlineStr">
        <is>
          <t>Unit</t>
        </is>
      </c>
      <c r="E391" s="17" t="inlineStr">
        <is>
          <t>CustomerSupportAgentFlowsTest › RagVaPrompt</t>
        </is>
      </c>
      <c r="F391" s="17" t="inlineStr">
        <is>
          <t>RAG và prompt</t>
        </is>
      </c>
      <c r="G391" s="17" t="inlineStr">
        <is>
          <t>đoạn tri thức vượt ngưỡng khoảng cách bị cắt; đoạn còn lại vào message của khách, không vào prompt hệ thống</t>
        </is>
      </c>
      <c r="H391" s="17" t="inlineStr">
        <is>
          <t>cat_theo_nguong_va_dat_vao_message</t>
        </is>
      </c>
      <c r="I391" s="16" t="inlineStr">
        <is>
          <t>Đạt</t>
        </is>
      </c>
      <c r="J391" s="16" t="n">
        <v>0.007</v>
      </c>
    </row>
    <row r="392">
      <c r="A392" s="16" t="n">
        <v>388</v>
      </c>
      <c r="B392" s="16" t="inlineStr">
        <is>
          <t>Backend</t>
        </is>
      </c>
      <c r="C392" s="17" t="inlineStr">
        <is>
          <t>ai-chatbox-service</t>
        </is>
      </c>
      <c r="D392" s="16" t="inlineStr">
        <is>
          <t>Unit</t>
        </is>
      </c>
      <c r="E392" s="17" t="inlineStr">
        <is>
          <t>CustomerSupportAgentFlowsTest › RagVaPrompt</t>
        </is>
      </c>
      <c r="F392" s="17" t="inlineStr">
        <is>
          <t>RAG và prompt</t>
        </is>
      </c>
      <c r="G392" s="17" t="inlineStr">
        <is>
          <t>kho tri thức hỏng thì trả lời không kèm tri thức nền, KHÔNG chuyển người thật</t>
        </is>
      </c>
      <c r="H392" s="17" t="inlineStr">
        <is>
          <t>kho_tri_thuc_hong</t>
        </is>
      </c>
      <c r="I392" s="16" t="inlineStr">
        <is>
          <t>Đạt</t>
        </is>
      </c>
      <c r="J392" s="16" t="n">
        <v>0.008</v>
      </c>
    </row>
    <row r="393">
      <c r="A393" s="16" t="n">
        <v>389</v>
      </c>
      <c r="B393" s="16" t="inlineStr">
        <is>
          <t>Backend</t>
        </is>
      </c>
      <c r="C393" s="17" t="inlineStr">
        <is>
          <t>ai-chatbox-service</t>
        </is>
      </c>
      <c r="D393" s="16" t="inlineStr">
        <is>
          <t>Unit</t>
        </is>
      </c>
      <c r="E393" s="17" t="inlineStr">
        <is>
          <t>CustomerSupportAgentFlowsTest › RagVaPrompt</t>
        </is>
      </c>
      <c r="F393" s="17" t="inlineStr">
        <is>
          <t>RAG và prompt</t>
        </is>
      </c>
      <c r="G393" s="17" t="inlineStr">
        <is>
          <t>lưu câu hỏi GỐC chứ không phải bản đã ghép ngữ cảnh; tìm CHỈ trong tri thức chung (phạm vi null)</t>
        </is>
      </c>
      <c r="H393" s="17" t="inlineStr">
        <is>
          <t>luu_cau_hoi_goc</t>
        </is>
      </c>
      <c r="I393" s="16" t="inlineStr">
        <is>
          <t>Đạt</t>
        </is>
      </c>
      <c r="J393" s="16" t="n">
        <v>0.002</v>
      </c>
    </row>
    <row r="394">
      <c r="A394" s="16" t="n">
        <v>390</v>
      </c>
      <c r="B394" s="16" t="inlineStr">
        <is>
          <t>Backend</t>
        </is>
      </c>
      <c r="C394" s="17" t="inlineStr">
        <is>
          <t>ai-chatbox-service</t>
        </is>
      </c>
      <c r="D394" s="16" t="inlineStr">
        <is>
          <t>Unit</t>
        </is>
      </c>
      <c r="E394" s="17" t="inlineStr">
        <is>
          <t>CustomerSupportAgentFlowsTest › RagVaPrompt</t>
        </is>
      </c>
      <c r="F394" s="17" t="inlineStr">
        <is>
          <t>RAG và prompt</t>
        </is>
      </c>
      <c r="G394" s="17" t="inlineStr">
        <is>
          <t>bộ nhúng hỏng cũng chỉ mất RAG, lượt vẫn chạy</t>
        </is>
      </c>
      <c r="H394" s="17" t="inlineStr">
        <is>
          <t>bo_nhung_hong</t>
        </is>
      </c>
      <c r="I394" s="16" t="inlineStr">
        <is>
          <t>Đạt</t>
        </is>
      </c>
      <c r="J394" s="16" t="n">
        <v>0.005</v>
      </c>
    </row>
    <row r="395">
      <c r="A395" s="16" t="n">
        <v>391</v>
      </c>
      <c r="B395" s="16" t="inlineStr">
        <is>
          <t>Backend</t>
        </is>
      </c>
      <c r="C395" s="17" t="inlineStr">
        <is>
          <t>ai-chatbox-service</t>
        </is>
      </c>
      <c r="D395" s="16" t="inlineStr">
        <is>
          <t>Unit</t>
        </is>
      </c>
      <c r="E395" s="17" t="inlineStr">
        <is>
          <t>CustomerSupportAgentFlowsTest › RagVaPrompt</t>
        </is>
      </c>
      <c r="F395" s="17" t="inlineStr">
        <is>
          <t>RAG và prompt</t>
        </is>
      </c>
      <c r="G395" s="17" t="inlineStr">
        <is>
          <t>nội dung tài liệu mang mệnh lệnh độc hại vẫn chỉ nằm trong message, prompt hệ thống không đổi</t>
        </is>
      </c>
      <c r="H395" s="17" t="inlineStr">
        <is>
          <t>tai_lieu_doc_hai_khong_vao_prompt_he_thong</t>
        </is>
      </c>
      <c r="I395" s="16" t="inlineStr">
        <is>
          <t>Đạt</t>
        </is>
      </c>
      <c r="J395" s="16" t="n">
        <v>0.004</v>
      </c>
    </row>
    <row r="396">
      <c r="A396" s="16" t="n">
        <v>392</v>
      </c>
      <c r="B396" s="16" t="inlineStr">
        <is>
          <t>Backend</t>
        </is>
      </c>
      <c r="C396" s="17" t="inlineStr">
        <is>
          <t>ai-chatbox-service</t>
        </is>
      </c>
      <c r="D396" s="16" t="inlineStr">
        <is>
          <t>Unit</t>
        </is>
      </c>
      <c r="E396" s="17" t="inlineStr">
        <is>
          <t>CustomerSupportAgentFlowsTest › VongReAct</t>
        </is>
      </c>
      <c r="F396" s="17" t="inlineStr">
        <is>
          <t>vòng ReAct</t>
        </is>
      </c>
      <c r="G396" s="17" t="inlineStr">
        <is>
          <t>lượt gọi tool và kết quả đi vào transcript đúng thứ tự: user, tool request, tool result</t>
        </is>
      </c>
      <c r="H396" s="17" t="inlineStr">
        <is>
          <t>thu_tu_transcript</t>
        </is>
      </c>
      <c r="I396" s="16" t="inlineStr">
        <is>
          <t>Đạt</t>
        </is>
      </c>
      <c r="J396" s="16" t="n">
        <v>0.005</v>
      </c>
    </row>
    <row r="397">
      <c r="A397" s="16" t="n">
        <v>393</v>
      </c>
      <c r="B397" s="16" t="inlineStr">
        <is>
          <t>Backend</t>
        </is>
      </c>
      <c r="C397" s="17" t="inlineStr">
        <is>
          <t>ai-chatbox-service</t>
        </is>
      </c>
      <c r="D397" s="16" t="inlineStr">
        <is>
          <t>Unit</t>
        </is>
      </c>
      <c r="E397" s="17" t="inlineStr">
        <is>
          <t>CustomerSupportAgentFlowsTest › VongReAct</t>
        </is>
      </c>
      <c r="F397" s="17" t="inlineStr">
        <is>
          <t>vòng ReAct</t>
        </is>
      </c>
      <c r="G397" s="17" t="inlineStr">
        <is>
          <t>báo sự cố thiếu mô tả thì chưa mở phiếu, trả hướng dẫn cho mô hình hỏi lại khách</t>
        </is>
      </c>
      <c r="H397" s="17" t="inlineStr">
        <is>
          <t>su_co_thieu_mo_ta</t>
        </is>
      </c>
      <c r="I397" s="16" t="inlineStr">
        <is>
          <t>Đạt</t>
        </is>
      </c>
      <c r="J397" s="16" t="n">
        <v>0.006</v>
      </c>
    </row>
    <row r="398">
      <c r="A398" s="16" t="n">
        <v>394</v>
      </c>
      <c r="B398" s="16" t="inlineStr">
        <is>
          <t>Backend</t>
        </is>
      </c>
      <c r="C398" s="17" t="inlineStr">
        <is>
          <t>ai-chatbox-service</t>
        </is>
      </c>
      <c r="D398" s="16" t="inlineStr">
        <is>
          <t>Unit</t>
        </is>
      </c>
      <c r="E398" s="17" t="inlineStr">
        <is>
          <t>CustomerSupportAgentFlowsTest › VongReAct</t>
        </is>
      </c>
      <c r="F398" s="17" t="inlineStr">
        <is>
          <t>vòng ReAct</t>
        </is>
      </c>
      <c r="G398" s="17" t="inlineStr">
        <is>
          <t>mô hình mãi chỉ trả dấu phân đoạn thì hết vòng và chuyển người thật (LOW_CONFIDENCE), không trả bong bóng trống</t>
        </is>
      </c>
      <c r="H398" s="17" t="inlineStr">
        <is>
          <t>hoai_chi_tra_dau_phan_doan</t>
        </is>
      </c>
      <c r="I398" s="16" t="inlineStr">
        <is>
          <t>Đạt</t>
        </is>
      </c>
      <c r="J398" s="16" t="n">
        <v>0.003</v>
      </c>
    </row>
    <row r="399">
      <c r="A399" s="16" t="n">
        <v>395</v>
      </c>
      <c r="B399" s="16" t="inlineStr">
        <is>
          <t>Backend</t>
        </is>
      </c>
      <c r="C399" s="17" t="inlineStr">
        <is>
          <t>ai-chatbox-service</t>
        </is>
      </c>
      <c r="D399" s="16" t="inlineStr">
        <is>
          <t>Unit</t>
        </is>
      </c>
      <c r="E399" s="17" t="inlineStr">
        <is>
          <t>CustomerSupportAgentFlowsTest › VongReAct</t>
        </is>
      </c>
      <c r="F399" s="17" t="inlineStr">
        <is>
          <t>vòng ReAct</t>
        </is>
      </c>
      <c r="G399" s="17" t="inlineStr">
        <is>
          <t>tool dữ liệu đứng TRƯỚC tool điều khiển vẫn được chạy rồi mới mở phiếu</t>
        </is>
      </c>
      <c r="H399" s="17" t="inlineStr">
        <is>
          <t>tool_du_lieu_truoc_tool_dieu_khien</t>
        </is>
      </c>
      <c r="I399" s="16" t="inlineStr">
        <is>
          <t>Đạt</t>
        </is>
      </c>
      <c r="J399" s="16" t="n">
        <v>0.005</v>
      </c>
    </row>
    <row r="400">
      <c r="A400" s="16" t="n">
        <v>396</v>
      </c>
      <c r="B400" s="16" t="inlineStr">
        <is>
          <t>Backend</t>
        </is>
      </c>
      <c r="C400" s="17" t="inlineStr">
        <is>
          <t>ai-chatbox-service</t>
        </is>
      </c>
      <c r="D400" s="16" t="inlineStr">
        <is>
          <t>Unit</t>
        </is>
      </c>
      <c r="E400" s="17" t="inlineStr">
        <is>
          <t>CustomerSupportAgentFlowsTest › VongReAct</t>
        </is>
      </c>
      <c r="F400" s="17" t="inlineStr">
        <is>
          <t>vòng ReAct</t>
        </is>
      </c>
      <c r="G400" s="17" t="inlineStr">
        <is>
          <t>tool lạ không làm hỏng lượt: mô hình nhận lỗi rồi trả lời</t>
        </is>
      </c>
      <c r="H400" s="17" t="inlineStr">
        <is>
          <t>tool_la</t>
        </is>
      </c>
      <c r="I400" s="16" t="inlineStr">
        <is>
          <t>Đạt</t>
        </is>
      </c>
      <c r="J400" s="16" t="n">
        <v>0.004</v>
      </c>
    </row>
    <row r="401">
      <c r="A401" s="16" t="n">
        <v>397</v>
      </c>
      <c r="B401" s="16" t="inlineStr">
        <is>
          <t>Backend</t>
        </is>
      </c>
      <c r="C401" s="17" t="inlineStr">
        <is>
          <t>ai-chatbox-service</t>
        </is>
      </c>
      <c r="D401" s="16" t="inlineStr">
        <is>
          <t>Unit</t>
        </is>
      </c>
      <c r="E401" s="17" t="inlineStr">
        <is>
          <t>CustomerSupportAgentFlowsTest › VongReAct</t>
        </is>
      </c>
      <c r="F401" s="17" t="inlineStr">
        <is>
          <t>vòng ReAct</t>
        </is>
      </c>
      <c r="G401" s="17" t="inlineStr">
        <is>
          <t>báo sự cố hợp lệ (loại không cần đơn) mở phiếu INCIDENT và kết thúc lượt</t>
        </is>
      </c>
      <c r="H401" s="17" t="inlineStr">
        <is>
          <t>su_co_hop_le_khong_can_don</t>
        </is>
      </c>
      <c r="I401" s="16" t="inlineStr">
        <is>
          <t>Đạt</t>
        </is>
      </c>
      <c r="J401" s="16" t="n">
        <v>0.013</v>
      </c>
    </row>
    <row r="402">
      <c r="A402" s="16" t="n">
        <v>398</v>
      </c>
      <c r="B402" s="16" t="inlineStr">
        <is>
          <t>Backend</t>
        </is>
      </c>
      <c r="C402" s="17" t="inlineStr">
        <is>
          <t>ai-chatbox-service</t>
        </is>
      </c>
      <c r="D402" s="16" t="inlineStr">
        <is>
          <t>Unit</t>
        </is>
      </c>
      <c r="E402" s="17" t="inlineStr">
        <is>
          <t>CustomerSupportAgentFlowsTest › VongReAct</t>
        </is>
      </c>
      <c r="F402" s="17" t="inlineStr">
        <is>
          <t>vòng ReAct</t>
        </is>
      </c>
      <c r="G402" s="17" t="inlineStr">
        <is>
          <t>tool điều khiển đứng giữa các tool dữ liệu: mở phiếu và KHÔNG chạy nốt tool phía sau</t>
        </is>
      </c>
      <c r="H402" s="17" t="inlineStr">
        <is>
          <t>tool_dieu_khien_cat_ngang</t>
        </is>
      </c>
      <c r="I402" s="16" t="inlineStr">
        <is>
          <t>Đạt</t>
        </is>
      </c>
      <c r="J402" s="16" t="n">
        <v>0.003</v>
      </c>
    </row>
    <row r="403">
      <c r="A403" s="16" t="n">
        <v>399</v>
      </c>
      <c r="B403" s="16" t="inlineStr">
        <is>
          <t>Backend</t>
        </is>
      </c>
      <c r="C403" s="17" t="inlineStr">
        <is>
          <t>ai-chatbox-service</t>
        </is>
      </c>
      <c r="D403" s="16" t="inlineStr">
        <is>
          <t>Unit</t>
        </is>
      </c>
      <c r="E403" s="17" t="inlineStr">
        <is>
          <t>CustomerSupportAgentFlowsTest › VongReAct</t>
        </is>
      </c>
      <c r="F403" s="17" t="inlineStr">
        <is>
          <t>vòng ReAct</t>
        </is>
      </c>
      <c r="G403" s="17" t="inlineStr">
        <is>
          <t>câu trả lời được gỡ dấu phân đoạn TRƯỚC khi lưu — lịch sử không giữ dấu để lượt sau học theo</t>
        </is>
      </c>
      <c r="H403" s="17" t="inlineStr">
        <is>
          <t>ga_dau_truoc_khi_luu</t>
        </is>
      </c>
      <c r="I403" s="16" t="inlineStr">
        <is>
          <t>Đạt</t>
        </is>
      </c>
      <c r="J403" s="16" t="n">
        <v>0.003</v>
      </c>
    </row>
    <row r="404">
      <c r="A404" s="16" t="n">
        <v>400</v>
      </c>
      <c r="B404" s="16" t="inlineStr">
        <is>
          <t>Backend</t>
        </is>
      </c>
      <c r="C404" s="17" t="inlineStr">
        <is>
          <t>ai-chatbox-service</t>
        </is>
      </c>
      <c r="D404" s="16" t="inlineStr">
        <is>
          <t>Unit</t>
        </is>
      </c>
      <c r="E404" s="17" t="inlineStr">
        <is>
          <t>CustomerSupportAgentFlowsTest › VongReAct</t>
        </is>
      </c>
      <c r="F404" s="17" t="inlineStr">
        <is>
          <t>vòng ReAct</t>
        </is>
      </c>
      <c r="G404" s="17" t="inlineStr">
        <is>
          <t>tool dữ liệu hỏng KHÔNG làm hỏng lượt: mô hình nhận kết quả lỗi ở vòng sau và vẫn trả lời</t>
        </is>
      </c>
      <c r="H404" s="17" t="inlineStr">
        <is>
          <t>tool_hong_khong_lam_hong_luot</t>
        </is>
      </c>
      <c r="I404" s="16" t="inlineStr">
        <is>
          <t>Đạt</t>
        </is>
      </c>
      <c r="J404" s="16" t="n">
        <v>0.004</v>
      </c>
    </row>
    <row r="405">
      <c r="A405" s="16" t="n">
        <v>401</v>
      </c>
      <c r="B405" s="16" t="inlineStr">
        <is>
          <t>Backend</t>
        </is>
      </c>
      <c r="C405" s="17" t="inlineStr">
        <is>
          <t>ai-chatbox-service</t>
        </is>
      </c>
      <c r="D405" s="16" t="inlineStr">
        <is>
          <t>Unit</t>
        </is>
      </c>
      <c r="E405" s="17" t="inlineStr">
        <is>
          <t>CustomerSupportAgentFlowsTest › VongReAct</t>
        </is>
      </c>
      <c r="F405" s="17" t="inlineStr">
        <is>
          <t>vòng ReAct</t>
        </is>
      </c>
      <c r="G405" s="17" t="inlineStr">
        <is>
          <t>escalateToHuman thiếu hoặc trống lý do vẫn mở phiếu với lý do mặc định</t>
        </is>
      </c>
      <c r="H405" s="17" t="inlineStr">
        <is>
          <t>escalate_thieu_ly_do</t>
        </is>
      </c>
      <c r="I405" s="16" t="inlineStr">
        <is>
          <t>Đạt</t>
        </is>
      </c>
      <c r="J405" s="16" t="n">
        <v>0.003</v>
      </c>
    </row>
    <row r="406">
      <c r="A406" s="16" t="n">
        <v>402</v>
      </c>
      <c r="B406" s="16" t="inlineStr">
        <is>
          <t>Backend</t>
        </is>
      </c>
      <c r="C406" s="17" t="inlineStr">
        <is>
          <t>ai-chatbox-service</t>
        </is>
      </c>
      <c r="D406" s="16" t="inlineStr">
        <is>
          <t>Unit</t>
        </is>
      </c>
      <c r="E406" s="17" t="inlineStr">
        <is>
          <t>CustomerSupportAgentFlowsTest › VongReAct</t>
        </is>
      </c>
      <c r="F406" s="17" t="inlineStr">
        <is>
          <t>vòng ReAct</t>
        </is>
      </c>
      <c r="G406" s="17" t="inlineStr">
        <is>
          <t>câu trả lời chỉ gồm dấu phân đoạn nội bộ coi như CHƯA có: vòng sau thử lại</t>
        </is>
      </c>
      <c r="H406" s="17" t="inlineStr">
        <is>
          <t>tra_loi_chi_toan_dau_phan_doan</t>
        </is>
      </c>
      <c r="I406" s="16" t="inlineStr">
        <is>
          <t>Đạt</t>
        </is>
      </c>
      <c r="J406" s="16" t="n">
        <v>0.002</v>
      </c>
    </row>
    <row r="407">
      <c r="A407" s="16" t="n">
        <v>403</v>
      </c>
      <c r="B407" s="16" t="inlineStr">
        <is>
          <t>Backend</t>
        </is>
      </c>
      <c r="C407" s="17" t="inlineStr">
        <is>
          <t>ai-chatbox-service</t>
        </is>
      </c>
      <c r="D407" s="16" t="inlineStr">
        <is>
          <t>Unit</t>
        </is>
      </c>
      <c r="E407" s="17" t="inlineStr">
        <is>
          <t>CustomerSupportAgentFlowsTest › VongReAct</t>
        </is>
      </c>
      <c r="F407" s="17" t="inlineStr">
        <is>
          <t>vòng ReAct</t>
        </is>
      </c>
      <c r="G407" s="17" t="inlineStr">
        <is>
          <t>hết trần vòng mà mô hình vẫn gọi tool thì chuyển người thật, không gọi quá trần</t>
        </is>
      </c>
      <c r="H407" s="17" t="inlineStr">
        <is>
          <t>het_tran_vong</t>
        </is>
      </c>
      <c r="I407" s="16" t="inlineStr">
        <is>
          <t>Đạt</t>
        </is>
      </c>
      <c r="J407" s="16" t="n">
        <v>0.006</v>
      </c>
    </row>
    <row r="408">
      <c r="A408" s="16" t="n">
        <v>404</v>
      </c>
      <c r="B408" s="16" t="inlineStr">
        <is>
          <t>Backend</t>
        </is>
      </c>
      <c r="C408" s="17" t="inlineStr">
        <is>
          <t>ai-chatbox-service</t>
        </is>
      </c>
      <c r="D408" s="16" t="inlineStr">
        <is>
          <t>Unit</t>
        </is>
      </c>
      <c r="E408" s="17" t="inlineStr">
        <is>
          <t>CustomerSupportAgentUseCaseTest</t>
        </is>
      </c>
      <c r="F408" s="17" t="inlineStr"/>
      <c r="G408" s="17" t="inlineStr">
        <is>
          <t>loai su co la thi khong mo phieu bua</t>
        </is>
      </c>
      <c r="H408" s="17" t="inlineStr">
        <is>
          <t>loai_su_co_la_thi_khong_mo_phieu_bua</t>
        </is>
      </c>
      <c r="I408" s="16" t="inlineStr">
        <is>
          <t>Đạt</t>
        </is>
      </c>
      <c r="J408" s="16" t="n">
        <v>0.004</v>
      </c>
    </row>
    <row r="409">
      <c r="A409" s="16" t="n">
        <v>405</v>
      </c>
      <c r="B409" s="16" t="inlineStr">
        <is>
          <t>Backend</t>
        </is>
      </c>
      <c r="C409" s="17" t="inlineStr">
        <is>
          <t>ai-chatbox-service</t>
        </is>
      </c>
      <c r="D409" s="16" t="inlineStr">
        <is>
          <t>Unit</t>
        </is>
      </c>
      <c r="E409" s="17" t="inlineStr">
        <is>
          <t>CustomerSupportAgentUseCaseTest</t>
        </is>
      </c>
      <c r="F409" s="17" t="inlineStr"/>
      <c r="G409" s="17" t="inlineStr">
        <is>
          <t>hoan ve bi tu choi theo chinh sach thi mo hinh doc ly do va tra loi tiep</t>
        </is>
      </c>
      <c r="H409" s="17" t="inlineStr">
        <is>
          <t>hoan_ve_bi_tu_choi_theo_chinh_sach_thi_mo_hinh_doc_ly_do_va_tra_loi_tiep</t>
        </is>
      </c>
      <c r="I409" s="16" t="inlineStr">
        <is>
          <t>Đạt</t>
        </is>
      </c>
      <c r="J409" s="16" t="n">
        <v>0.014</v>
      </c>
    </row>
    <row r="410">
      <c r="A410" s="16" t="n">
        <v>406</v>
      </c>
      <c r="B410" s="16" t="inlineStr">
        <is>
          <t>Backend</t>
        </is>
      </c>
      <c r="C410" s="17" t="inlineStr">
        <is>
          <t>ai-chatbox-service</t>
        </is>
      </c>
      <c r="D410" s="16" t="inlineStr">
        <is>
          <t>Unit</t>
        </is>
      </c>
      <c r="E410" s="17" t="inlineStr">
        <is>
          <t>CustomerSupportAgentUseCaseTest</t>
        </is>
      </c>
      <c r="F410" s="17" t="inlineStr"/>
      <c r="G410" s="17" t="inlineStr">
        <is>
          <t>bao su co thi ket thuc luot bang phieu INCIDENT theo khung</t>
        </is>
      </c>
      <c r="H410" s="17" t="inlineStr">
        <is>
          <t>bao_su_co_thi_ket_thuc_luot_bang_phieu_INCIDENT_theo_khung</t>
        </is>
      </c>
      <c r="I410" s="16" t="inlineStr">
        <is>
          <t>Đạt</t>
        </is>
      </c>
      <c r="J410" s="16" t="n">
        <v>0.004</v>
      </c>
    </row>
    <row r="411">
      <c r="A411" s="16" t="n">
        <v>407</v>
      </c>
      <c r="B411" s="16" t="inlineStr">
        <is>
          <t>Backend</t>
        </is>
      </c>
      <c r="C411" s="17" t="inlineStr">
        <is>
          <t>ai-chatbox-service</t>
        </is>
      </c>
      <c r="D411" s="16" t="inlineStr">
        <is>
          <t>Unit</t>
        </is>
      </c>
      <c r="E411" s="17" t="inlineStr">
        <is>
          <t>CustomerSupportAgentUseCaseTest</t>
        </is>
      </c>
      <c r="F411" s="17" t="inlineStr"/>
      <c r="G411" s="17" t="inlineStr">
        <is>
          <t>hoan ve du dieu kien thi ket thuc luot bang phieu REFUND</t>
        </is>
      </c>
      <c r="H411" s="17" t="inlineStr">
        <is>
          <t>hoan_ve_du_dieu_kien_thi_ket_thuc_luot_bang_phieu_REFUND</t>
        </is>
      </c>
      <c r="I411" s="16" t="inlineStr">
        <is>
          <t>Đạt</t>
        </is>
      </c>
      <c r="J411" s="16" t="n">
        <v>0.016</v>
      </c>
    </row>
    <row r="412">
      <c r="A412" s="16" t="n">
        <v>408</v>
      </c>
      <c r="B412" s="16" t="inlineStr">
        <is>
          <t>Backend</t>
        </is>
      </c>
      <c r="C412" s="17" t="inlineStr">
        <is>
          <t>ai-chatbox-service</t>
        </is>
      </c>
      <c r="D412" s="16" t="inlineStr">
        <is>
          <t>Unit</t>
        </is>
      </c>
      <c r="E412" s="17" t="inlineStr">
        <is>
          <t>CustomerSupportAgentUseCaseTest</t>
        </is>
      </c>
      <c r="F412" s="17" t="inlineStr"/>
      <c r="G412" s="17" t="inlineStr">
        <is>
          <t>su co can don ma thieu ma thi khong mo phieu</t>
        </is>
      </c>
      <c r="H412" s="17" t="inlineStr">
        <is>
          <t>su_co_can_don_ma_thieu_ma_thi_khong_mo_phieu</t>
        </is>
      </c>
      <c r="I412" s="16" t="inlineStr">
        <is>
          <t>Đạt</t>
        </is>
      </c>
      <c r="J412" s="16" t="n">
        <v>0.005</v>
      </c>
    </row>
    <row r="413">
      <c r="A413" s="16" t="n">
        <v>409</v>
      </c>
      <c r="B413" s="16" t="inlineStr">
        <is>
          <t>Backend</t>
        </is>
      </c>
      <c r="C413" s="17" t="inlineStr">
        <is>
          <t>ai-chatbox-service</t>
        </is>
      </c>
      <c r="D413" s="16" t="inlineStr">
        <is>
          <t>Unit</t>
        </is>
      </c>
      <c r="E413" s="17" t="inlineStr">
        <is>
          <t>CustomerSupportAgentUseCaseTest</t>
        </is>
      </c>
      <c r="F413" s="17" t="inlineStr"/>
      <c r="G413" s="17" t="inlineStr">
        <is>
          <t>tool dieu khien khong pha tran bon vong</t>
        </is>
      </c>
      <c r="H413" s="17" t="inlineStr">
        <is>
          <t>tool_dieu_khien_khong_pha_tran_bon_vong</t>
        </is>
      </c>
      <c r="I413" s="16" t="inlineStr">
        <is>
          <t>Đạt</t>
        </is>
      </c>
      <c r="J413" s="16" t="n">
        <v>0.004</v>
      </c>
    </row>
    <row r="414">
      <c r="A414" s="16" t="n">
        <v>410</v>
      </c>
      <c r="B414" s="16" t="inlineStr">
        <is>
          <t>Backend</t>
        </is>
      </c>
      <c r="C414" s="17" t="inlineStr">
        <is>
          <t>ai-chatbox-service</t>
        </is>
      </c>
      <c r="D414" s="16" t="inlineStr">
        <is>
          <t>Unit</t>
        </is>
      </c>
      <c r="E414" s="17" t="inlineStr">
        <is>
          <t>CustomerSupportAgentUseCaseTest</t>
        </is>
      </c>
      <c r="F414" s="17" t="inlineStr"/>
      <c r="G414" s="17" t="inlineStr">
        <is>
          <t>dat ve di qua dispatcher va mo hinh doc duoc duong dan thanh toan</t>
        </is>
      </c>
      <c r="H414" s="17" t="inlineStr">
        <is>
          <t>dat_ve_di_qua_dispatcher_va_mo_hinh_doc_duoc_duong_dan_thanh_toan</t>
        </is>
      </c>
      <c r="I414" s="16" t="inlineStr">
        <is>
          <t>Đạt</t>
        </is>
      </c>
      <c r="J414" s="16" t="n">
        <v>0.014</v>
      </c>
    </row>
    <row r="415">
      <c r="A415" s="16" t="n">
        <v>411</v>
      </c>
      <c r="B415" s="16" t="inlineStr">
        <is>
          <t>Backend</t>
        </is>
      </c>
      <c r="C415" s="17" t="inlineStr">
        <is>
          <t>ai-chatbox-service</t>
        </is>
      </c>
      <c r="D415" s="16" t="inlineStr">
        <is>
          <t>Unit</t>
        </is>
      </c>
      <c r="E415" s="17" t="inlineStr">
        <is>
          <t>CustomerSupportAgentUseCaseTest</t>
        </is>
      </c>
      <c r="F415" s="17" t="inlineStr"/>
      <c r="G415" s="17" t="inlineStr">
        <is>
          <t>hoan ve thieu ma don thi khong mo phieu ma chi cach lay ma</t>
        </is>
      </c>
      <c r="H415" s="17" t="inlineStr">
        <is>
          <t>hoan_ve_thieu_ma_don_thi_khong_mo_phieu_ma_chi_cach_lay_ma</t>
        </is>
      </c>
      <c r="I415" s="16" t="inlineStr">
        <is>
          <t>Đạt</t>
        </is>
      </c>
      <c r="J415" s="16" t="n">
        <v>0.004</v>
      </c>
    </row>
    <row r="416">
      <c r="A416" s="16" t="n">
        <v>412</v>
      </c>
      <c r="B416" s="16" t="inlineStr">
        <is>
          <t>Backend</t>
        </is>
      </c>
      <c r="C416" s="17" t="inlineStr">
        <is>
          <t>ai-chatbox-service</t>
        </is>
      </c>
      <c r="D416" s="16" t="inlineStr">
        <is>
          <t>Unit</t>
        </is>
      </c>
      <c r="E416" s="17" t="inlineStr">
        <is>
          <t>CustomerSupportAgentUseCaseTest</t>
        </is>
      </c>
      <c r="F416" s="17" t="inlineStr"/>
      <c r="G416" s="17" t="inlineStr">
        <is>
          <t>ordering hong luc xet hoan ve thi la loi tool khong phai tu choi</t>
        </is>
      </c>
      <c r="H416" s="17" t="inlineStr">
        <is>
          <t>ordering_hong_luc_xet_hoan_ve_thi_la_loi_tool_khong_phai_tu_choi</t>
        </is>
      </c>
      <c r="I416" s="16" t="inlineStr">
        <is>
          <t>Đạt</t>
        </is>
      </c>
      <c r="J416" s="16" t="n">
        <v>0.003</v>
      </c>
    </row>
    <row r="417">
      <c r="A417" s="16" t="n">
        <v>413</v>
      </c>
      <c r="B417" s="16" t="inlineStr">
        <is>
          <t>Backend</t>
        </is>
      </c>
      <c r="C417" s="17" t="inlineStr">
        <is>
          <t>ai-chatbox-service</t>
        </is>
      </c>
      <c r="D417" s="16" t="inlineStr">
        <is>
          <t>Unit</t>
        </is>
      </c>
      <c r="E417" s="17" t="inlineStr">
        <is>
          <t>HandoffIntentTest</t>
        </is>
      </c>
      <c r="F417" s="17" t="inlineStr"/>
      <c r="G417" s="17" t="inlineStr">
        <is>
          <t>rỗng hoặc null không phải là một yêu cầu</t>
        </is>
      </c>
      <c r="H417" s="17" t="inlineStr">
        <is>
          <t>rong_khong_phai_yeu_cau</t>
        </is>
      </c>
      <c r="I417" s="16" t="inlineStr">
        <is>
          <t>Đạt</t>
        </is>
      </c>
      <c r="J417" s="16" t="n">
        <v>0.002</v>
      </c>
    </row>
    <row r="418">
      <c r="A418" s="16" t="n">
        <v>414</v>
      </c>
      <c r="B418" s="16" t="inlineStr">
        <is>
          <t>Backend</t>
        </is>
      </c>
      <c r="C418" s="17" t="inlineStr">
        <is>
          <t>ai-chatbox-service</t>
        </is>
      </c>
      <c r="D418" s="16" t="inlineStr">
        <is>
          <t>Unit</t>
        </is>
      </c>
      <c r="E418" s="17" t="inlineStr">
        <is>
          <t>HandoffIntentTest</t>
        </is>
      </c>
      <c r="F418" s="17" t="inlineStr"/>
      <c r="G418" s="17" t="inlineStr">
        <is>
          <t>câu hỏi thường không bị bắt nhầm — trợ lý vẫn được thử trả lời trước</t>
        </is>
      </c>
      <c r="H418" s="17" t="inlineStr">
        <is>
          <t>khong_bat_nham_cau_hoi_thuong(String)[1]</t>
        </is>
      </c>
      <c r="I418" s="16" t="inlineStr">
        <is>
          <t>Đạt</t>
        </is>
      </c>
      <c r="J418" s="16" t="n">
        <v>0.001</v>
      </c>
    </row>
    <row r="419">
      <c r="A419" s="16" t="n">
        <v>415</v>
      </c>
      <c r="B419" s="16" t="inlineStr">
        <is>
          <t>Backend</t>
        </is>
      </c>
      <c r="C419" s="17" t="inlineStr">
        <is>
          <t>ai-chatbox-service</t>
        </is>
      </c>
      <c r="D419" s="16" t="inlineStr">
        <is>
          <t>Unit</t>
        </is>
      </c>
      <c r="E419" s="17" t="inlineStr">
        <is>
          <t>HandoffIntentTest</t>
        </is>
      </c>
      <c r="F419" s="17" t="inlineStr"/>
      <c r="G419" s="17" t="inlineStr">
        <is>
          <t>câu hỏi thường không bị bắt nhầm — trợ lý vẫn được thử trả lời trước</t>
        </is>
      </c>
      <c r="H419" s="17" t="inlineStr">
        <is>
          <t>khong_bat_nham_cau_hoi_thuong(String)[2]</t>
        </is>
      </c>
      <c r="I419" s="16" t="inlineStr">
        <is>
          <t>Đạt</t>
        </is>
      </c>
      <c r="J419" s="16" t="n">
        <v>0.001</v>
      </c>
    </row>
    <row r="420">
      <c r="A420" s="16" t="n">
        <v>416</v>
      </c>
      <c r="B420" s="16" t="inlineStr">
        <is>
          <t>Backend</t>
        </is>
      </c>
      <c r="C420" s="17" t="inlineStr">
        <is>
          <t>ai-chatbox-service</t>
        </is>
      </c>
      <c r="D420" s="16" t="inlineStr">
        <is>
          <t>Unit</t>
        </is>
      </c>
      <c r="E420" s="17" t="inlineStr">
        <is>
          <t>HandoffIntentTest</t>
        </is>
      </c>
      <c r="F420" s="17" t="inlineStr"/>
      <c r="G420" s="17" t="inlineStr">
        <is>
          <t>câu hỏi thường không bị bắt nhầm — trợ lý vẫn được thử trả lời trước</t>
        </is>
      </c>
      <c r="H420" s="17" t="inlineStr">
        <is>
          <t>khong_bat_nham_cau_hoi_thuong(String)[3]</t>
        </is>
      </c>
      <c r="I420" s="16" t="inlineStr">
        <is>
          <t>Đạt</t>
        </is>
      </c>
      <c r="J420" s="16" t="n">
        <v>0.002</v>
      </c>
    </row>
    <row r="421">
      <c r="A421" s="16" t="n">
        <v>417</v>
      </c>
      <c r="B421" s="16" t="inlineStr">
        <is>
          <t>Backend</t>
        </is>
      </c>
      <c r="C421" s="17" t="inlineStr">
        <is>
          <t>ai-chatbox-service</t>
        </is>
      </c>
      <c r="D421" s="16" t="inlineStr">
        <is>
          <t>Unit</t>
        </is>
      </c>
      <c r="E421" s="17" t="inlineStr">
        <is>
          <t>HandoffIntentTest</t>
        </is>
      </c>
      <c r="F421" s="17" t="inlineStr"/>
      <c r="G421" s="17" t="inlineStr">
        <is>
          <t>câu hỏi thường không bị bắt nhầm — trợ lý vẫn được thử trả lời trước</t>
        </is>
      </c>
      <c r="H421" s="17" t="inlineStr">
        <is>
          <t>khong_bat_nham_cau_hoi_thuong(String)[4]</t>
        </is>
      </c>
      <c r="I421" s="16" t="inlineStr">
        <is>
          <t>Đạt</t>
        </is>
      </c>
      <c r="J421" s="16" t="n">
        <v>0.001</v>
      </c>
    </row>
    <row r="422">
      <c r="A422" s="16" t="n">
        <v>418</v>
      </c>
      <c r="B422" s="16" t="inlineStr">
        <is>
          <t>Backend</t>
        </is>
      </c>
      <c r="C422" s="17" t="inlineStr">
        <is>
          <t>ai-chatbox-service</t>
        </is>
      </c>
      <c r="D422" s="16" t="inlineStr">
        <is>
          <t>Unit</t>
        </is>
      </c>
      <c r="E422" s="17" t="inlineStr">
        <is>
          <t>HandoffIntentTest</t>
        </is>
      </c>
      <c r="F422" s="17" t="inlineStr"/>
      <c r="G422" s="17" t="inlineStr">
        <is>
          <t>khách đòi gặp người thì nhận ra ngay, không cần hỏi mô hình</t>
        </is>
      </c>
      <c r="H422" s="17" t="inlineStr">
        <is>
          <t>nhan_ra_yeu_cau_ro_rang(String)[1]</t>
        </is>
      </c>
      <c r="I422" s="16" t="inlineStr">
        <is>
          <t>Đạt</t>
        </is>
      </c>
      <c r="J422" s="16" t="n">
        <v>0.001</v>
      </c>
    </row>
    <row r="423">
      <c r="A423" s="16" t="n">
        <v>419</v>
      </c>
      <c r="B423" s="16" t="inlineStr">
        <is>
          <t>Backend</t>
        </is>
      </c>
      <c r="C423" s="17" t="inlineStr">
        <is>
          <t>ai-chatbox-service</t>
        </is>
      </c>
      <c r="D423" s="16" t="inlineStr">
        <is>
          <t>Unit</t>
        </is>
      </c>
      <c r="E423" s="17" t="inlineStr">
        <is>
          <t>HandoffIntentTest</t>
        </is>
      </c>
      <c r="F423" s="17" t="inlineStr"/>
      <c r="G423" s="17" t="inlineStr">
        <is>
          <t>khách đòi gặp người thì nhận ra ngay, không cần hỏi mô hình</t>
        </is>
      </c>
      <c r="H423" s="17" t="inlineStr">
        <is>
          <t>nhan_ra_yeu_cau_ro_rang(String)[2]</t>
        </is>
      </c>
      <c r="I423" s="16" t="inlineStr">
        <is>
          <t>Đạt</t>
        </is>
      </c>
      <c r="J423" s="16" t="n">
        <v>0.001</v>
      </c>
    </row>
    <row r="424">
      <c r="A424" s="16" t="n">
        <v>420</v>
      </c>
      <c r="B424" s="16" t="inlineStr">
        <is>
          <t>Backend</t>
        </is>
      </c>
      <c r="C424" s="17" t="inlineStr">
        <is>
          <t>ai-chatbox-service</t>
        </is>
      </c>
      <c r="D424" s="16" t="inlineStr">
        <is>
          <t>Unit</t>
        </is>
      </c>
      <c r="E424" s="17" t="inlineStr">
        <is>
          <t>HandoffIntentTest</t>
        </is>
      </c>
      <c r="F424" s="17" t="inlineStr"/>
      <c r="G424" s="17" t="inlineStr">
        <is>
          <t>khách đòi gặp người thì nhận ra ngay, không cần hỏi mô hình</t>
        </is>
      </c>
      <c r="H424" s="17" t="inlineStr">
        <is>
          <t>nhan_ra_yeu_cau_ro_rang(String)[3]</t>
        </is>
      </c>
      <c r="I424" s="16" t="inlineStr">
        <is>
          <t>Đạt</t>
        </is>
      </c>
      <c r="J424" s="16" t="n">
        <v>0.001</v>
      </c>
    </row>
    <row r="425">
      <c r="A425" s="16" t="n">
        <v>421</v>
      </c>
      <c r="B425" s="16" t="inlineStr">
        <is>
          <t>Backend</t>
        </is>
      </c>
      <c r="C425" s="17" t="inlineStr">
        <is>
          <t>ai-chatbox-service</t>
        </is>
      </c>
      <c r="D425" s="16" t="inlineStr">
        <is>
          <t>Unit</t>
        </is>
      </c>
      <c r="E425" s="17" t="inlineStr">
        <is>
          <t>HandoffIntentTest</t>
        </is>
      </c>
      <c r="F425" s="17" t="inlineStr"/>
      <c r="G425" s="17" t="inlineStr">
        <is>
          <t>khách đòi gặp người thì nhận ra ngay, không cần hỏi mô hình</t>
        </is>
      </c>
      <c r="H425" s="17" t="inlineStr">
        <is>
          <t>nhan_ra_yeu_cau_ro_rang(String)[4]</t>
        </is>
      </c>
      <c r="I425" s="16" t="inlineStr">
        <is>
          <t>Đạt</t>
        </is>
      </c>
      <c r="J425" s="16" t="n">
        <v>0.001</v>
      </c>
    </row>
    <row r="426">
      <c r="A426" s="16" t="n">
        <v>422</v>
      </c>
      <c r="B426" s="16" t="inlineStr">
        <is>
          <t>Backend</t>
        </is>
      </c>
      <c r="C426" s="17" t="inlineStr">
        <is>
          <t>ai-chatbox-service</t>
        </is>
      </c>
      <c r="D426" s="16" t="inlineStr">
        <is>
          <t>Unit</t>
        </is>
      </c>
      <c r="E426" s="17" t="inlineStr">
        <is>
          <t>HandoffIntentTest</t>
        </is>
      </c>
      <c r="F426" s="17" t="inlineStr"/>
      <c r="G426" s="17" t="inlineStr">
        <is>
          <t>khách đòi gặp người thì nhận ra ngay, không cần hỏi mô hình</t>
        </is>
      </c>
      <c r="H426" s="17" t="inlineStr">
        <is>
          <t>nhan_ra_yeu_cau_ro_rang(String)[5]</t>
        </is>
      </c>
      <c r="I426" s="16" t="inlineStr">
        <is>
          <t>Đạt</t>
        </is>
      </c>
      <c r="J426" s="16" t="n">
        <v>0.001</v>
      </c>
    </row>
    <row r="427">
      <c r="A427" s="16" t="n">
        <v>423</v>
      </c>
      <c r="B427" s="16" t="inlineStr">
        <is>
          <t>Backend</t>
        </is>
      </c>
      <c r="C427" s="17" t="inlineStr">
        <is>
          <t>ai-chatbox-service</t>
        </is>
      </c>
      <c r="D427" s="16" t="inlineStr">
        <is>
          <t>Unit</t>
        </is>
      </c>
      <c r="E427" s="17" t="inlineStr">
        <is>
          <t>HandoffIntentTest</t>
        </is>
      </c>
      <c r="F427" s="17" t="inlineStr"/>
      <c r="G427" s="17" t="inlineStr">
        <is>
          <t>khách đòi gặp người thì nhận ra ngay, không cần hỏi mô hình</t>
        </is>
      </c>
      <c r="H427" s="17" t="inlineStr">
        <is>
          <t>nhan_ra_yeu_cau_ro_rang(String)[6]</t>
        </is>
      </c>
      <c r="I427" s="16" t="inlineStr">
        <is>
          <t>Đạt</t>
        </is>
      </c>
      <c r="J427" s="16" t="n">
        <v>0.001</v>
      </c>
    </row>
    <row r="428">
      <c r="A428" s="16" t="n">
        <v>424</v>
      </c>
      <c r="B428" s="16" t="inlineStr">
        <is>
          <t>Backend</t>
        </is>
      </c>
      <c r="C428" s="17" t="inlineStr">
        <is>
          <t>ai-chatbox-service</t>
        </is>
      </c>
      <c r="D428" s="16" t="inlineStr">
        <is>
          <t>Unit</t>
        </is>
      </c>
      <c r="E428" s="17" t="inlineStr">
        <is>
          <t>HandoffIntentTest</t>
        </is>
      </c>
      <c r="F428" s="17" t="inlineStr"/>
      <c r="G428" s="17" t="inlineStr">
        <is>
          <t>khách đòi gặp người thì nhận ra ngay, không cần hỏi mô hình</t>
        </is>
      </c>
      <c r="H428" s="17" t="inlineStr">
        <is>
          <t>nhan_ra_yeu_cau_ro_rang(String)[7]</t>
        </is>
      </c>
      <c r="I428" s="16" t="inlineStr">
        <is>
          <t>Đạt</t>
        </is>
      </c>
      <c r="J428" s="16" t="n">
        <v>0.001</v>
      </c>
    </row>
    <row r="429">
      <c r="A429" s="16" t="n">
        <v>425</v>
      </c>
      <c r="B429" s="16" t="inlineStr">
        <is>
          <t>Backend</t>
        </is>
      </c>
      <c r="C429" s="17" t="inlineStr">
        <is>
          <t>ai-chatbox-service</t>
        </is>
      </c>
      <c r="D429" s="16" t="inlineStr">
        <is>
          <t>Unit</t>
        </is>
      </c>
      <c r="E429" s="17" t="inlineStr">
        <is>
          <t>HandoffIntentTest</t>
        </is>
      </c>
      <c r="F429" s="17" t="inlineStr"/>
      <c r="G429" s="17" t="inlineStr">
        <is>
          <t>gõ không dấu vẫn nhận ra — trên điện thoại đó là cách gõ thường gặp</t>
        </is>
      </c>
      <c r="H429" s="17" t="inlineStr">
        <is>
          <t>nhan_ra_ca_khi_khong_dau(String)[1]</t>
        </is>
      </c>
      <c r="I429" s="16" t="inlineStr">
        <is>
          <t>Đạt</t>
        </is>
      </c>
      <c r="J429" s="16" t="n">
        <v>0.001</v>
      </c>
    </row>
    <row r="430">
      <c r="A430" s="16" t="n">
        <v>426</v>
      </c>
      <c r="B430" s="16" t="inlineStr">
        <is>
          <t>Backend</t>
        </is>
      </c>
      <c r="C430" s="17" t="inlineStr">
        <is>
          <t>ai-chatbox-service</t>
        </is>
      </c>
      <c r="D430" s="16" t="inlineStr">
        <is>
          <t>Unit</t>
        </is>
      </c>
      <c r="E430" s="17" t="inlineStr">
        <is>
          <t>HandoffIntentTest</t>
        </is>
      </c>
      <c r="F430" s="17" t="inlineStr"/>
      <c r="G430" s="17" t="inlineStr">
        <is>
          <t>gõ không dấu vẫn nhận ra — trên điện thoại đó là cách gõ thường gặp</t>
        </is>
      </c>
      <c r="H430" s="17" t="inlineStr">
        <is>
          <t>nhan_ra_ca_khi_khong_dau(String)[2]</t>
        </is>
      </c>
      <c r="I430" s="16" t="inlineStr">
        <is>
          <t>Đạt</t>
        </is>
      </c>
      <c r="J430" s="16" t="n">
        <v>0.001</v>
      </c>
    </row>
    <row r="431">
      <c r="A431" s="16" t="n">
        <v>427</v>
      </c>
      <c r="B431" s="16" t="inlineStr">
        <is>
          <t>Backend</t>
        </is>
      </c>
      <c r="C431" s="17" t="inlineStr">
        <is>
          <t>ai-chatbox-service</t>
        </is>
      </c>
      <c r="D431" s="16" t="inlineStr">
        <is>
          <t>Unit</t>
        </is>
      </c>
      <c r="E431" s="17" t="inlineStr">
        <is>
          <t>HandoffIntentTest</t>
        </is>
      </c>
      <c r="F431" s="17" t="inlineStr"/>
      <c r="G431" s="17" t="inlineStr">
        <is>
          <t>gõ không dấu vẫn nhận ra — trên điện thoại đó là cách gõ thường gặp</t>
        </is>
      </c>
      <c r="H431" s="17" t="inlineStr">
        <is>
          <t>nhan_ra_ca_khi_khong_dau(String)[3]</t>
        </is>
      </c>
      <c r="I431" s="16" t="inlineStr">
        <is>
          <t>Đạt</t>
        </is>
      </c>
      <c r="J431" s="16" t="n">
        <v>0.001</v>
      </c>
    </row>
    <row r="432">
      <c r="A432" s="16" t="n">
        <v>428</v>
      </c>
      <c r="B432" s="16" t="inlineStr">
        <is>
          <t>Backend</t>
        </is>
      </c>
      <c r="C432" s="17" t="inlineStr">
        <is>
          <t>ai-chatbox-service</t>
        </is>
      </c>
      <c r="D432" s="16" t="inlineStr">
        <is>
          <t>Unit</t>
        </is>
      </c>
      <c r="E432" s="17" t="inlineStr">
        <is>
          <t>HandoffUseCaseTest › HangDoiVaTraCuu</t>
        </is>
      </c>
      <c r="F432" s="17" t="inlineStr">
        <is>
          <t>hàng đợi và tra cứu</t>
        </is>
      </c>
      <c r="G432" s="17" t="inlineStr">
        <is>
          <t>phiếu chưa có người nhận không gọi identity để tra tên người trực</t>
        </is>
      </c>
      <c r="H432" s="17" t="inlineStr">
        <is>
          <t>khong_tra_ten_khi_chua_co_nguoi_nhan</t>
        </is>
      </c>
      <c r="I432" s="16" t="inlineStr">
        <is>
          <t>Đạt</t>
        </is>
      </c>
      <c r="J432" s="16" t="n">
        <v>0.004</v>
      </c>
    </row>
    <row r="433">
      <c r="A433" s="16" t="n">
        <v>429</v>
      </c>
      <c r="B433" s="16" t="inlineStr">
        <is>
          <t>Backend</t>
        </is>
      </c>
      <c r="C433" s="17" t="inlineStr">
        <is>
          <t>ai-chatbox-service</t>
        </is>
      </c>
      <c r="D433" s="16" t="inlineStr">
        <is>
          <t>Unit</t>
        </is>
      </c>
      <c r="E433" s="17" t="inlineStr">
        <is>
          <t>HandoffUseCaseTest › HangDoiVaTraCuu</t>
        </is>
      </c>
      <c r="F433" s="17" t="inlineStr">
        <is>
          <t>hàng đợi và tra cứu</t>
        </is>
      </c>
      <c r="G433" s="17" t="inlineStr">
        <is>
          <t>không tra được tên (identity hỏng) thì dòng vẫn hiện, chỉ thiếu tên; lần tra rỗng cũng được nhớ trong danh sách</t>
        </is>
      </c>
      <c r="H433" s="17" t="inlineStr">
        <is>
          <t>khong_tra_duoc_ten</t>
        </is>
      </c>
      <c r="I433" s="16" t="inlineStr">
        <is>
          <t>Đạt</t>
        </is>
      </c>
      <c r="J433" s="16" t="n">
        <v>0.007</v>
      </c>
    </row>
    <row r="434">
      <c r="A434" s="16" t="n">
        <v>430</v>
      </c>
      <c r="B434" s="16" t="inlineStr">
        <is>
          <t>Backend</t>
        </is>
      </c>
      <c r="C434" s="17" t="inlineStr">
        <is>
          <t>ai-chatbox-service</t>
        </is>
      </c>
      <c r="D434" s="16" t="inlineStr">
        <is>
          <t>Unit</t>
        </is>
      </c>
      <c r="E434" s="17" t="inlineStr">
        <is>
          <t>HandoffUseCaseTest › HangDoiVaTraCuu</t>
        </is>
      </c>
      <c r="F434" s="17" t="inlineStr">
        <is>
          <t>hàng đợi và tra cứu</t>
        </is>
      </c>
      <c r="G434" s="17" t="inlineStr">
        <is>
          <t>hàng đợi cũ nhất trước, lọc theo ý định bằng TÊN (không phân biệt hoa thường), tên lạ thì không lọc</t>
        </is>
      </c>
      <c r="H434" s="17" t="inlineStr">
        <is>
          <t>hang_doi_va_loc_y_dinh</t>
        </is>
      </c>
      <c r="I434" s="16" t="inlineStr">
        <is>
          <t>Đạt</t>
        </is>
      </c>
      <c r="J434" s="16" t="n">
        <v>0.008</v>
      </c>
    </row>
    <row r="435">
      <c r="A435" s="16" t="n">
        <v>431</v>
      </c>
      <c r="B435" s="16" t="inlineStr">
        <is>
          <t>Backend</t>
        </is>
      </c>
      <c r="C435" s="17" t="inlineStr">
        <is>
          <t>ai-chatbox-service</t>
        </is>
      </c>
      <c r="D435" s="16" t="inlineStr">
        <is>
          <t>Unit</t>
        </is>
      </c>
      <c r="E435" s="17" t="inlineStr">
        <is>
          <t>HandoffUseCaseTest › HangDoiVaTraCuu</t>
        </is>
      </c>
      <c r="F435" s="17" t="inlineStr">
        <is>
          <t>hàng đợi và tra cứu</t>
        </is>
      </c>
      <c r="G435" s="17" t="inlineStr">
        <is>
          <t>phân trang theo limit và offset</t>
        </is>
      </c>
      <c r="H435" s="17" t="inlineStr">
        <is>
          <t>phan_trang</t>
        </is>
      </c>
      <c r="I435" s="16" t="inlineStr">
        <is>
          <t>Đạt</t>
        </is>
      </c>
      <c r="J435" s="16" t="n">
        <v>0.005</v>
      </c>
    </row>
    <row r="436">
      <c r="A436" s="16" t="n">
        <v>432</v>
      </c>
      <c r="B436" s="16" t="inlineStr">
        <is>
          <t>Backend</t>
        </is>
      </c>
      <c r="C436" s="17" t="inlineStr">
        <is>
          <t>ai-chatbox-service</t>
        </is>
      </c>
      <c r="D436" s="16" t="inlineStr">
        <is>
          <t>Unit</t>
        </is>
      </c>
      <c r="E436" s="17" t="inlineStr">
        <is>
          <t>HandoffUseCaseTest › HangDoiVaTraCuu</t>
        </is>
      </c>
      <c r="F436" s="17" t="inlineStr">
        <is>
          <t>hàng đợi và tra cứu</t>
        </is>
      </c>
      <c r="G436" s="17" t="inlineStr">
        <is>
          <t>lọc 'của tôi' chỉ lấy phiếu người ấy đang giữ</t>
        </is>
      </c>
      <c r="H436" s="17" t="inlineStr">
        <is>
          <t>loc_cua_toi</t>
        </is>
      </c>
      <c r="I436" s="16" t="inlineStr">
        <is>
          <t>Đạt</t>
        </is>
      </c>
      <c r="J436" s="16" t="n">
        <v>0.003</v>
      </c>
    </row>
    <row r="437">
      <c r="A437" s="16" t="n">
        <v>433</v>
      </c>
      <c r="B437" s="16" t="inlineStr">
        <is>
          <t>Backend</t>
        </is>
      </c>
      <c r="C437" s="17" t="inlineStr">
        <is>
          <t>ai-chatbox-service</t>
        </is>
      </c>
      <c r="D437" s="16" t="inlineStr">
        <is>
          <t>Unit</t>
        </is>
      </c>
      <c r="E437" s="17" t="inlineStr">
        <is>
          <t>HandoffUseCaseTest › HangDoiVaTraCuu</t>
        </is>
      </c>
      <c r="F437" s="17" t="inlineStr">
        <is>
          <t>hàng đợi và tra cứu</t>
        </is>
      </c>
      <c r="G437" s="17" t="inlineStr">
        <is>
          <t>tra cứu: mới nhất trước, trạng thái theo tên (OPEN gồm WAITING và ASSIGNED), tên lạ thì không lọc</t>
        </is>
      </c>
      <c r="H437" s="17" t="inlineStr">
        <is>
          <t>tra_cuu_theo_trang_thai</t>
        </is>
      </c>
      <c r="I437" s="16" t="inlineStr">
        <is>
          <t>Đạt</t>
        </is>
      </c>
      <c r="J437" s="16" t="n">
        <v>0.004</v>
      </c>
    </row>
    <row r="438">
      <c r="A438" s="16" t="n">
        <v>434</v>
      </c>
      <c r="B438" s="16" t="inlineStr">
        <is>
          <t>Backend</t>
        </is>
      </c>
      <c r="C438" s="17" t="inlineStr">
        <is>
          <t>ai-chatbox-service</t>
        </is>
      </c>
      <c r="D438" s="16" t="inlineStr">
        <is>
          <t>Unit</t>
        </is>
      </c>
      <c r="E438" s="17" t="inlineStr">
        <is>
          <t>HandoffUseCaseTest › HangDoiVaTraCuu</t>
        </is>
      </c>
      <c r="F438" s="17" t="inlineStr">
        <is>
          <t>hàng đợi và tra cứu</t>
        </is>
      </c>
      <c r="G438" s="17" t="inlineStr">
        <is>
          <t>tên người trực và thông tin khách được tra MỘT lần cho mỗi người dù có bao nhiêu dòng</t>
        </is>
      </c>
      <c r="H438" s="17" t="inlineStr">
        <is>
          <t>tra_mot_lan_moi_nguoi</t>
        </is>
      </c>
      <c r="I438" s="16" t="inlineStr">
        <is>
          <t>Đạt</t>
        </is>
      </c>
      <c r="J438" s="16" t="n">
        <v>0.003</v>
      </c>
    </row>
    <row r="439">
      <c r="A439" s="16" t="n">
        <v>435</v>
      </c>
      <c r="B439" s="16" t="inlineStr">
        <is>
          <t>Backend</t>
        </is>
      </c>
      <c r="C439" s="17" t="inlineStr">
        <is>
          <t>ai-chatbox-service</t>
        </is>
      </c>
      <c r="D439" s="16" t="inlineStr">
        <is>
          <t>Unit</t>
        </is>
      </c>
      <c r="E439" s="17" t="inlineStr">
        <is>
          <t>HandoffUseCaseTest › HangDoiVaTraCuu</t>
        </is>
      </c>
      <c r="F439" s="17" t="inlineStr">
        <is>
          <t>hàng đợi và tra cứu</t>
        </is>
      </c>
      <c r="G439" s="17" t="inlineStr">
        <is>
          <t>tra cứu theo chữ tìm trong lý do và câu hỏi cuối, kết hợp được với bộ lọc khác</t>
        </is>
      </c>
      <c r="H439" s="17" t="inlineStr">
        <is>
          <t>tra_cuu_theo_chu</t>
        </is>
      </c>
      <c r="I439" s="16" t="inlineStr">
        <is>
          <t>Đạt</t>
        </is>
      </c>
      <c r="J439" s="16" t="n">
        <v>0.002</v>
      </c>
    </row>
    <row r="440">
      <c r="A440" s="16" t="n">
        <v>436</v>
      </c>
      <c r="B440" s="16" t="inlineStr">
        <is>
          <t>Backend</t>
        </is>
      </c>
      <c r="C440" s="17" t="inlineStr">
        <is>
          <t>ai-chatbox-service</t>
        </is>
      </c>
      <c r="D440" s="16" t="inlineStr">
        <is>
          <t>Unit</t>
        </is>
      </c>
      <c r="E440" s="17" t="inlineStr">
        <is>
          <t>HandoffUseCaseTest › KhachBamNut</t>
        </is>
      </c>
      <c r="F440" s="17" t="inlineStr">
        <is>
          <t>khách tự bấm nút gặp nhân viên</t>
        </is>
      </c>
      <c r="G440" s="17" t="inlineStr">
        <is>
          <t>phiên của người khác hoặc không tồn tại đều là CHAT_SESSION_NOT_FOUND và KHÔNG mở phiếu</t>
        </is>
      </c>
      <c r="H440" s="17" t="inlineStr">
        <is>
          <t>phien_khong_phai_cua_minh</t>
        </is>
      </c>
      <c r="I440" s="16" t="inlineStr">
        <is>
          <t>Đạt</t>
        </is>
      </c>
      <c r="J440" s="16" t="n">
        <v>0.007</v>
      </c>
    </row>
    <row r="441">
      <c r="A441" s="16" t="n">
        <v>437</v>
      </c>
      <c r="B441" s="16" t="inlineStr">
        <is>
          <t>Backend</t>
        </is>
      </c>
      <c r="C441" s="17" t="inlineStr">
        <is>
          <t>ai-chatbox-service</t>
        </is>
      </c>
      <c r="D441" s="16" t="inlineStr">
        <is>
          <t>Unit</t>
        </is>
      </c>
      <c r="E441" s="17" t="inlineStr">
        <is>
          <t>HandoffUseCaseTest › KhachBamNut</t>
        </is>
      </c>
      <c r="F441" s="17" t="inlineStr">
        <is>
          <t>khách tự bấm nút gặp nhân viên</t>
        </is>
      </c>
      <c r="G441" s="17" t="inlineStr">
        <is>
          <t>ý định lấy từ câu CUỐI của khách, bỏ qua câu của trợ lý</t>
        </is>
      </c>
      <c r="H441" s="17" t="inlineStr">
        <is>
          <t>y_dinh_tu_cau_cuoi_cua_khach</t>
        </is>
      </c>
      <c r="I441" s="16" t="inlineStr">
        <is>
          <t>Đạt</t>
        </is>
      </c>
      <c r="J441" s="16" t="n">
        <v>0.002</v>
      </c>
    </row>
    <row r="442">
      <c r="A442" s="16" t="n">
        <v>438</v>
      </c>
      <c r="B442" s="16" t="inlineStr">
        <is>
          <t>Backend</t>
        </is>
      </c>
      <c r="C442" s="17" t="inlineStr">
        <is>
          <t>ai-chatbox-service</t>
        </is>
      </c>
      <c r="D442" s="16" t="inlineStr">
        <is>
          <t>Unit</t>
        </is>
      </c>
      <c r="E442" s="17" t="inlineStr">
        <is>
          <t>HandoffUseCaseTest › KhachBamNut</t>
        </is>
      </c>
      <c r="F442" s="17" t="inlineStr">
        <is>
          <t>khách tự bấm nút gặp nhân viên</t>
        </is>
      </c>
      <c r="G442" s="17" t="inlineStr">
        <is>
          <t>phiên chưa có tin nhắn của khách thì phiếu GENERAL không có câu hỏi</t>
        </is>
      </c>
      <c r="H442" s="17" t="inlineStr">
        <is>
          <t>khong_co_tin_nhan</t>
        </is>
      </c>
      <c r="I442" s="16" t="inlineStr">
        <is>
          <t>Đạt</t>
        </is>
      </c>
      <c r="J442" s="16" t="n">
        <v>0.003</v>
      </c>
    </row>
    <row r="443">
      <c r="A443" s="16" t="n">
        <v>439</v>
      </c>
      <c r="B443" s="16" t="inlineStr">
        <is>
          <t>Backend</t>
        </is>
      </c>
      <c r="C443" s="17" t="inlineStr">
        <is>
          <t>ai-chatbox-service</t>
        </is>
      </c>
      <c r="D443" s="16" t="inlineStr">
        <is>
          <t>Unit</t>
        </is>
      </c>
      <c r="E443" s="17" t="inlineStr">
        <is>
          <t>HandoffUseCaseTest › KhachBamNut</t>
        </is>
      </c>
      <c r="F443" s="17" t="inlineStr">
        <is>
          <t>khách tự bấm nút gặp nhân viên</t>
        </is>
      </c>
      <c r="G443" s="17" t="inlineStr">
        <is>
          <t>bấm hai lần trả cùng một phiếu</t>
        </is>
      </c>
      <c r="H443" s="17" t="inlineStr">
        <is>
          <t>bam_hai_lan</t>
        </is>
      </c>
      <c r="I443" s="16" t="inlineStr">
        <is>
          <t>Đạt</t>
        </is>
      </c>
      <c r="J443" s="16" t="n">
        <v>0.013</v>
      </c>
    </row>
    <row r="444">
      <c r="A444" s="16" t="n">
        <v>440</v>
      </c>
      <c r="B444" s="16" t="inlineStr">
        <is>
          <t>Backend</t>
        </is>
      </c>
      <c r="C444" s="17" t="inlineStr">
        <is>
          <t>ai-chatbox-service</t>
        </is>
      </c>
      <c r="D444" s="16" t="inlineStr">
        <is>
          <t>Unit</t>
        </is>
      </c>
      <c r="E444" s="17" t="inlineStr">
        <is>
          <t>HandoffUseCaseTest › ManHinh</t>
        </is>
      </c>
      <c r="F444" s="17" t="inlineStr">
        <is>
          <t>màn hình người trực và màn hình khách</t>
        </is>
      </c>
      <c r="G444" s="17" t="inlineStr">
        <is>
          <t>thread chỉ lấy tối đa transcriptLimit tin gần nhất</t>
        </is>
      </c>
      <c r="H444" s="17" t="inlineStr">
        <is>
          <t>gioi_han_transcript</t>
        </is>
      </c>
      <c r="I444" s="16" t="inlineStr">
        <is>
          <t>Đạt</t>
        </is>
      </c>
      <c r="J444" s="16" t="n">
        <v>0.004</v>
      </c>
    </row>
    <row r="445">
      <c r="A445" s="16" t="n">
        <v>441</v>
      </c>
      <c r="B445" s="16" t="inlineStr">
        <is>
          <t>Backend</t>
        </is>
      </c>
      <c r="C445" s="17" t="inlineStr">
        <is>
          <t>ai-chatbox-service</t>
        </is>
      </c>
      <c r="D445" s="16" t="inlineStr">
        <is>
          <t>Unit</t>
        </is>
      </c>
      <c r="E445" s="17" t="inlineStr">
        <is>
          <t>HandoffUseCaseTest › ManHinh</t>
        </is>
      </c>
      <c r="F445" s="17" t="inlineStr">
        <is>
          <t>màn hình người trực và màn hình khách</t>
        </is>
      </c>
      <c r="G445" s="17" t="inlineStr">
        <is>
          <t>phiếu sự cố kèm checklist theo loại sự cố ghi trong details</t>
        </is>
      </c>
      <c r="H445" s="17" t="inlineStr">
        <is>
          <t>checklist_theo_loai_su_co</t>
        </is>
      </c>
      <c r="I445" s="16" t="inlineStr">
        <is>
          <t>Đạt</t>
        </is>
      </c>
      <c r="J445" s="16" t="n">
        <v>0.003</v>
      </c>
    </row>
    <row r="446">
      <c r="A446" s="16" t="n">
        <v>442</v>
      </c>
      <c r="B446" s="16" t="inlineStr">
        <is>
          <t>Backend</t>
        </is>
      </c>
      <c r="C446" s="17" t="inlineStr">
        <is>
          <t>ai-chatbox-service</t>
        </is>
      </c>
      <c r="D446" s="16" t="inlineStr">
        <is>
          <t>Unit</t>
        </is>
      </c>
      <c r="E446" s="17" t="inlineStr">
        <is>
          <t>HandoffUseCaseTest › ManHinh</t>
        </is>
      </c>
      <c r="F446" s="17" t="inlineStr">
        <is>
          <t>màn hình người trực và màn hình khách</t>
        </is>
      </c>
      <c r="G446" s="17" t="inlineStr">
        <is>
          <t>không có checklist khi không phải sự cố, khi details thiếu hoặc không nhận ra loại</t>
        </is>
      </c>
      <c r="H446" s="17" t="inlineStr">
        <is>
          <t>khong_co_checklist</t>
        </is>
      </c>
      <c r="I446" s="16" t="inlineStr">
        <is>
          <t>Đạt</t>
        </is>
      </c>
      <c r="J446" s="16" t="n">
        <v>0.003</v>
      </c>
    </row>
    <row r="447">
      <c r="A447" s="16" t="n">
        <v>443</v>
      </c>
      <c r="B447" s="16" t="inlineStr">
        <is>
          <t>Backend</t>
        </is>
      </c>
      <c r="C447" s="17" t="inlineStr">
        <is>
          <t>ai-chatbox-service</t>
        </is>
      </c>
      <c r="D447" s="16" t="inlineStr">
        <is>
          <t>Unit</t>
        </is>
      </c>
      <c r="E447" s="17" t="inlineStr">
        <is>
          <t>HandoffUseCaseTest › ManHinh</t>
        </is>
      </c>
      <c r="F447" s="17" t="inlineStr">
        <is>
          <t>màn hình người trực và màn hình khách</t>
        </is>
      </c>
      <c r="G447" s="17" t="inlineStr">
        <is>
          <t>customerThread: có phiếu mở thì kèm phiếu, để giao diện đổi sang 'đang chờ nhân viên'</t>
        </is>
      </c>
      <c r="H447" s="17" t="inlineStr">
        <is>
          <t>customer_thread_co_phieu</t>
        </is>
      </c>
      <c r="I447" s="16" t="inlineStr">
        <is>
          <t>Đạt</t>
        </is>
      </c>
      <c r="J447" s="16" t="n">
        <v>0.004</v>
      </c>
    </row>
    <row r="448">
      <c r="A448" s="16" t="n">
        <v>444</v>
      </c>
      <c r="B448" s="16" t="inlineStr">
        <is>
          <t>Backend</t>
        </is>
      </c>
      <c r="C448" s="17" t="inlineStr">
        <is>
          <t>ai-chatbox-service</t>
        </is>
      </c>
      <c r="D448" s="16" t="inlineStr">
        <is>
          <t>Unit</t>
        </is>
      </c>
      <c r="E448" s="17" t="inlineStr">
        <is>
          <t>HandoffUseCaseTest › ManHinh</t>
        </is>
      </c>
      <c r="F448" s="17" t="inlineStr">
        <is>
          <t>màn hình người trực và màn hình khách</t>
        </is>
      </c>
      <c r="G448" s="17" t="inlineStr">
        <is>
          <t>HandoffRow.of: thời gian chờ chạy theo đồng hồ khi chưa ai nhận</t>
        </is>
      </c>
      <c r="H448" s="17" t="inlineStr">
        <is>
          <t>thoi_gian_cho</t>
        </is>
      </c>
      <c r="I448" s="16" t="inlineStr">
        <is>
          <t>Đạt</t>
        </is>
      </c>
      <c r="J448" s="16" t="n">
        <v>0.002</v>
      </c>
    </row>
    <row r="449">
      <c r="A449" s="16" t="n">
        <v>445</v>
      </c>
      <c r="B449" s="16" t="inlineStr">
        <is>
          <t>Backend</t>
        </is>
      </c>
      <c r="C449" s="17" t="inlineStr">
        <is>
          <t>ai-chatbox-service</t>
        </is>
      </c>
      <c r="D449" s="16" t="inlineStr">
        <is>
          <t>Unit</t>
        </is>
      </c>
      <c r="E449" s="17" t="inlineStr">
        <is>
          <t>HandoffUseCaseTest › ManHinh</t>
        </is>
      </c>
      <c r="F449" s="17" t="inlineStr">
        <is>
          <t>màn hình người trực và màn hình khách</t>
        </is>
      </c>
      <c r="G449" s="17" t="inlineStr">
        <is>
          <t>customerThread: phiên của người khác là CHAT_SESSION_NOT_FOUND, không lộ nội dung</t>
        </is>
      </c>
      <c r="H449" s="17" t="inlineStr">
        <is>
          <t>customer_thread_phien_nguoi_khac</t>
        </is>
      </c>
      <c r="I449" s="16" t="inlineStr">
        <is>
          <t>Đạt</t>
        </is>
      </c>
      <c r="J449" s="16" t="n">
        <v>0.002</v>
      </c>
    </row>
    <row r="450">
      <c r="A450" s="16" t="n">
        <v>446</v>
      </c>
      <c r="B450" s="16" t="inlineStr">
        <is>
          <t>Backend</t>
        </is>
      </c>
      <c r="C450" s="17" t="inlineStr">
        <is>
          <t>ai-chatbox-service</t>
        </is>
      </c>
      <c r="D450" s="16" t="inlineStr">
        <is>
          <t>Unit</t>
        </is>
      </c>
      <c r="E450" s="17" t="inlineStr">
        <is>
          <t>HandoffUseCaseTest › ManHinh</t>
        </is>
      </c>
      <c r="F450" s="17" t="inlineStr">
        <is>
          <t>màn hình người trực và màn hình khách</t>
        </is>
      </c>
      <c r="G450" s="17" t="inlineStr">
        <is>
          <t>customerThread: hội thoại của chính khách, handoff null khi trợ lý đang trả lời</t>
        </is>
      </c>
      <c r="H450" s="17" t="inlineStr">
        <is>
          <t>customer_thread_khong_co_phieu</t>
        </is>
      </c>
      <c r="I450" s="16" t="inlineStr">
        <is>
          <t>Đạt</t>
        </is>
      </c>
      <c r="J450" s="16" t="n">
        <v>0.003</v>
      </c>
    </row>
    <row r="451">
      <c r="A451" s="16" t="n">
        <v>447</v>
      </c>
      <c r="B451" s="16" t="inlineStr">
        <is>
          <t>Backend</t>
        </is>
      </c>
      <c r="C451" s="17" t="inlineStr">
        <is>
          <t>ai-chatbox-service</t>
        </is>
      </c>
      <c r="D451" s="16" t="inlineStr">
        <is>
          <t>Unit</t>
        </is>
      </c>
      <c r="E451" s="17" t="inlineStr">
        <is>
          <t>HandoffUseCaseTest › MoPhieu</t>
        </is>
      </c>
      <c r="F451" s="17" t="inlineStr">
        <is>
          <t>mở phiếu</t>
        </is>
      </c>
      <c r="G451" s="17" t="inlineStr">
        <is>
          <t>idempotent theo phiên: bấm ba lần ra MỘT phiếu và chỉ đếm metric MỘT lần</t>
        </is>
      </c>
      <c r="H451" s="17" t="inlineStr">
        <is>
          <t>idempotent_va_metric_mot_lan</t>
        </is>
      </c>
      <c r="I451" s="16" t="inlineStr">
        <is>
          <t>Đạt</t>
        </is>
      </c>
      <c r="J451" s="16" t="n">
        <v>0.006</v>
      </c>
    </row>
    <row r="452">
      <c r="A452" s="16" t="n">
        <v>448</v>
      </c>
      <c r="B452" s="16" t="inlineStr">
        <is>
          <t>Backend</t>
        </is>
      </c>
      <c r="C452" s="17" t="inlineStr">
        <is>
          <t>ai-chatbox-service</t>
        </is>
      </c>
      <c r="D452" s="16" t="inlineStr">
        <is>
          <t>Unit</t>
        </is>
      </c>
      <c r="E452" s="17" t="inlineStr">
        <is>
          <t>HandoffUseCaseTest › MoPhieu</t>
        </is>
      </c>
      <c r="F452" s="17" t="inlineStr">
        <is>
          <t>mở phiếu</t>
        </is>
      </c>
      <c r="G452" s="17" t="inlineStr">
        <is>
          <t>gắn nhãn ý định từ câu hỏi và cắt bản xem trước ở 500 ký tự kèm dấu …</t>
        </is>
      </c>
      <c r="H452" s="17" t="inlineStr">
        <is>
          <t>nhan_y_dinh_va_cat_ban_xem_truoc</t>
        </is>
      </c>
      <c r="I452" s="16" t="inlineStr">
        <is>
          <t>Đạt</t>
        </is>
      </c>
      <c r="J452" s="16" t="n">
        <v>0.003</v>
      </c>
    </row>
    <row r="453">
      <c r="A453" s="16" t="n">
        <v>449</v>
      </c>
      <c r="B453" s="16" t="inlineStr">
        <is>
          <t>Backend</t>
        </is>
      </c>
      <c r="C453" s="17" t="inlineStr">
        <is>
          <t>ai-chatbox-service</t>
        </is>
      </c>
      <c r="D453" s="16" t="inlineStr">
        <is>
          <t>Unit</t>
        </is>
      </c>
      <c r="E453" s="17" t="inlineStr">
        <is>
          <t>HandoffUseCaseTest › MoPhieu</t>
        </is>
      </c>
      <c r="F453" s="17" t="inlineStr">
        <is>
          <t>mở phiếu</t>
        </is>
      </c>
      <c r="G453" s="17" t="inlineStr">
        <is>
          <t>escalateWithTurn ghi lượt chat (câu hỏi + câu báo) rồi mới mở phiếu</t>
        </is>
      </c>
      <c r="H453" s="17" t="inlineStr">
        <is>
          <t>escalate_with_turn</t>
        </is>
      </c>
      <c r="I453" s="16" t="inlineStr">
        <is>
          <t>Đạt</t>
        </is>
      </c>
      <c r="J453" s="16" t="n">
        <v>0.004</v>
      </c>
    </row>
    <row r="454">
      <c r="A454" s="16" t="n">
        <v>450</v>
      </c>
      <c r="B454" s="16" t="inlineStr">
        <is>
          <t>Backend</t>
        </is>
      </c>
      <c r="C454" s="17" t="inlineStr">
        <is>
          <t>ai-chatbox-service</t>
        </is>
      </c>
      <c r="D454" s="16" t="inlineStr">
        <is>
          <t>Unit</t>
        </is>
      </c>
      <c r="E454" s="17" t="inlineStr">
        <is>
          <t>HandoffUseCaseTest › MoPhieu</t>
        </is>
      </c>
      <c r="F454" s="17" t="inlineStr">
        <is>
          <t>mở phiếu</t>
        </is>
      </c>
      <c r="G454" s="17" t="inlineStr">
        <is>
          <t>phiếu đang mở của phiên tra được qua openFor và openRowFor; phiên khác thì rỗng</t>
        </is>
      </c>
      <c r="H454" s="17" t="inlineStr">
        <is>
          <t>open_for</t>
        </is>
      </c>
      <c r="I454" s="16" t="inlineStr">
        <is>
          <t>Đạt</t>
        </is>
      </c>
      <c r="J454" s="16" t="n">
        <v>0.002</v>
      </c>
    </row>
    <row r="455">
      <c r="A455" s="16" t="n">
        <v>451</v>
      </c>
      <c r="B455" s="16" t="inlineStr">
        <is>
          <t>Backend</t>
        </is>
      </c>
      <c r="C455" s="17" t="inlineStr">
        <is>
          <t>ai-chatbox-service</t>
        </is>
      </c>
      <c r="D455" s="16" t="inlineStr">
        <is>
          <t>Unit</t>
        </is>
      </c>
      <c r="E455" s="17" t="inlineStr">
        <is>
          <t>HandoffUseCaseTest › MoPhieu</t>
        </is>
      </c>
      <c r="F455" s="17" t="inlineStr">
        <is>
          <t>mở phiếu</t>
        </is>
      </c>
      <c r="G455" s="17" t="inlineStr">
        <is>
          <t>câu hỏi null cho ra phiếu không có câu hỏi, không NPE</t>
        </is>
      </c>
      <c r="H455" s="17" t="inlineStr">
        <is>
          <t>cau_hoi_null</t>
        </is>
      </c>
      <c r="I455" s="16" t="inlineStr">
        <is>
          <t>Đạt</t>
        </is>
      </c>
      <c r="J455" s="16" t="n">
        <v>0.001</v>
      </c>
    </row>
    <row r="456">
      <c r="A456" s="16" t="n">
        <v>452</v>
      </c>
      <c r="B456" s="16" t="inlineStr">
        <is>
          <t>Backend</t>
        </is>
      </c>
      <c r="C456" s="17" t="inlineStr">
        <is>
          <t>ai-chatbox-service</t>
        </is>
      </c>
      <c r="D456" s="16" t="inlineStr">
        <is>
          <t>Unit</t>
        </is>
      </c>
      <c r="E456" s="17" t="inlineStr">
        <is>
          <t>HandoffUseCaseTest › NhanPhieu</t>
        </is>
      </c>
      <c r="F456" s="17" t="inlineStr">
        <is>
          <t>nhận phiếu</t>
        </is>
      </c>
      <c r="G456" s="17" t="inlineStr">
        <is>
          <t>phiếu đã đóng thì HANDOFF_ALREADY_RESOLVED, kể cả với chính người từng giữ</t>
        </is>
      </c>
      <c r="H456" s="17" t="inlineStr">
        <is>
          <t>phieu_da_dong</t>
        </is>
      </c>
      <c r="I456" s="16" t="inlineStr">
        <is>
          <t>Đạt</t>
        </is>
      </c>
      <c r="J456" s="16" t="n">
        <v>0.002</v>
      </c>
    </row>
    <row r="457">
      <c r="A457" s="16" t="n">
        <v>453</v>
      </c>
      <c r="B457" s="16" t="inlineStr">
        <is>
          <t>Backend</t>
        </is>
      </c>
      <c r="C457" s="17" t="inlineStr">
        <is>
          <t>ai-chatbox-service</t>
        </is>
      </c>
      <c r="D457" s="16" t="inlineStr">
        <is>
          <t>Unit</t>
        </is>
      </c>
      <c r="E457" s="17" t="inlineStr">
        <is>
          <t>HandoffUseCaseTest › NhanPhieu</t>
        </is>
      </c>
      <c r="F457" s="17" t="inlineStr">
        <is>
          <t>nhận phiếu</t>
        </is>
      </c>
      <c r="G457" s="17" t="inlineStr">
        <is>
          <t>nhận được thì trả cả hội thoại và hiện tên người nhận</t>
        </is>
      </c>
      <c r="H457" s="17" t="inlineStr">
        <is>
          <t>nhan_duoc</t>
        </is>
      </c>
      <c r="I457" s="16" t="inlineStr">
        <is>
          <t>Đạt</t>
        </is>
      </c>
      <c r="J457" s="16" t="n">
        <v>0.003</v>
      </c>
    </row>
    <row r="458">
      <c r="A458" s="16" t="n">
        <v>454</v>
      </c>
      <c r="B458" s="16" t="inlineStr">
        <is>
          <t>Backend</t>
        </is>
      </c>
      <c r="C458" s="17" t="inlineStr">
        <is>
          <t>ai-chatbox-service</t>
        </is>
      </c>
      <c r="D458" s="16" t="inlineStr">
        <is>
          <t>Unit</t>
        </is>
      </c>
      <c r="E458" s="17" t="inlineStr">
        <is>
          <t>HandoffUseCaseTest › NhanPhieu</t>
        </is>
      </c>
      <c r="F458" s="17" t="inlineStr">
        <is>
          <t>nhận phiếu</t>
        </is>
      </c>
      <c r="G458" s="17" t="inlineStr">
        <is>
          <t>chính người đang giữ bấm lại là idempotent, trả hội thoại chứ không 409</t>
        </is>
      </c>
      <c r="H458" s="17" t="inlineStr">
        <is>
          <t>nhan_lai_chinh_minh</t>
        </is>
      </c>
      <c r="I458" s="16" t="inlineStr">
        <is>
          <t>Đạt</t>
        </is>
      </c>
      <c r="J458" s="16" t="n">
        <v>0.001</v>
      </c>
    </row>
    <row r="459">
      <c r="A459" s="16" t="n">
        <v>455</v>
      </c>
      <c r="B459" s="16" t="inlineStr">
        <is>
          <t>Backend</t>
        </is>
      </c>
      <c r="C459" s="17" t="inlineStr">
        <is>
          <t>ai-chatbox-service</t>
        </is>
      </c>
      <c r="D459" s="16" t="inlineStr">
        <is>
          <t>Unit</t>
        </is>
      </c>
      <c r="E459" s="17" t="inlineStr">
        <is>
          <t>HandoffUseCaseTest › NhanPhieu</t>
        </is>
      </c>
      <c r="F459" s="17" t="inlineStr">
        <is>
          <t>nhận phiếu</t>
        </is>
      </c>
      <c r="G459" s="17" t="inlineStr">
        <is>
          <t>phiếu không tồn tại thì HANDOFF_NOT_FOUND</t>
        </is>
      </c>
      <c r="H459" s="17" t="inlineStr">
        <is>
          <t>khong_ton_tai</t>
        </is>
      </c>
      <c r="I459" s="16" t="inlineStr">
        <is>
          <t>Đạt</t>
        </is>
      </c>
      <c r="J459" s="16" t="n">
        <v>0.001</v>
      </c>
    </row>
    <row r="460">
      <c r="A460" s="16" t="n">
        <v>456</v>
      </c>
      <c r="B460" s="16" t="inlineStr">
        <is>
          <t>Backend</t>
        </is>
      </c>
      <c r="C460" s="17" t="inlineStr">
        <is>
          <t>ai-chatbox-service</t>
        </is>
      </c>
      <c r="D460" s="16" t="inlineStr">
        <is>
          <t>Unit</t>
        </is>
      </c>
      <c r="E460" s="17" t="inlineStr">
        <is>
          <t>HandoffUseCaseTest › NhanPhieu</t>
        </is>
      </c>
      <c r="F460" s="17" t="inlineStr">
        <is>
          <t>nhận phiếu</t>
        </is>
      </c>
      <c r="G460" s="17" t="inlineStr">
        <is>
          <t>người khác nhận trước thì HANDOFF_ALREADY_TAKEN, và phiếu vẫn của người đầu</t>
        </is>
      </c>
      <c r="H460" s="17" t="inlineStr">
        <is>
          <t>nguoi_khac_nhan_truoc</t>
        </is>
      </c>
      <c r="I460" s="16" t="inlineStr">
        <is>
          <t>Đạt</t>
        </is>
      </c>
      <c r="J460" s="16" t="n">
        <v>0.002</v>
      </c>
    </row>
    <row r="461">
      <c r="A461" s="16" t="n">
        <v>457</v>
      </c>
      <c r="B461" s="16" t="inlineStr">
        <is>
          <t>Backend</t>
        </is>
      </c>
      <c r="C461" s="17" t="inlineStr">
        <is>
          <t>ai-chatbox-service</t>
        </is>
      </c>
      <c r="D461" s="16" t="inlineStr">
        <is>
          <t>Unit</t>
        </is>
      </c>
      <c r="E461" s="17" t="inlineStr">
        <is>
          <t>HandoffUseCaseTest › TraLoiVaDong</t>
        </is>
      </c>
      <c r="F461" s="17" t="inlineStr">
        <is>
          <t>trả lời và đóng phiếu</t>
        </is>
      </c>
      <c r="G461" s="17" t="inlineStr">
        <is>
          <t>phiếu đã đóng thì không trả lời thêm được (tránh hai phía cùng nói)</t>
        </is>
      </c>
      <c r="H461" s="17" t="inlineStr">
        <is>
          <t>phieu_da_dong</t>
        </is>
      </c>
      <c r="I461" s="16" t="inlineStr">
        <is>
          <t>Đạt</t>
        </is>
      </c>
      <c r="J461" s="16" t="n">
        <v>0.003</v>
      </c>
    </row>
    <row r="462">
      <c r="A462" s="16" t="n">
        <v>458</v>
      </c>
      <c r="B462" s="16" t="inlineStr">
        <is>
          <t>Backend</t>
        </is>
      </c>
      <c r="C462" s="17" t="inlineStr">
        <is>
          <t>ai-chatbox-service</t>
        </is>
      </c>
      <c r="D462" s="16" t="inlineStr">
        <is>
          <t>Unit</t>
        </is>
      </c>
      <c r="E462" s="17" t="inlineStr">
        <is>
          <t>HandoffUseCaseTest › TraLoiVaDong</t>
        </is>
      </c>
      <c r="F462" s="17" t="inlineStr">
        <is>
          <t>trả lời và đóng phiếu</t>
        </is>
      </c>
      <c r="G462" s="17" t="inlineStr">
        <is>
          <t>không đóng được phiếu do người khác phụ trách (HANDOFF_NOT_ASSIGNED), phiếu vẫn mở</t>
        </is>
      </c>
      <c r="H462" s="17" t="inlineStr">
        <is>
          <t>dong_phieu_cua_nguoi_khac</t>
        </is>
      </c>
      <c r="I462" s="16" t="inlineStr">
        <is>
          <t>Đạt</t>
        </is>
      </c>
      <c r="J462" s="16" t="n">
        <v>0.002</v>
      </c>
    </row>
    <row r="463">
      <c r="A463" s="16" t="n">
        <v>459</v>
      </c>
      <c r="B463" s="16" t="inlineStr">
        <is>
          <t>Backend</t>
        </is>
      </c>
      <c r="C463" s="17" t="inlineStr">
        <is>
          <t>ai-chatbox-service</t>
        </is>
      </c>
      <c r="D463" s="16" t="inlineStr">
        <is>
          <t>Unit</t>
        </is>
      </c>
      <c r="E463" s="17" t="inlineStr">
        <is>
          <t>HandoffUseCaseTest › TraLoiVaDong</t>
        </is>
      </c>
      <c r="F463" s="17" t="inlineStr">
        <is>
          <t>trả lời và đóng phiếu</t>
        </is>
      </c>
      <c r="G463" s="17" t="inlineStr">
        <is>
          <t>người trực đã nhận trả lời được; lời nhắn ghi dưới vai AGENT và thuộc về CHỦ PHIÊN, không phải người trực</t>
        </is>
      </c>
      <c r="H463" s="17" t="inlineStr">
        <is>
          <t>tra_loi</t>
        </is>
      </c>
      <c r="I463" s="16" t="inlineStr">
        <is>
          <t>Đạt</t>
        </is>
      </c>
      <c r="J463" s="16" t="n">
        <v>0.002</v>
      </c>
    </row>
    <row r="464">
      <c r="A464" s="16" t="n">
        <v>460</v>
      </c>
      <c r="B464" s="16" t="inlineStr">
        <is>
          <t>Backend</t>
        </is>
      </c>
      <c r="C464" s="17" t="inlineStr">
        <is>
          <t>ai-chatbox-service</t>
        </is>
      </c>
      <c r="D464" s="16" t="inlineStr">
        <is>
          <t>Unit</t>
        </is>
      </c>
      <c r="E464" s="17" t="inlineStr">
        <is>
          <t>HandoffUseCaseTest › TraLoiVaDong</t>
        </is>
      </c>
      <c r="F464" s="17" t="inlineStr">
        <is>
          <t>trả lời và đóng phiếu</t>
        </is>
      </c>
      <c r="G464" s="17" t="inlineStr">
        <is>
          <t>đóng phiếu: người giữ đóng được, và đóng lần hai KHÔNG dịch mốc resolvedAt</t>
        </is>
      </c>
      <c r="H464" s="17" t="inlineStr">
        <is>
          <t>dong_phieu_idempotent</t>
        </is>
      </c>
      <c r="I464" s="16" t="inlineStr">
        <is>
          <t>Đạt</t>
        </is>
      </c>
      <c r="J464" s="16" t="n">
        <v>0.003</v>
      </c>
    </row>
    <row r="465">
      <c r="A465" s="16" t="n">
        <v>461</v>
      </c>
      <c r="B465" s="16" t="inlineStr">
        <is>
          <t>Backend</t>
        </is>
      </c>
      <c r="C465" s="17" t="inlineStr">
        <is>
          <t>ai-chatbox-service</t>
        </is>
      </c>
      <c r="D465" s="16" t="inlineStr">
        <is>
          <t>Unit</t>
        </is>
      </c>
      <c r="E465" s="17" t="inlineStr">
        <is>
          <t>HandoffUseCaseTest › TraLoiVaDong</t>
        </is>
      </c>
      <c r="F465" s="17" t="inlineStr">
        <is>
          <t>trả lời và đóng phiếu</t>
        </is>
      </c>
      <c r="G465" s="17" t="inlineStr">
        <is>
          <t>phiếu không tồn tại thì HANDOFF_NOT_FOUND</t>
        </is>
      </c>
      <c r="H465" s="17" t="inlineStr">
        <is>
          <t>khong_ton_tai</t>
        </is>
      </c>
      <c r="I465" s="16" t="inlineStr">
        <is>
          <t>Đạt</t>
        </is>
      </c>
      <c r="J465" s="16" t="n">
        <v>0.003</v>
      </c>
    </row>
    <row r="466">
      <c r="A466" s="16" t="n">
        <v>462</v>
      </c>
      <c r="B466" s="16" t="inlineStr">
        <is>
          <t>Backend</t>
        </is>
      </c>
      <c r="C466" s="17" t="inlineStr">
        <is>
          <t>ai-chatbox-service</t>
        </is>
      </c>
      <c r="D466" s="16" t="inlineStr">
        <is>
          <t>Unit</t>
        </is>
      </c>
      <c r="E466" s="17" t="inlineStr">
        <is>
          <t>HandoffUseCaseTest › TraLoiVaDong</t>
        </is>
      </c>
      <c r="F466" s="17" t="inlineStr">
        <is>
          <t>trả lời và đóng phiếu</t>
        </is>
      </c>
      <c r="G466" s="17" t="inlineStr">
        <is>
          <t>phiếu chưa ai nhận thì ai cũng đóng được (khách tự giải quyết, nhân viên dọn)</t>
        </is>
      </c>
      <c r="H466" s="17" t="inlineStr">
        <is>
          <t>dong_phieu_chua_ai_nhan</t>
        </is>
      </c>
      <c r="I466" s="16" t="inlineStr">
        <is>
          <t>Đạt</t>
        </is>
      </c>
      <c r="J466" s="16" t="n">
        <v>0.002</v>
      </c>
    </row>
    <row r="467">
      <c r="A467" s="16" t="n">
        <v>463</v>
      </c>
      <c r="B467" s="16" t="inlineStr">
        <is>
          <t>Backend</t>
        </is>
      </c>
      <c r="C467" s="17" t="inlineStr">
        <is>
          <t>ai-chatbox-service</t>
        </is>
      </c>
      <c r="D467" s="16" t="inlineStr">
        <is>
          <t>Unit</t>
        </is>
      </c>
      <c r="E467" s="17" t="inlineStr">
        <is>
          <t>HandoffUseCaseTest › TraLoiVaDong</t>
        </is>
      </c>
      <c r="F467" s="17" t="inlineStr">
        <is>
          <t>trả lời và đóng phiếu</t>
        </is>
      </c>
      <c r="G467" s="17" t="inlineStr">
        <is>
          <t>chưa nhận phiếu hoặc người khác đang giữ thì HANDOFF_NOT_ASSIGNED và không ghi gì</t>
        </is>
      </c>
      <c r="H467" s="17" t="inlineStr">
        <is>
          <t>chua_nhan</t>
        </is>
      </c>
      <c r="I467" s="16" t="inlineStr">
        <is>
          <t>Đạt</t>
        </is>
      </c>
      <c r="J467" s="16" t="n">
        <v>0.004</v>
      </c>
    </row>
    <row r="468">
      <c r="A468" s="16" t="n">
        <v>464</v>
      </c>
      <c r="B468" s="16" t="inlineStr">
        <is>
          <t>Backend</t>
        </is>
      </c>
      <c r="C468" s="17" t="inlineStr">
        <is>
          <t>ai-chatbox-service</t>
        </is>
      </c>
      <c r="D468" s="16" t="inlineStr">
        <is>
          <t>Unit</t>
        </is>
      </c>
      <c r="E468" s="17" t="inlineStr">
        <is>
          <t>HandoffUseCaseTest › TraLoiVaDong</t>
        </is>
      </c>
      <c r="F468" s="17" t="inlineStr">
        <is>
          <t>trả lời và đóng phiếu</t>
        </is>
      </c>
      <c r="G468" s="17" t="inlineStr">
        <is>
          <t>đóng phiếu thì lượt sau trợ lý trả lời trở lại: openFor rỗng</t>
        </is>
      </c>
      <c r="H468" s="17" t="inlineStr">
        <is>
          <t>dong_thi_tro_ly_tra_loi_lai</t>
        </is>
      </c>
      <c r="I468" s="16" t="inlineStr">
        <is>
          <t>Đạt</t>
        </is>
      </c>
      <c r="J468" s="16" t="n">
        <v>0.002</v>
      </c>
    </row>
    <row r="469">
      <c r="A469" s="16" t="n">
        <v>465</v>
      </c>
      <c r="B469" s="16" t="inlineStr">
        <is>
          <t>Backend</t>
        </is>
      </c>
      <c r="C469" s="17" t="inlineStr">
        <is>
          <t>ai-chatbox-service</t>
        </is>
      </c>
      <c r="D469" s="16" t="inlineStr">
        <is>
          <t>Unit</t>
        </is>
      </c>
      <c r="E469" s="17" t="inlineStr">
        <is>
          <t>IncidentTemplatesTest</t>
        </is>
      </c>
      <c r="F469" s="17" t="inlineStr"/>
      <c r="G469" s="17" t="inlineStr">
        <is>
          <t>moi loai su co deu co khung mau va checklist</t>
        </is>
      </c>
      <c r="H469" s="17" t="inlineStr">
        <is>
          <t>moi_loai_su_co_deu_co_khung_mau_va_checklist(IncidentKind)[1]</t>
        </is>
      </c>
      <c r="I469" s="16" t="inlineStr">
        <is>
          <t>Đạt</t>
        </is>
      </c>
      <c r="J469" s="16" t="n">
        <v>0.008999999999999999</v>
      </c>
    </row>
    <row r="470">
      <c r="A470" s="16" t="n">
        <v>466</v>
      </c>
      <c r="B470" s="16" t="inlineStr">
        <is>
          <t>Backend</t>
        </is>
      </c>
      <c r="C470" s="17" t="inlineStr">
        <is>
          <t>ai-chatbox-service</t>
        </is>
      </c>
      <c r="D470" s="16" t="inlineStr">
        <is>
          <t>Unit</t>
        </is>
      </c>
      <c r="E470" s="17" t="inlineStr">
        <is>
          <t>IncidentTemplatesTest</t>
        </is>
      </c>
      <c r="F470" s="17" t="inlineStr"/>
      <c r="G470" s="17" t="inlineStr">
        <is>
          <t>moi loai su co deu co khung mau va checklist</t>
        </is>
      </c>
      <c r="H470" s="17" t="inlineStr">
        <is>
          <t>moi_loai_su_co_deu_co_khung_mau_va_checklist(IncidentKind)[2]</t>
        </is>
      </c>
      <c r="I470" s="16" t="inlineStr">
        <is>
          <t>Đạt</t>
        </is>
      </c>
      <c r="J470" s="16" t="n">
        <v>0.001</v>
      </c>
    </row>
    <row r="471">
      <c r="A471" s="16" t="n">
        <v>467</v>
      </c>
      <c r="B471" s="16" t="inlineStr">
        <is>
          <t>Backend</t>
        </is>
      </c>
      <c r="C471" s="17" t="inlineStr">
        <is>
          <t>ai-chatbox-service</t>
        </is>
      </c>
      <c r="D471" s="16" t="inlineStr">
        <is>
          <t>Unit</t>
        </is>
      </c>
      <c r="E471" s="17" t="inlineStr">
        <is>
          <t>IncidentTemplatesTest</t>
        </is>
      </c>
      <c r="F471" s="17" t="inlineStr"/>
      <c r="G471" s="17" t="inlineStr">
        <is>
          <t>moi loai su co deu co khung mau va checklist</t>
        </is>
      </c>
      <c r="H471" s="17" t="inlineStr">
        <is>
          <t>moi_loai_su_co_deu_co_khung_mau_va_checklist(IncidentKind)[3]</t>
        </is>
      </c>
      <c r="I471" s="16" t="inlineStr">
        <is>
          <t>Đạt</t>
        </is>
      </c>
      <c r="J471" s="16" t="n">
        <v>0</v>
      </c>
    </row>
    <row r="472">
      <c r="A472" s="16" t="n">
        <v>468</v>
      </c>
      <c r="B472" s="16" t="inlineStr">
        <is>
          <t>Backend</t>
        </is>
      </c>
      <c r="C472" s="17" t="inlineStr">
        <is>
          <t>ai-chatbox-service</t>
        </is>
      </c>
      <c r="D472" s="16" t="inlineStr">
        <is>
          <t>Unit</t>
        </is>
      </c>
      <c r="E472" s="17" t="inlineStr">
        <is>
          <t>IncidentTemplatesTest</t>
        </is>
      </c>
      <c r="F472" s="17" t="inlineStr"/>
      <c r="G472" s="17" t="inlineStr">
        <is>
          <t>moi loai su co deu co khung mau va checklist</t>
        </is>
      </c>
      <c r="H472" s="17" t="inlineStr">
        <is>
          <t>moi_loai_su_co_deu_co_khung_mau_va_checklist(IncidentKind)[4]</t>
        </is>
      </c>
      <c r="I472" s="16" t="inlineStr">
        <is>
          <t>Đạt</t>
        </is>
      </c>
      <c r="J472" s="16" t="n">
        <v>0.001</v>
      </c>
    </row>
    <row r="473">
      <c r="A473" s="16" t="n">
        <v>469</v>
      </c>
      <c r="B473" s="16" t="inlineStr">
        <is>
          <t>Backend</t>
        </is>
      </c>
      <c r="C473" s="17" t="inlineStr">
        <is>
          <t>ai-chatbox-service</t>
        </is>
      </c>
      <c r="D473" s="16" t="inlineStr">
        <is>
          <t>Unit</t>
        </is>
      </c>
      <c r="E473" s="17" t="inlineStr">
        <is>
          <t>IncidentTemplatesTest</t>
        </is>
      </c>
      <c r="F473" s="17" t="inlineStr"/>
      <c r="G473" s="17" t="inlineStr">
        <is>
          <t>moi loai su co deu co khung mau va checklist</t>
        </is>
      </c>
      <c r="H473" s="17" t="inlineStr">
        <is>
          <t>moi_loai_su_co_deu_co_khung_mau_va_checklist(IncidentKind)[5]</t>
        </is>
      </c>
      <c r="I473" s="16" t="inlineStr">
        <is>
          <t>Đạt</t>
        </is>
      </c>
      <c r="J473" s="16" t="n">
        <v>0.001</v>
      </c>
    </row>
    <row r="474">
      <c r="A474" s="16" t="n">
        <v>470</v>
      </c>
      <c r="B474" s="16" t="inlineStr">
        <is>
          <t>Backend</t>
        </is>
      </c>
      <c r="C474" s="17" t="inlineStr">
        <is>
          <t>ai-chatbox-service</t>
        </is>
      </c>
      <c r="D474" s="16" t="inlineStr">
        <is>
          <t>Unit</t>
        </is>
      </c>
      <c r="E474" s="17" t="inlineStr">
        <is>
          <t>IncidentTemplatesTest</t>
        </is>
      </c>
      <c r="F474" s="17" t="inlineStr"/>
      <c r="G474" s="17" t="inlineStr">
        <is>
          <t>moi loai su co deu co khung mau va checklist</t>
        </is>
      </c>
      <c r="H474" s="17" t="inlineStr">
        <is>
          <t>moi_loai_su_co_deu_co_khung_mau_va_checklist(IncidentKind)[6]</t>
        </is>
      </c>
      <c r="I474" s="16" t="inlineStr">
        <is>
          <t>Đạt</t>
        </is>
      </c>
      <c r="J474" s="16" t="n">
        <v>0.002</v>
      </c>
    </row>
    <row r="475">
      <c r="A475" s="16" t="n">
        <v>471</v>
      </c>
      <c r="B475" s="16" t="inlineStr">
        <is>
          <t>Backend</t>
        </is>
      </c>
      <c r="C475" s="17" t="inlineStr">
        <is>
          <t>ai-chatbox-service</t>
        </is>
      </c>
      <c r="D475" s="16" t="inlineStr">
        <is>
          <t>Unit</t>
        </is>
      </c>
      <c r="E475" s="17" t="inlineStr">
        <is>
          <t>IncidentTemplatesTest</t>
        </is>
      </c>
      <c r="F475" s="17" t="inlineStr"/>
      <c r="G475" s="17" t="inlineStr">
        <is>
          <t>ly do theo khung loai truoc don sau roi moi toi mo ta</t>
        </is>
      </c>
      <c r="H475" s="17" t="inlineStr">
        <is>
          <t>ly_do_theo_khung_loai_truoc_don_sau_roi_moi_toi_mo_ta</t>
        </is>
      </c>
      <c r="I475" s="16" t="inlineStr">
        <is>
          <t>Đạt</t>
        </is>
      </c>
      <c r="J475" s="16" t="n">
        <v>0.001</v>
      </c>
    </row>
    <row r="476">
      <c r="A476" s="16" t="n">
        <v>472</v>
      </c>
      <c r="B476" s="16" t="inlineStr">
        <is>
          <t>Backend</t>
        </is>
      </c>
      <c r="C476" s="17" t="inlineStr">
        <is>
          <t>ai-chatbox-service</t>
        </is>
      </c>
      <c r="D476" s="16" t="inlineStr">
        <is>
          <t>Unit</t>
        </is>
      </c>
      <c r="E476" s="17" t="inlineStr">
        <is>
          <t>IncidentTemplatesTest</t>
        </is>
      </c>
      <c r="F476" s="17" t="inlineStr"/>
      <c r="G476" s="17" t="inlineStr">
        <is>
          <t>khong co don thi bo phan don</t>
        </is>
      </c>
      <c r="H476" s="17" t="inlineStr">
        <is>
          <t>khong_co_don_thi_bo_phan_don</t>
        </is>
      </c>
      <c r="I476" s="16" t="inlineStr">
        <is>
          <t>Đạt</t>
        </is>
      </c>
      <c r="J476" s="16" t="n">
        <v>0.001</v>
      </c>
    </row>
    <row r="477">
      <c r="A477" s="16" t="n">
        <v>473</v>
      </c>
      <c r="B477" s="16" t="inlineStr">
        <is>
          <t>Backend</t>
        </is>
      </c>
      <c r="C477" s="17" t="inlineStr">
        <is>
          <t>ai-chatbox-service</t>
        </is>
      </c>
      <c r="D477" s="16" t="inlineStr">
        <is>
          <t>Unit</t>
        </is>
      </c>
      <c r="E477" s="17" t="inlineStr">
        <is>
          <t>IncidentTemplatesTest</t>
        </is>
      </c>
      <c r="F477" s="17" t="inlineStr"/>
      <c r="G477" s="17" t="inlineStr">
        <is>
          <t>bon loai dau can ma don</t>
        </is>
      </c>
      <c r="H477" s="17" t="inlineStr">
        <is>
          <t>bon_loai_dau_can_ma_don</t>
        </is>
      </c>
      <c r="I477" s="16" t="inlineStr">
        <is>
          <t>Đạt</t>
        </is>
      </c>
      <c r="J477" s="16" t="n">
        <v>0</v>
      </c>
    </row>
    <row r="478">
      <c r="A478" s="16" t="n">
        <v>474</v>
      </c>
      <c r="B478" s="16" t="inlineStr">
        <is>
          <t>Backend</t>
        </is>
      </c>
      <c r="C478" s="17" t="inlineStr">
        <is>
          <t>ai-chatbox-service</t>
        </is>
      </c>
      <c r="D478" s="16" t="inlineStr">
        <is>
          <t>Unit</t>
        </is>
      </c>
      <c r="E478" s="17" t="inlineStr">
        <is>
          <t>IncidentTemplatesTest</t>
        </is>
      </c>
      <c r="F478" s="17" t="inlineStr"/>
      <c r="G478" s="17" t="inlineStr">
        <is>
          <t>doc ten loai tu chuoi mo hinh sinh</t>
        </is>
      </c>
      <c r="H478" s="17" t="inlineStr">
        <is>
          <t>doc_ten_loai_tu_chuoi_mo_hinh_sinh</t>
        </is>
      </c>
      <c r="I478" s="16" t="inlineStr">
        <is>
          <t>Đạt</t>
        </is>
      </c>
      <c r="J478" s="16" t="n">
        <v>0.001</v>
      </c>
    </row>
    <row r="479">
      <c r="A479" s="16" t="n">
        <v>475</v>
      </c>
      <c r="B479" s="16" t="inlineStr">
        <is>
          <t>Backend</t>
        </is>
      </c>
      <c r="C479" s="17" t="inlineStr">
        <is>
          <t>ai-chatbox-service</t>
        </is>
      </c>
      <c r="D479" s="16" t="inlineStr">
        <is>
          <t>Unit</t>
        </is>
      </c>
      <c r="E479" s="17" t="inlineStr">
        <is>
          <t>IncidentTemplatesTest</t>
        </is>
      </c>
      <c r="F479" s="17" t="inlineStr"/>
      <c r="G479" s="17" t="inlineStr">
        <is>
          <t>mo ta dai bi cat vi day la mot dong</t>
        </is>
      </c>
      <c r="H479" s="17" t="inlineStr">
        <is>
          <t>mo_ta_dai_bi_cat_vi_day_la_mot_dong</t>
        </is>
      </c>
      <c r="I479" s="16" t="inlineStr">
        <is>
          <t>Đạt</t>
        </is>
      </c>
      <c r="J479" s="16" t="n">
        <v>0</v>
      </c>
    </row>
    <row r="480">
      <c r="A480" s="16" t="n">
        <v>476</v>
      </c>
      <c r="B480" s="16" t="inlineStr">
        <is>
          <t>Backend</t>
        </is>
      </c>
      <c r="C480" s="17" t="inlineStr">
        <is>
          <t>ai-chatbox-service</t>
        </is>
      </c>
      <c r="D480" s="16" t="inlineStr">
        <is>
          <t>Unit</t>
        </is>
      </c>
      <c r="E480" s="17" t="inlineStr">
        <is>
          <t>PromptInjectionTest</t>
        </is>
      </c>
      <c r="F480" s="17" t="inlineStr"/>
      <c r="G480" s="17" t="inlineStr">
        <is>
          <t>cau hoi binh thuong giu nguyen noi dung trong cau hoi</t>
        </is>
      </c>
      <c r="H480" s="17" t="inlineStr">
        <is>
          <t>cau_hoi_binh_thuong_giu_nguyen_noi_dung_trong_cau_hoi</t>
        </is>
      </c>
      <c r="I480" s="16" t="inlineStr">
        <is>
          <t>Đạt</t>
        </is>
      </c>
      <c r="J480" s="16" t="n">
        <v>0.003</v>
      </c>
    </row>
    <row r="481">
      <c r="A481" s="16" t="n">
        <v>477</v>
      </c>
      <c r="B481" s="16" t="inlineStr">
        <is>
          <t>Backend</t>
        </is>
      </c>
      <c r="C481" s="17" t="inlineStr">
        <is>
          <t>ai-chatbox-service</t>
        </is>
      </c>
      <c r="D481" s="16" t="inlineStr">
        <is>
          <t>Unit</t>
        </is>
      </c>
      <c r="E481" s="17" t="inlineStr">
        <is>
          <t>PromptInjectionTest</t>
        </is>
      </c>
      <c r="F481" s="17" t="inlineStr"/>
      <c r="G481" s="17" t="inlineStr">
        <is>
          <t>the gia o luot nay va luot truoc khong toi mo hinh nguyen dang</t>
        </is>
      </c>
      <c r="H481" s="17" t="inlineStr">
        <is>
          <t>the_gia_o_luot_nay_va_luot_truoc_khong_toi_mo_hinh_nguyen_dang</t>
        </is>
      </c>
      <c r="I481" s="16" t="inlineStr">
        <is>
          <t>Đạt</t>
        </is>
      </c>
      <c r="J481" s="16" t="n">
        <v>0.006</v>
      </c>
    </row>
    <row r="482">
      <c r="A482" s="16" t="n">
        <v>478</v>
      </c>
      <c r="B482" s="16" t="inlineStr">
        <is>
          <t>Backend</t>
        </is>
      </c>
      <c r="C482" s="17" t="inlineStr">
        <is>
          <t>ai-chatbox-service</t>
        </is>
      </c>
      <c r="D482" s="16" t="inlineStr">
        <is>
          <t>Unit</t>
        </is>
      </c>
      <c r="E482" s="17" t="inlineStr">
        <is>
          <t>SessionTurnLockTest</t>
        </is>
      </c>
      <c r="F482" s="17" t="inlineStr"/>
      <c r="G482" s="17" t="inlineStr">
        <is>
          <t>hai luong cung phien dung mot luong thang</t>
        </is>
      </c>
      <c r="H482" s="17" t="inlineStr">
        <is>
          <t>hai_luong_cung_phien_dung_mot_luong_thang</t>
        </is>
      </c>
      <c r="I482" s="16" t="inlineStr">
        <is>
          <t>Đạt</t>
        </is>
      </c>
      <c r="J482" s="16" t="n">
        <v>0.011</v>
      </c>
    </row>
    <row r="483">
      <c r="A483" s="16" t="n">
        <v>479</v>
      </c>
      <c r="B483" s="16" t="inlineStr">
        <is>
          <t>Backend</t>
        </is>
      </c>
      <c r="C483" s="17" t="inlineStr">
        <is>
          <t>ai-chatbox-service</t>
        </is>
      </c>
      <c r="D483" s="16" t="inlineStr">
        <is>
          <t>Unit</t>
        </is>
      </c>
      <c r="E483" s="17" t="inlineStr">
        <is>
          <t>SessionTurnLockTest</t>
        </is>
      </c>
      <c r="F483" s="17" t="inlineStr"/>
      <c r="G483" s="17" t="inlineStr">
        <is>
          <t>moi phien mot nguoi giu nha xong lay lai duoc</t>
        </is>
      </c>
      <c r="H483" s="17" t="inlineStr">
        <is>
          <t>moi_phien_mot_nguoi_giu_nha_xong_lay_lai_duoc</t>
        </is>
      </c>
      <c r="I483" s="16" t="inlineStr">
        <is>
          <t>Đạt</t>
        </is>
      </c>
      <c r="J483" s="16" t="n">
        <v>0</v>
      </c>
    </row>
    <row r="484">
      <c r="A484" s="16" t="n">
        <v>480</v>
      </c>
      <c r="B484" s="16" t="inlineStr">
        <is>
          <t>Backend</t>
        </is>
      </c>
      <c r="C484" s="17" t="inlineStr">
        <is>
          <t>ai-chatbox-service</t>
        </is>
      </c>
      <c r="D484" s="16" t="inlineStr">
        <is>
          <t>Unit</t>
        </is>
      </c>
      <c r="E484" s="17" t="inlineStr">
        <is>
          <t>SessionTurnLockTest</t>
        </is>
      </c>
      <c r="F484" s="17" t="inlineStr"/>
      <c r="G484" s="17" t="inlineStr">
        <is>
          <t>nha het thi rong</t>
        </is>
      </c>
      <c r="H484" s="17" t="inlineStr">
        <is>
          <t>nha_het_thi_rong</t>
        </is>
      </c>
      <c r="I484" s="16" t="inlineStr">
        <is>
          <t>Đạt</t>
        </is>
      </c>
      <c r="J484" s="16" t="n">
        <v>0.006</v>
      </c>
    </row>
    <row r="485">
      <c r="A485" s="16" t="n">
        <v>481</v>
      </c>
      <c r="B485" s="16" t="inlineStr">
        <is>
          <t>Backend</t>
        </is>
      </c>
      <c r="C485" s="17" t="inlineStr">
        <is>
          <t>ai-chatbox-service</t>
        </is>
      </c>
      <c r="D485" s="16" t="inlineStr">
        <is>
          <t>Unit</t>
        </is>
      </c>
      <c r="E485" s="17" t="inlineStr">
        <is>
          <t>SupportAgentPromptsBehaviorTest › FixedMessages</t>
        </is>
      </c>
      <c r="F485" s="17" t="inlineStr">
        <is>
          <t>câu viết sẵn cho khách</t>
        </is>
      </c>
      <c r="G485" s="17" t="inlineStr">
        <is>
          <t>câu báo trợ lý không dùng được không nhắc 'AI' hay 'mô hình' và không hứa thời gian cụ thể</t>
        </is>
      </c>
      <c r="H485" s="17" t="inlineStr">
        <is>
          <t>tro_ly_khong_dung_duoc</t>
        </is>
      </c>
      <c r="I485" s="16" t="inlineStr">
        <is>
          <t>Đạt</t>
        </is>
      </c>
      <c r="J485" s="16" t="n">
        <v>0.001</v>
      </c>
    </row>
    <row r="486">
      <c r="A486" s="16" t="n">
        <v>482</v>
      </c>
      <c r="B486" s="16" t="inlineStr">
        <is>
          <t>Backend</t>
        </is>
      </c>
      <c r="C486" s="17" t="inlineStr">
        <is>
          <t>ai-chatbox-service</t>
        </is>
      </c>
      <c r="D486" s="16" t="inlineStr">
        <is>
          <t>Unit</t>
        </is>
      </c>
      <c r="E486" s="17" t="inlineStr">
        <is>
          <t>SupportAgentPromptsBehaviorTest › FixedMessages</t>
        </is>
      </c>
      <c r="F486" s="17" t="inlineStr">
        <is>
          <t>câu viết sẵn cho khách</t>
        </is>
      </c>
      <c r="G486" s="17" t="inlineStr">
        <is>
          <t>sự cố có đơn: nêu loại sự cố và số đơn</t>
        </is>
      </c>
      <c r="H486" s="17" t="inlineStr">
        <is>
          <t>su_co_co_don</t>
        </is>
      </c>
      <c r="I486" s="16" t="inlineStr">
        <is>
          <t>Đạt</t>
        </is>
      </c>
      <c r="J486" s="16" t="n">
        <v>0</v>
      </c>
    </row>
    <row r="487">
      <c r="A487" s="16" t="n">
        <v>483</v>
      </c>
      <c r="B487" s="16" t="inlineStr">
        <is>
          <t>Backend</t>
        </is>
      </c>
      <c r="C487" s="17" t="inlineStr">
        <is>
          <t>ai-chatbox-service</t>
        </is>
      </c>
      <c r="D487" s="16" t="inlineStr">
        <is>
          <t>Unit</t>
        </is>
      </c>
      <c r="E487" s="17" t="inlineStr">
        <is>
          <t>SupportAgentPromptsBehaviorTest › FixedMessages</t>
        </is>
      </c>
      <c r="F487" s="17" t="inlineStr">
        <is>
          <t>câu viết sẵn cho khách</t>
        </is>
      </c>
      <c r="G487" s="17" t="inlineStr">
        <is>
          <t>sự cố không gắn đơn: không có chữ 'cho đơn' và không in 'null'</t>
        </is>
      </c>
      <c r="H487" s="17" t="inlineStr">
        <is>
          <t>su_co_khong_don</t>
        </is>
      </c>
      <c r="I487" s="16" t="inlineStr">
        <is>
          <t>Đạt</t>
        </is>
      </c>
      <c r="J487" s="16" t="n">
        <v>0.001</v>
      </c>
    </row>
    <row r="488">
      <c r="A488" s="16" t="n">
        <v>484</v>
      </c>
      <c r="B488" s="16" t="inlineStr">
        <is>
          <t>Backend</t>
        </is>
      </c>
      <c r="C488" s="17" t="inlineStr">
        <is>
          <t>ai-chatbox-service</t>
        </is>
      </c>
      <c r="D488" s="16" t="inlineStr">
        <is>
          <t>Unit</t>
        </is>
      </c>
      <c r="E488" s="17" t="inlineStr">
        <is>
          <t>SupportAgentPromptsBehaviorTest › FixedMessages</t>
        </is>
      </c>
      <c r="F488" s="17" t="inlineStr">
        <is>
          <t>câu viết sẵn cho khách</t>
        </is>
      </c>
      <c r="G488" s="17" t="inlineStr">
        <is>
          <t>hoàn vé: nói rõ đây là bước xem xét, chưa phải xác nhận hoàn tiền</t>
        </is>
      </c>
      <c r="H488" s="17" t="inlineStr">
        <is>
          <t>hoan_ve</t>
        </is>
      </c>
      <c r="I488" s="16" t="inlineStr">
        <is>
          <t>Đạt</t>
        </is>
      </c>
      <c r="J488" s="16" t="n">
        <v>0</v>
      </c>
    </row>
    <row r="489">
      <c r="A489" s="16" t="n">
        <v>485</v>
      </c>
      <c r="B489" s="16" t="inlineStr">
        <is>
          <t>Backend</t>
        </is>
      </c>
      <c r="C489" s="17" t="inlineStr">
        <is>
          <t>ai-chatbox-service</t>
        </is>
      </c>
      <c r="D489" s="16" t="inlineStr">
        <is>
          <t>Unit</t>
        </is>
      </c>
      <c r="E489" s="17" t="inlineStr">
        <is>
          <t>SupportAgentPromptsBehaviorTest › StripMarkers</t>
        </is>
      </c>
      <c r="F489" s="17" t="inlineStr">
        <is>
          <t>stripInternalMarkers</t>
        </is>
      </c>
      <c r="G489" s="17" t="inlineStr">
        <is>
          <t>câu trả lời sạch giữ nguyên nội dung, kể cả dấu gạch và ký tự &lt; &gt; hợp lệ</t>
        </is>
      </c>
      <c r="H489" s="17" t="inlineStr">
        <is>
          <t>giu_cau_sach</t>
        </is>
      </c>
      <c r="I489" s="16" t="inlineStr">
        <is>
          <t>Đạt</t>
        </is>
      </c>
      <c r="J489" s="16" t="n">
        <v>0</v>
      </c>
    </row>
    <row r="490">
      <c r="A490" s="16" t="n">
        <v>486</v>
      </c>
      <c r="B490" s="16" t="inlineStr">
        <is>
          <t>Backend</t>
        </is>
      </c>
      <c r="C490" s="17" t="inlineStr">
        <is>
          <t>ai-chatbox-service</t>
        </is>
      </c>
      <c r="D490" s="16" t="inlineStr">
        <is>
          <t>Unit</t>
        </is>
      </c>
      <c r="E490" s="17" t="inlineStr">
        <is>
          <t>SupportAgentPromptsBehaviorTest › StripMarkers</t>
        </is>
      </c>
      <c r="F490" s="17" t="inlineStr">
        <is>
          <t>stripInternalMarkers</t>
        </is>
      </c>
      <c r="G490" s="17" t="inlineStr">
        <is>
          <t>null giữ nguyên null</t>
        </is>
      </c>
      <c r="H490" s="17" t="inlineStr">
        <is>
          <t>null_giu_nguyen</t>
        </is>
      </c>
      <c r="I490" s="16" t="inlineStr">
        <is>
          <t>Đạt</t>
        </is>
      </c>
      <c r="J490" s="16" t="n">
        <v>0.001</v>
      </c>
    </row>
    <row r="491">
      <c r="A491" s="16" t="n">
        <v>487</v>
      </c>
      <c r="B491" s="16" t="inlineStr">
        <is>
          <t>Backend</t>
        </is>
      </c>
      <c r="C491" s="17" t="inlineStr">
        <is>
          <t>ai-chatbox-service</t>
        </is>
      </c>
      <c r="D491" s="16" t="inlineStr">
        <is>
          <t>Unit</t>
        </is>
      </c>
      <c r="E491" s="17" t="inlineStr">
        <is>
          <t>SupportAgentPromptsBehaviorTest › StripMarkers</t>
        </is>
      </c>
      <c r="F491" s="17" t="inlineStr">
        <is>
          <t>stripInternalMarkers</t>
        </is>
      </c>
      <c r="G491" s="17" t="inlineStr">
        <is>
          <t>dọn khoảng trắng đôi và dòng trống thừa do việc cắt để lại</t>
        </is>
      </c>
      <c r="H491" s="17" t="inlineStr">
        <is>
          <t>don_khoang_trang</t>
        </is>
      </c>
      <c r="I491" s="16" t="inlineStr">
        <is>
          <t>Đạt</t>
        </is>
      </c>
      <c r="J491" s="16" t="n">
        <v>0.001</v>
      </c>
    </row>
    <row r="492">
      <c r="A492" s="16" t="n">
        <v>488</v>
      </c>
      <c r="B492" s="16" t="inlineStr">
        <is>
          <t>Backend</t>
        </is>
      </c>
      <c r="C492" s="17" t="inlineStr">
        <is>
          <t>ai-chatbox-service</t>
        </is>
      </c>
      <c r="D492" s="16" t="inlineStr">
        <is>
          <t>Unit</t>
        </is>
      </c>
      <c r="E492" s="17" t="inlineStr">
        <is>
          <t>SupportAgentPromptsBehaviorTest › StripMarkers</t>
        </is>
      </c>
      <c r="F492" s="17" t="inlineStr">
        <is>
          <t>stripInternalMarkers</t>
        </is>
      </c>
      <c r="G492" s="17" t="inlineStr">
        <is>
          <t>gỡ thẻ phân đoạn hiện tại, thẻ &lt;doan ten=...&gt; có tên đổi, và hai câu tiếng Việt của phiên bản prompt cũ</t>
        </is>
      </c>
      <c r="H492" s="17" t="inlineStr">
        <is>
          <t>go_cac_dau</t>
        </is>
      </c>
      <c r="I492" s="16" t="inlineStr">
        <is>
          <t>Đạt</t>
        </is>
      </c>
      <c r="J492" s="16" t="n">
        <v>0.001</v>
      </c>
    </row>
    <row r="493">
      <c r="A493" s="16" t="n">
        <v>489</v>
      </c>
      <c r="B493" s="16" t="inlineStr">
        <is>
          <t>Backend</t>
        </is>
      </c>
      <c r="C493" s="17" t="inlineStr">
        <is>
          <t>ai-chatbox-service</t>
        </is>
      </c>
      <c r="D493" s="16" t="inlineStr">
        <is>
          <t>Unit</t>
        </is>
      </c>
      <c r="E493" s="17" t="inlineStr">
        <is>
          <t>SupportAgentPromptsBehaviorTest › StripMarkers</t>
        </is>
      </c>
      <c r="F493" s="17" t="inlineStr">
        <is>
          <t>stripInternalMarkers</t>
        </is>
      </c>
      <c r="G493" s="17" t="inlineStr">
        <is>
          <t>chỉ toàn dấu phân đoạn thì thành chuỗi rỗng để vòng lặp coi là chưa có câu trả lời</t>
        </is>
      </c>
      <c r="H493" s="17" t="inlineStr">
        <is>
          <t>chi_toan_dau</t>
        </is>
      </c>
      <c r="I493" s="16" t="inlineStr">
        <is>
          <t>Đạt</t>
        </is>
      </c>
      <c r="J493" s="16" t="n">
        <v>0.001</v>
      </c>
    </row>
    <row r="494">
      <c r="A494" s="16" t="n">
        <v>490</v>
      </c>
      <c r="B494" s="16" t="inlineStr">
        <is>
          <t>Backend</t>
        </is>
      </c>
      <c r="C494" s="17" t="inlineStr">
        <is>
          <t>ai-chatbox-service</t>
        </is>
      </c>
      <c r="D494" s="16" t="inlineStr">
        <is>
          <t>Unit</t>
        </is>
      </c>
      <c r="E494" s="17" t="inlineStr">
        <is>
          <t>SupportAgentPromptsBehaviorTest › SystemPrompt</t>
        </is>
      </c>
      <c r="F494" s="17" t="inlineStr">
        <is>
          <t>prompt hệ thống</t>
        </is>
      </c>
      <c r="G494" s="17" t="inlineStr">
        <is>
          <t>dặn mô hình coi tài liệu và kết quả tool là dữ liệu, không phải mệnh lệnh</t>
        </is>
      </c>
      <c r="H494" s="17" t="inlineStr">
        <is>
          <t>chong_prompt_injection</t>
        </is>
      </c>
      <c r="I494" s="16" t="inlineStr">
        <is>
          <t>Đạt</t>
        </is>
      </c>
      <c r="J494" s="16" t="n">
        <v>0.001</v>
      </c>
    </row>
    <row r="495">
      <c r="A495" s="16" t="n">
        <v>491</v>
      </c>
      <c r="B495" s="16" t="inlineStr">
        <is>
          <t>Backend</t>
        </is>
      </c>
      <c r="C495" s="17" t="inlineStr">
        <is>
          <t>ai-chatbox-service</t>
        </is>
      </c>
      <c r="D495" s="16" t="inlineStr">
        <is>
          <t>Unit</t>
        </is>
      </c>
      <c r="E495" s="17" t="inlineStr">
        <is>
          <t>SupportAgentPromptsBehaviorTest › SystemPrompt</t>
        </is>
      </c>
      <c r="F495" s="17" t="inlineStr">
        <is>
          <t>prompt hệ thống</t>
        </is>
      </c>
      <c r="G495" s="17" t="inlineStr">
        <is>
          <t>là hằng số: hai lần gọi trả cùng một chuỗi để prefix được cache giữa mọi request</t>
        </is>
      </c>
      <c r="H495" s="17" t="inlineStr">
        <is>
          <t>la_hang_so</t>
        </is>
      </c>
      <c r="I495" s="16" t="inlineStr">
        <is>
          <t>Đạt</t>
        </is>
      </c>
      <c r="J495" s="16" t="n">
        <v>0.001</v>
      </c>
    </row>
    <row r="496">
      <c r="A496" s="16" t="n">
        <v>492</v>
      </c>
      <c r="B496" s="16" t="inlineStr">
        <is>
          <t>Backend</t>
        </is>
      </c>
      <c r="C496" s="17" t="inlineStr">
        <is>
          <t>ai-chatbox-service</t>
        </is>
      </c>
      <c r="D496" s="16" t="inlineStr">
        <is>
          <t>Unit</t>
        </is>
      </c>
      <c r="E496" s="17" t="inlineStr">
        <is>
          <t>SupportAgentPromptsBehaviorTest › SystemPrompt</t>
        </is>
      </c>
      <c r="F496" s="17" t="inlineStr">
        <is>
          <t>prompt hệ thống</t>
        </is>
      </c>
      <c r="G496" s="17" t="inlineStr">
        <is>
          <t>nhắc tới mọi tool điều khiển và đặt hotline đúng một số</t>
        </is>
      </c>
      <c r="H496" s="17" t="inlineStr">
        <is>
          <t>nhac_toi_cac_tool_quan_trong</t>
        </is>
      </c>
      <c r="I496" s="16" t="inlineStr">
        <is>
          <t>Đạt</t>
        </is>
      </c>
      <c r="J496" s="16" t="n">
        <v>0.001</v>
      </c>
    </row>
    <row r="497">
      <c r="A497" s="16" t="n">
        <v>493</v>
      </c>
      <c r="B497" s="16" t="inlineStr">
        <is>
          <t>Backend</t>
        </is>
      </c>
      <c r="C497" s="17" t="inlineStr">
        <is>
          <t>ai-chatbox-service</t>
        </is>
      </c>
      <c r="D497" s="16" t="inlineStr">
        <is>
          <t>Unit</t>
        </is>
      </c>
      <c r="E497" s="17" t="inlineStr">
        <is>
          <t>SupportAgentPromptsBehaviorTest › TicketLinks</t>
        </is>
      </c>
      <c r="F497" s="17" t="inlineStr">
        <is>
          <t>withTicketLinks</t>
        </is>
      </c>
      <c r="G497" s="17" t="inlineStr">
        <is>
          <t>tối đa 3 đường dẫn dù tra được nhiều hơn</t>
        </is>
      </c>
      <c r="H497" s="17" t="inlineStr">
        <is>
          <t>toi_da_ba</t>
        </is>
      </c>
      <c r="I497" s="16" t="inlineStr">
        <is>
          <t>Đạt</t>
        </is>
      </c>
      <c r="J497" s="16" t="n">
        <v>0.001</v>
      </c>
    </row>
    <row r="498">
      <c r="A498" s="16" t="n">
        <v>494</v>
      </c>
      <c r="B498" s="16" t="inlineStr">
        <is>
          <t>Backend</t>
        </is>
      </c>
      <c r="C498" s="17" t="inlineStr">
        <is>
          <t>ai-chatbox-service</t>
        </is>
      </c>
      <c r="D498" s="16" t="inlineStr">
        <is>
          <t>Unit</t>
        </is>
      </c>
      <c r="E498" s="17" t="inlineStr">
        <is>
          <t>SupportAgentPromptsBehaviorTest › TicketLinks</t>
        </is>
      </c>
      <c r="F498" s="17" t="inlineStr">
        <is>
          <t>withTicketLinks</t>
        </is>
      </c>
      <c r="G498" s="17" t="inlineStr">
        <is>
          <t>gắn mỗi sự kiện một dòng có tiêu đề dẫn, câu trả lời gốc được cắt khoảng trắng hai đầu</t>
        </is>
      </c>
      <c r="H498" s="17" t="inlineStr">
        <is>
          <t>gan_link</t>
        </is>
      </c>
      <c r="I498" s="16" t="inlineStr">
        <is>
          <t>Đạt</t>
        </is>
      </c>
      <c r="J498" s="16" t="n">
        <v>0.001</v>
      </c>
    </row>
    <row r="499">
      <c r="A499" s="16" t="n">
        <v>495</v>
      </c>
      <c r="B499" s="16" t="inlineStr">
        <is>
          <t>Backend</t>
        </is>
      </c>
      <c r="C499" s="17" t="inlineStr">
        <is>
          <t>ai-chatbox-service</t>
        </is>
      </c>
      <c r="D499" s="16" t="inlineStr">
        <is>
          <t>Unit</t>
        </is>
      </c>
      <c r="E499" s="17" t="inlineStr">
        <is>
          <t>SupportAgentPromptsBehaviorTest › TicketLinks</t>
        </is>
      </c>
      <c r="F499" s="17" t="inlineStr">
        <is>
          <t>withTicketLinks</t>
        </is>
      </c>
      <c r="G499" s="17" t="inlineStr">
        <is>
          <t>không gắn khi không có sự kiện, câu trả lời trống/null, hoặc đã có /events/</t>
        </is>
      </c>
      <c r="H499" s="17" t="inlineStr">
        <is>
          <t>khong_gan</t>
        </is>
      </c>
      <c r="I499" s="16" t="inlineStr">
        <is>
          <t>Đạt</t>
        </is>
      </c>
      <c r="J499" s="16" t="n">
        <v>0.001</v>
      </c>
    </row>
    <row r="500">
      <c r="A500" s="16" t="n">
        <v>496</v>
      </c>
      <c r="B500" s="16" t="inlineStr">
        <is>
          <t>Backend</t>
        </is>
      </c>
      <c r="C500" s="17" t="inlineStr">
        <is>
          <t>ai-chatbox-service</t>
        </is>
      </c>
      <c r="D500" s="16" t="inlineStr">
        <is>
          <t>Unit</t>
        </is>
      </c>
      <c r="E500" s="17" t="inlineStr">
        <is>
          <t>SupportAgentPromptsBehaviorTest › UserMessage</t>
        </is>
      </c>
      <c r="F500" s="17" t="inlineStr">
        <is>
          <t>userMessageWithContext</t>
        </is>
      </c>
      <c r="G500" s="17" t="inlineStr">
        <is>
          <t>có ngữ cảnh: từng đoạn trong thẻ &lt;doan ten=...&gt;, câu hỏi nằm SAU tài liệu trong thẻ &lt;cau_hoi&gt;</t>
        </is>
      </c>
      <c r="H500" s="17" t="inlineStr">
        <is>
          <t>co_ngu_canh</t>
        </is>
      </c>
      <c r="I500" s="16" t="inlineStr">
        <is>
          <t>Đạt</t>
        </is>
      </c>
      <c r="J500" s="16" t="n">
        <v>0.003</v>
      </c>
    </row>
    <row r="501">
      <c r="A501" s="16" t="n">
        <v>497</v>
      </c>
      <c r="B501" s="16" t="inlineStr">
        <is>
          <t>Backend</t>
        </is>
      </c>
      <c r="C501" s="17" t="inlineStr">
        <is>
          <t>ai-chatbox-service</t>
        </is>
      </c>
      <c r="D501" s="16" t="inlineStr">
        <is>
          <t>Unit</t>
        </is>
      </c>
      <c r="E501" s="17" t="inlineStr">
        <is>
          <t>SupportAgentPromptsBehaviorTest › UserMessage</t>
        </is>
      </c>
      <c r="F501" s="17" t="inlineStr">
        <is>
          <t>userMessageWithContext</t>
        </is>
      </c>
      <c r="G501" s="17" t="inlineStr">
        <is>
          <t>không có ngữ cảnh thì chỉ có thẻ &lt;cau_hoi&gt;, không có khối tài liệu</t>
        </is>
      </c>
      <c r="H501" s="17" t="inlineStr">
        <is>
          <t>khong_co_ngu_canh</t>
        </is>
      </c>
      <c r="I501" s="16" t="inlineStr">
        <is>
          <t>Đạt</t>
        </is>
      </c>
      <c r="J501" s="16" t="n">
        <v>0.001</v>
      </c>
    </row>
    <row r="502">
      <c r="A502" s="16" t="n">
        <v>498</v>
      </c>
      <c r="B502" s="16" t="inlineStr">
        <is>
          <t>Backend</t>
        </is>
      </c>
      <c r="C502" s="17" t="inlineStr">
        <is>
          <t>ai-chatbox-service</t>
        </is>
      </c>
      <c r="D502" s="16" t="inlineStr">
        <is>
          <t>Unit</t>
        </is>
      </c>
      <c r="E502" s="17" t="inlineStr">
        <is>
          <t>SupportAgentPromptsEscapingTest</t>
        </is>
      </c>
      <c r="F502" s="17" t="inlineStr"/>
      <c r="G502" s="17" t="inlineStr">
        <is>
          <t>noi dung va tieu de doan khong pha duoc khung</t>
        </is>
      </c>
      <c r="H502" s="17" t="inlineStr">
        <is>
          <t>noi_dung_va_tieu_de_doan_khong_pha_duoc_khung</t>
        </is>
      </c>
      <c r="I502" s="16" t="inlineStr">
        <is>
          <t>Đạt</t>
        </is>
      </c>
      <c r="J502" s="16" t="n">
        <v>0.002</v>
      </c>
    </row>
    <row r="503">
      <c r="A503" s="16" t="n">
        <v>499</v>
      </c>
      <c r="B503" s="16" t="inlineStr">
        <is>
          <t>Backend</t>
        </is>
      </c>
      <c r="C503" s="17" t="inlineStr">
        <is>
          <t>ai-chatbox-service</t>
        </is>
      </c>
      <c r="D503" s="16" t="inlineStr">
        <is>
          <t>Unit</t>
        </is>
      </c>
      <c r="E503" s="17" t="inlineStr">
        <is>
          <t>SupportAgentPromptsEscapingTest</t>
        </is>
      </c>
      <c r="F503" s="17" t="inlineStr"/>
      <c r="G503" s="17" t="inlineStr">
        <is>
          <t>prompt he thong noi ro ranh gioi</t>
        </is>
      </c>
      <c r="H503" s="17" t="inlineStr">
        <is>
          <t>prompt_he_thong_noi_ro_ranh_gioi</t>
        </is>
      </c>
      <c r="I503" s="16" t="inlineStr">
        <is>
          <t>Đạt</t>
        </is>
      </c>
      <c r="J503" s="16" t="n">
        <v>0.001</v>
      </c>
    </row>
    <row r="504">
      <c r="A504" s="16" t="n">
        <v>500</v>
      </c>
      <c r="B504" s="16" t="inlineStr">
        <is>
          <t>Backend</t>
        </is>
      </c>
      <c r="C504" s="17" t="inlineStr">
        <is>
          <t>ai-chatbox-service</t>
        </is>
      </c>
      <c r="D504" s="16" t="inlineStr">
        <is>
          <t>Unit</t>
        </is>
      </c>
      <c r="E504" s="17" t="inlineStr">
        <is>
          <t>SupportAgentPromptsEscapingTest</t>
        </is>
      </c>
      <c r="F504" s="17" t="inlineStr"/>
      <c r="G504" s="17" t="inlineStr">
        <is>
          <t>khong co tai lieu van boc cau hoi</t>
        </is>
      </c>
      <c r="H504" s="17" t="inlineStr">
        <is>
          <t>khong_co_tai_lieu_van_boc_cau_hoi</t>
        </is>
      </c>
      <c r="I504" s="16" t="inlineStr">
        <is>
          <t>Đạt</t>
        </is>
      </c>
      <c r="J504" s="16" t="n">
        <v>0.001</v>
      </c>
    </row>
    <row r="505">
      <c r="A505" s="16" t="n">
        <v>501</v>
      </c>
      <c r="B505" s="16" t="inlineStr">
        <is>
          <t>Backend</t>
        </is>
      </c>
      <c r="C505" s="17" t="inlineStr">
        <is>
          <t>ai-chatbox-service</t>
        </is>
      </c>
      <c r="D505" s="16" t="inlineStr">
        <is>
          <t>Unit</t>
        </is>
      </c>
      <c r="E505" s="17" t="inlineStr">
        <is>
          <t>SupportAgentPromptsEscapingTest</t>
        </is>
      </c>
      <c r="F505" s="17" t="inlineStr"/>
      <c r="G505" s="17" t="inlineStr">
        <is>
          <t>cau hoi dai nhieu the van chi co mot khung</t>
        </is>
      </c>
      <c r="H505" s="17" t="inlineStr">
        <is>
          <t>cau_hoi_dai_nhieu_the_van_chi_co_mot_khung</t>
        </is>
      </c>
      <c r="I505" s="16" t="inlineStr">
        <is>
          <t>Đạt</t>
        </is>
      </c>
      <c r="J505" s="16" t="n">
        <v>0.001</v>
      </c>
    </row>
    <row r="506">
      <c r="A506" s="16" t="n">
        <v>502</v>
      </c>
      <c r="B506" s="16" t="inlineStr">
        <is>
          <t>Backend</t>
        </is>
      </c>
      <c r="C506" s="17" t="inlineStr">
        <is>
          <t>ai-chatbox-service</t>
        </is>
      </c>
      <c r="D506" s="16" t="inlineStr">
        <is>
          <t>Unit</t>
        </is>
      </c>
      <c r="E506" s="17" t="inlineStr">
        <is>
          <t>SupportAgentPromptsEscapingTest</t>
        </is>
      </c>
      <c r="F506" s="17" t="inlineStr"/>
      <c r="G506" s="17" t="inlineStr">
        <is>
          <t>the gia trong cau hoi khong con la the</t>
        </is>
      </c>
      <c r="H506" s="17" t="inlineStr">
        <is>
          <t>the_gia_trong_cau_hoi_khong_con_la_the</t>
        </is>
      </c>
      <c r="I506" s="16" t="inlineStr">
        <is>
          <t>Đạt</t>
        </is>
      </c>
      <c r="J506" s="16" t="n">
        <v>0.002</v>
      </c>
    </row>
    <row r="507">
      <c r="A507" s="16" t="n">
        <v>503</v>
      </c>
      <c r="B507" s="16" t="inlineStr">
        <is>
          <t>Backend</t>
        </is>
      </c>
      <c r="C507" s="17" t="inlineStr">
        <is>
          <t>ai-chatbox-service</t>
        </is>
      </c>
      <c r="D507" s="16" t="inlineStr">
        <is>
          <t>Unit</t>
        </is>
      </c>
      <c r="E507" s="17" t="inlineStr">
        <is>
          <t>SupportAgentPromptsEscapingTest</t>
        </is>
      </c>
      <c r="F507" s="17" t="inlineStr"/>
      <c r="G507" s="17" t="inlineStr">
        <is>
          <t>neutralize markup</t>
        </is>
      </c>
      <c r="H507" s="17" t="inlineStr">
        <is>
          <t>neutralize_markup</t>
        </is>
      </c>
      <c r="I507" s="16" t="inlineStr">
        <is>
          <t>Đạt</t>
        </is>
      </c>
      <c r="J507" s="16" t="n">
        <v>0.002</v>
      </c>
    </row>
    <row r="508">
      <c r="A508" s="16" t="n">
        <v>504</v>
      </c>
      <c r="B508" s="16" t="inlineStr">
        <is>
          <t>Backend</t>
        </is>
      </c>
      <c r="C508" s="17" t="inlineStr">
        <is>
          <t>ai-chatbox-service</t>
        </is>
      </c>
      <c r="D508" s="16" t="inlineStr">
        <is>
          <t>Unit</t>
        </is>
      </c>
      <c r="E508" s="17" t="inlineStr">
        <is>
          <t>SupportAgentPromptsHotlineTest</t>
        </is>
      </c>
      <c r="F508" s="17" t="inlineStr"/>
      <c r="G508" s="17" t="inlineStr">
        <is>
          <t>moi cau nhac hotline deu dung hang</t>
        </is>
      </c>
      <c r="H508" s="17" t="inlineStr">
        <is>
          <t>moi_cau_nhac_hotline_deu_dung_hang</t>
        </is>
      </c>
      <c r="I508" s="16" t="inlineStr">
        <is>
          <t>Đạt</t>
        </is>
      </c>
      <c r="J508" s="16" t="n">
        <v>0.005</v>
      </c>
    </row>
    <row r="509">
      <c r="A509" s="16" t="n">
        <v>505</v>
      </c>
      <c r="B509" s="16" t="inlineStr">
        <is>
          <t>Backend</t>
        </is>
      </c>
      <c r="C509" s="17" t="inlineStr">
        <is>
          <t>ai-chatbox-service</t>
        </is>
      </c>
      <c r="D509" s="16" t="inlineStr">
        <is>
          <t>Unit</t>
        </is>
      </c>
      <c r="E509" s="17" t="inlineStr">
        <is>
          <t>SupportAgentPromptsTest</t>
        </is>
      </c>
      <c r="F509" s="17" t="inlineStr"/>
      <c r="G509" s="17" t="inlineStr">
        <is>
          <t>khong cau nao co khoang trang thua</t>
        </is>
      </c>
      <c r="H509" s="17" t="inlineStr">
        <is>
          <t>khong_cau_nao_co_khoang_trang_thua</t>
        </is>
      </c>
      <c r="I509" s="16" t="inlineStr">
        <is>
          <t>Đạt</t>
        </is>
      </c>
      <c r="J509" s="16" t="n">
        <v>0.002</v>
      </c>
    </row>
    <row r="510">
      <c r="A510" s="16" t="n">
        <v>506</v>
      </c>
      <c r="B510" s="16" t="inlineStr">
        <is>
          <t>Backend</t>
        </is>
      </c>
      <c r="C510" s="17" t="inlineStr">
        <is>
          <t>ai-chatbox-service</t>
        </is>
      </c>
      <c r="D510" s="16" t="inlineStr">
        <is>
          <t>Unit</t>
        </is>
      </c>
      <c r="E510" s="17" t="inlineStr">
        <is>
          <t>SupportCaseUseCaseTest</t>
        </is>
      </c>
      <c r="F510" s="17" t="inlineStr"/>
      <c r="G510" s="17" t="inlineStr">
        <is>
          <t>don cua khach thi phieu su co mang ma da xac minh</t>
        </is>
      </c>
      <c r="H510" s="17" t="inlineStr">
        <is>
          <t>don_cua_khach_thi_phieu_su_co_mang_ma_da_xac_minh</t>
        </is>
      </c>
      <c r="I510" s="16" t="inlineStr">
        <is>
          <t>Đạt</t>
        </is>
      </c>
      <c r="J510" s="16" t="n">
        <v>0.004</v>
      </c>
    </row>
    <row r="511">
      <c r="A511" s="16" t="n">
        <v>507</v>
      </c>
      <c r="B511" s="16" t="inlineStr">
        <is>
          <t>Backend</t>
        </is>
      </c>
      <c r="C511" s="17" t="inlineStr">
        <is>
          <t>ai-chatbox-service</t>
        </is>
      </c>
      <c r="D511" s="16" t="inlineStr">
        <is>
          <t>Unit</t>
        </is>
      </c>
      <c r="E511" s="17" t="inlineStr">
        <is>
          <t>SupportCaseUseCaseTest</t>
        </is>
      </c>
      <c r="F511" s="17" t="inlineStr"/>
      <c r="G511" s="17" t="inlineStr">
        <is>
          <t>qua han thi tu choi va neu ro moc</t>
        </is>
      </c>
      <c r="H511" s="17" t="inlineStr">
        <is>
          <t>qua_han_thi_tu_choi_va_neu_ro_moc</t>
        </is>
      </c>
      <c r="I511" s="16" t="inlineStr">
        <is>
          <t>Đạt</t>
        </is>
      </c>
      <c r="J511" s="16" t="n">
        <v>0.007</v>
      </c>
    </row>
    <row r="512">
      <c r="A512" s="16" t="n">
        <v>508</v>
      </c>
      <c r="B512" s="16" t="inlineStr">
        <is>
          <t>Backend</t>
        </is>
      </c>
      <c r="C512" s="17" t="inlineStr">
        <is>
          <t>ai-chatbox-service</t>
        </is>
      </c>
      <c r="D512" s="16" t="inlineStr">
        <is>
          <t>Unit</t>
        </is>
      </c>
      <c r="E512" s="17" t="inlineStr">
        <is>
          <t>SupportCaseUseCaseTest</t>
        </is>
      </c>
      <c r="F512" s="17" t="inlineStr"/>
      <c r="G512" s="17" t="inlineStr">
        <is>
          <t>don chua thanh toan thi chi cach huy don</t>
        </is>
      </c>
      <c r="H512" s="17" t="inlineStr">
        <is>
          <t>don_chua_thanh_toan_thi_chi_cach_huy_don</t>
        </is>
      </c>
      <c r="I512" s="16" t="inlineStr">
        <is>
          <t>Đạt</t>
        </is>
      </c>
      <c r="J512" s="16" t="n">
        <v>0.002</v>
      </c>
    </row>
    <row r="513">
      <c r="A513" s="16" t="n">
        <v>509</v>
      </c>
      <c r="B513" s="16" t="inlineStr">
        <is>
          <t>Backend</t>
        </is>
      </c>
      <c r="C513" s="17" t="inlineStr">
        <is>
          <t>ai-chatbox-service</t>
        </is>
      </c>
      <c r="D513" s="16" t="inlineStr">
        <is>
          <t>Unit</t>
        </is>
      </c>
      <c r="E513" s="17" t="inlineStr">
        <is>
          <t>SupportCaseUseCaseTest</t>
        </is>
      </c>
      <c r="F513" s="17" t="inlineStr"/>
      <c r="G513" s="17" t="inlineStr">
        <is>
          <t>da co phieu hoan dang mo cho don thi tu choi phieu thu hai</t>
        </is>
      </c>
      <c r="H513" s="17" t="inlineStr">
        <is>
          <t>da_co_phieu_hoan_dang_mo_cho_don_thi_tu_choi_phieu_thu_hai</t>
        </is>
      </c>
      <c r="I513" s="16" t="inlineStr">
        <is>
          <t>Đạt</t>
        </is>
      </c>
      <c r="J513" s="16" t="n">
        <v>0.004</v>
      </c>
    </row>
    <row r="514">
      <c r="A514" s="16" t="n">
        <v>510</v>
      </c>
      <c r="B514" s="16" t="inlineStr">
        <is>
          <t>Backend</t>
        </is>
      </c>
      <c r="C514" s="17" t="inlineStr">
        <is>
          <t>ai-chatbox-service</t>
        </is>
      </c>
      <c r="D514" s="16" t="inlineStr">
        <is>
          <t>Unit</t>
        </is>
      </c>
      <c r="E514" s="17" t="inlineStr">
        <is>
          <t>SupportCaseUseCaseTest</t>
        </is>
      </c>
      <c r="F514" s="17" t="inlineStr"/>
      <c r="G514" s="17" t="inlineStr">
        <is>
          <t>don khong o trang thai PAID thi tu choi va khong mo phieu</t>
        </is>
      </c>
      <c r="H514" s="17" t="inlineStr">
        <is>
          <t>don_khong_o_trang_thai_PAID_thi_tu_choi_va_khong_mo_phieu(String)[1]</t>
        </is>
      </c>
      <c r="I514" s="16" t="inlineStr">
        <is>
          <t>Đạt</t>
        </is>
      </c>
      <c r="J514" s="16" t="n">
        <v>0.003</v>
      </c>
    </row>
    <row r="515">
      <c r="A515" s="16" t="n">
        <v>511</v>
      </c>
      <c r="B515" s="16" t="inlineStr">
        <is>
          <t>Backend</t>
        </is>
      </c>
      <c r="C515" s="17" t="inlineStr">
        <is>
          <t>ai-chatbox-service</t>
        </is>
      </c>
      <c r="D515" s="16" t="inlineStr">
        <is>
          <t>Unit</t>
        </is>
      </c>
      <c r="E515" s="17" t="inlineStr">
        <is>
          <t>SupportCaseUseCaseTest</t>
        </is>
      </c>
      <c r="F515" s="17" t="inlineStr"/>
      <c r="G515" s="17" t="inlineStr">
        <is>
          <t>don khong o trang thai PAID thi tu choi va khong mo phieu</t>
        </is>
      </c>
      <c r="H515" s="17" t="inlineStr">
        <is>
          <t>don_khong_o_trang_thai_PAID_thi_tu_choi_va_khong_mo_phieu(String)[2]</t>
        </is>
      </c>
      <c r="I515" s="16" t="inlineStr">
        <is>
          <t>Đạt</t>
        </is>
      </c>
      <c r="J515" s="16" t="n">
        <v>0.002</v>
      </c>
    </row>
    <row r="516">
      <c r="A516" s="16" t="n">
        <v>512</v>
      </c>
      <c r="B516" s="16" t="inlineStr">
        <is>
          <t>Backend</t>
        </is>
      </c>
      <c r="C516" s="17" t="inlineStr">
        <is>
          <t>ai-chatbox-service</t>
        </is>
      </c>
      <c r="D516" s="16" t="inlineStr">
        <is>
          <t>Unit</t>
        </is>
      </c>
      <c r="E516" s="17" t="inlineStr">
        <is>
          <t>SupportCaseUseCaseTest</t>
        </is>
      </c>
      <c r="F516" s="17" t="inlineStr"/>
      <c r="G516" s="17" t="inlineStr">
        <is>
          <t>don khong o trang thai PAID thi tu choi va khong mo phieu</t>
        </is>
      </c>
      <c r="H516" s="17" t="inlineStr">
        <is>
          <t>don_khong_o_trang_thai_PAID_thi_tu_choi_va_khong_mo_phieu(String)[3]</t>
        </is>
      </c>
      <c r="I516" s="16" t="inlineStr">
        <is>
          <t>Đạt</t>
        </is>
      </c>
      <c r="J516" s="16" t="n">
        <v>0.002</v>
      </c>
    </row>
    <row r="517">
      <c r="A517" s="16" t="n">
        <v>513</v>
      </c>
      <c r="B517" s="16" t="inlineStr">
        <is>
          <t>Backend</t>
        </is>
      </c>
      <c r="C517" s="17" t="inlineStr">
        <is>
          <t>ai-chatbox-service</t>
        </is>
      </c>
      <c r="D517" s="16" t="inlineStr">
        <is>
          <t>Unit</t>
        </is>
      </c>
      <c r="E517" s="17" t="inlineStr">
        <is>
          <t>SupportCaseUseCaseTest</t>
        </is>
      </c>
      <c r="F517" s="17" t="inlineStr"/>
      <c r="G517" s="17" t="inlineStr">
        <is>
          <t>don khong o trang thai PAID thi tu choi va khong mo phieu</t>
        </is>
      </c>
      <c r="H517" s="17" t="inlineStr">
        <is>
          <t>don_khong_o_trang_thai_PAID_thi_tu_choi_va_khong_mo_phieu(String)[4]</t>
        </is>
      </c>
      <c r="I517" s="16" t="inlineStr">
        <is>
          <t>Đạt</t>
        </is>
      </c>
      <c r="J517" s="16" t="n">
        <v>0.001</v>
      </c>
    </row>
    <row r="518">
      <c r="A518" s="16" t="n">
        <v>514</v>
      </c>
      <c r="B518" s="16" t="inlineStr">
        <is>
          <t>Backend</t>
        </is>
      </c>
      <c r="C518" s="17" t="inlineStr">
        <is>
          <t>ai-chatbox-service</t>
        </is>
      </c>
      <c r="D518" s="16" t="inlineStr">
        <is>
          <t>Unit</t>
        </is>
      </c>
      <c r="E518" s="17" t="inlineStr">
        <is>
          <t>SupportCaseUseCaseTest</t>
        </is>
      </c>
      <c r="F518" s="17" t="inlineStr"/>
      <c r="G518" s="17" t="inlineStr">
        <is>
          <t>don khong o trang thai PAID thi tu choi va khong mo phieu</t>
        </is>
      </c>
      <c r="H518" s="17" t="inlineStr">
        <is>
          <t>don_khong_o_trang_thai_PAID_thi_tu_choi_va_khong_mo_phieu(String)[5]</t>
        </is>
      </c>
      <c r="I518" s="16" t="inlineStr">
        <is>
          <t>Đạt</t>
        </is>
      </c>
      <c r="J518" s="16" t="n">
        <v>0.001</v>
      </c>
    </row>
    <row r="519">
      <c r="A519" s="16" t="n">
        <v>515</v>
      </c>
      <c r="B519" s="16" t="inlineStr">
        <is>
          <t>Backend</t>
        </is>
      </c>
      <c r="C519" s="17" t="inlineStr">
        <is>
          <t>ai-chatbox-service</t>
        </is>
      </c>
      <c r="D519" s="16" t="inlineStr">
        <is>
          <t>Unit</t>
        </is>
      </c>
      <c r="E519" s="17" t="inlineStr">
        <is>
          <t>SupportCaseUseCaseTest</t>
        </is>
      </c>
      <c r="F519" s="17" t="inlineStr"/>
      <c r="G519" s="17" t="inlineStr">
        <is>
          <t>don khong o trang thai PAID thi tu choi va khong mo phieu</t>
        </is>
      </c>
      <c r="H519" s="17" t="inlineStr">
        <is>
          <t>don_khong_o_trang_thai_PAID_thi_tu_choi_va_khong_mo_phieu(String)[6]</t>
        </is>
      </c>
      <c r="I519" s="16" t="inlineStr">
        <is>
          <t>Đạt</t>
        </is>
      </c>
      <c r="J519" s="16" t="n">
        <v>0.002</v>
      </c>
    </row>
    <row r="520">
      <c r="A520" s="16" t="n">
        <v>516</v>
      </c>
      <c r="B520" s="16" t="inlineStr">
        <is>
          <t>Backend</t>
        </is>
      </c>
      <c r="C520" s="17" t="inlineStr">
        <is>
          <t>ai-chatbox-service</t>
        </is>
      </c>
      <c r="D520" s="16" t="inlineStr">
        <is>
          <t>Unit</t>
        </is>
      </c>
      <c r="E520" s="17" t="inlineStr">
        <is>
          <t>SupportCaseUseCaseTest</t>
        </is>
      </c>
      <c r="F520" s="17" t="inlineStr"/>
      <c r="G520" s="17" t="inlineStr">
        <is>
          <t>su kien khong nhan hoan ve thi tu choi va khong mo phieu</t>
        </is>
      </c>
      <c r="H520" s="17" t="inlineStr">
        <is>
          <t>su_kien_khong_nhan_hoan_ve_thi_tu_choi_va_khong_mo_phieu</t>
        </is>
      </c>
      <c r="I520" s="16" t="inlineStr">
        <is>
          <t>Đạt</t>
        </is>
      </c>
      <c r="J520" s="16" t="n">
        <v>0.001</v>
      </c>
    </row>
    <row r="521">
      <c r="A521" s="16" t="n">
        <v>517</v>
      </c>
      <c r="B521" s="16" t="inlineStr">
        <is>
          <t>Backend</t>
        </is>
      </c>
      <c r="C521" s="17" t="inlineStr">
        <is>
          <t>ai-chatbox-service</t>
        </is>
      </c>
      <c r="D521" s="16" t="inlineStr">
        <is>
          <t>Unit</t>
        </is>
      </c>
      <c r="E521" s="17" t="inlineStr">
        <is>
          <t>SupportCaseUseCaseTest</t>
        </is>
      </c>
      <c r="F521" s="17" t="inlineStr"/>
      <c r="G521" s="17" t="inlineStr">
        <is>
          <t>khong tra duoc don van mo phieu voi ma tho</t>
        </is>
      </c>
      <c r="H521" s="17" t="inlineStr">
        <is>
          <t>khong_tra_duoc_don_van_mo_phieu_voi_ma_tho</t>
        </is>
      </c>
      <c r="I521" s="16" t="inlineStr">
        <is>
          <t>Đạt</t>
        </is>
      </c>
      <c r="J521" s="16" t="n">
        <v>0.005</v>
      </c>
    </row>
    <row r="522">
      <c r="A522" s="16" t="n">
        <v>518</v>
      </c>
      <c r="B522" s="16" t="inlineStr">
        <is>
          <t>Backend</t>
        </is>
      </c>
      <c r="C522" s="17" t="inlineStr">
        <is>
          <t>ai-chatbox-service</t>
        </is>
      </c>
      <c r="D522" s="16" t="inlineStr">
        <is>
          <t>Unit</t>
        </is>
      </c>
      <c r="E522" s="17" t="inlineStr">
        <is>
          <t>SupportCaseUseCaseTest</t>
        </is>
      </c>
      <c r="F522" s="17" t="inlineStr"/>
      <c r="G522" s="17" t="inlineStr">
        <is>
          <t>phieu su co theo khung mau kem loai de nguoi truc co checklist</t>
        </is>
      </c>
      <c r="H522" s="17" t="inlineStr">
        <is>
          <t>phieu_su_co_theo_khung_mau_kem_loai_de_nguoi_truc_co_checklist</t>
        </is>
      </c>
      <c r="I522" s="16" t="inlineStr">
        <is>
          <t>Đạt</t>
        </is>
      </c>
      <c r="J522" s="16" t="n">
        <v>0.005</v>
      </c>
    </row>
    <row r="523">
      <c r="A523" s="16" t="n">
        <v>519</v>
      </c>
      <c r="B523" s="16" t="inlineStr">
        <is>
          <t>Backend</t>
        </is>
      </c>
      <c r="C523" s="17" t="inlineStr">
        <is>
          <t>ai-chatbox-service</t>
        </is>
      </c>
      <c r="D523" s="16" t="inlineStr">
        <is>
          <t>Unit</t>
        </is>
      </c>
      <c r="E523" s="17" t="inlineStr">
        <is>
          <t>SupportCaseUseCaseTest</t>
        </is>
      </c>
      <c r="F523" s="17" t="inlineStr"/>
      <c r="G523" s="17" t="inlineStr">
        <is>
          <t>su co khong gan don thi khong co phan don trong ly do</t>
        </is>
      </c>
      <c r="H523" s="17" t="inlineStr">
        <is>
          <t>su_co_khong_gan_don_thi_khong_co_phan_don_trong_ly_do</t>
        </is>
      </c>
      <c r="I523" s="16" t="inlineStr">
        <is>
          <t>Đạt</t>
        </is>
      </c>
      <c r="J523" s="16" t="n">
        <v>0.002</v>
      </c>
    </row>
    <row r="524">
      <c r="A524" s="16" t="n">
        <v>520</v>
      </c>
      <c r="B524" s="16" t="inlineStr">
        <is>
          <t>Backend</t>
        </is>
      </c>
      <c r="C524" s="17" t="inlineStr">
        <is>
          <t>ai-chatbox-service</t>
        </is>
      </c>
      <c r="D524" s="16" t="inlineStr">
        <is>
          <t>Unit</t>
        </is>
      </c>
      <c r="E524" s="17" t="inlineStr">
        <is>
          <t>SupportCaseUseCaseTest</t>
        </is>
      </c>
      <c r="F524" s="17" t="inlineStr"/>
      <c r="G524" s="17" t="inlineStr">
        <is>
          <t>don khong thuoc khach thi phieu su co khong mang ma don</t>
        </is>
      </c>
      <c r="H524" s="17" t="inlineStr">
        <is>
          <t>don_khong_thuoc_khach_thi_phieu_su_co_khong_mang_ma_don</t>
        </is>
      </c>
      <c r="I524" s="16" t="inlineStr">
        <is>
          <t>Đạt</t>
        </is>
      </c>
      <c r="J524" s="16" t="n">
        <v>0.005</v>
      </c>
    </row>
    <row r="525">
      <c r="A525" s="16" t="n">
        <v>521</v>
      </c>
      <c r="B525" s="16" t="inlineStr">
        <is>
          <t>Backend</t>
        </is>
      </c>
      <c r="C525" s="17" t="inlineStr">
        <is>
          <t>ai-chatbox-service</t>
        </is>
      </c>
      <c r="D525" s="16" t="inlineStr">
        <is>
          <t>Unit</t>
        </is>
      </c>
      <c r="E525" s="17" t="inlineStr">
        <is>
          <t>SupportCaseUseCaseTest</t>
        </is>
      </c>
      <c r="F525" s="17" t="inlineStr"/>
      <c r="G525" s="17" t="inlineStr">
        <is>
          <t>don khong phai cua khach thi tu choi nhu khong ton tai</t>
        </is>
      </c>
      <c r="H525" s="17" t="inlineStr">
        <is>
          <t>don_khong_phai_cua_khach_thi_tu_choi_nhu_khong_ton_tai</t>
        </is>
      </c>
      <c r="I525" s="16" t="inlineStr">
        <is>
          <t>Đạt</t>
        </is>
      </c>
      <c r="J525" s="16" t="n">
        <v>0.001</v>
      </c>
    </row>
    <row r="526">
      <c r="A526" s="16" t="n">
        <v>522</v>
      </c>
      <c r="B526" s="16" t="inlineStr">
        <is>
          <t>Backend</t>
        </is>
      </c>
      <c r="C526" s="17" t="inlineStr">
        <is>
          <t>ai-chatbox-service</t>
        </is>
      </c>
      <c r="D526" s="16" t="inlineStr">
        <is>
          <t>Unit</t>
        </is>
      </c>
      <c r="E526" s="17" t="inlineStr">
        <is>
          <t>SupportCaseUseCaseTest</t>
        </is>
      </c>
      <c r="F526" s="17" t="inlineStr"/>
      <c r="G526" s="17" t="inlineStr">
        <is>
          <t>chua co quy dinh thi mo phieu de nguoi quyet</t>
        </is>
      </c>
      <c r="H526" s="17" t="inlineStr">
        <is>
          <t>chua_co_quy_dinh_thi_mo_phieu_de_nguoi_quyet</t>
        </is>
      </c>
      <c r="I526" s="16" t="inlineStr">
        <is>
          <t>Đạt</t>
        </is>
      </c>
      <c r="J526" s="16" t="n">
        <v>0.005</v>
      </c>
    </row>
    <row r="527">
      <c r="A527" s="16" t="n">
        <v>523</v>
      </c>
      <c r="B527" s="16" t="inlineStr">
        <is>
          <t>Backend</t>
        </is>
      </c>
      <c r="C527" s="17" t="inlineStr">
        <is>
          <t>ai-chatbox-service</t>
        </is>
      </c>
      <c r="D527" s="16" t="inlineStr">
        <is>
          <t>Unit</t>
        </is>
      </c>
      <c r="E527" s="17" t="inlineStr">
        <is>
          <t>SupportCaseUseCaseTest</t>
        </is>
      </c>
      <c r="F527" s="17" t="inlineStr"/>
      <c r="G527" s="17" t="inlineStr">
        <is>
          <t>moi trang thai co loi giai thich rieng</t>
        </is>
      </c>
      <c r="H527" s="17" t="inlineStr">
        <is>
          <t>moi_trang_thai_co_loi_giai_thich_rieng</t>
        </is>
      </c>
      <c r="I527" s="16" t="inlineStr">
        <is>
          <t>Đạt</t>
        </is>
      </c>
      <c r="J527" s="16" t="n">
        <v>0.003</v>
      </c>
    </row>
    <row r="528">
      <c r="A528" s="16" t="n">
        <v>524</v>
      </c>
      <c r="B528" s="16" t="inlineStr">
        <is>
          <t>Backend</t>
        </is>
      </c>
      <c r="C528" s="17" t="inlineStr">
        <is>
          <t>ai-chatbox-service</t>
        </is>
      </c>
      <c r="D528" s="16" t="inlineStr">
        <is>
          <t>Unit</t>
        </is>
      </c>
      <c r="E528" s="17" t="inlineStr">
        <is>
          <t>SupportCaseUseCaseTest</t>
        </is>
      </c>
      <c r="F528" s="17" t="inlineStr"/>
      <c r="G528" s="17" t="inlineStr">
        <is>
          <t>du dieu kien thi mo phieu hoan ve kem du lieu cho nguoi truc</t>
        </is>
      </c>
      <c r="H528" s="17" t="inlineStr">
        <is>
          <t>du_dieu_kien_thi_mo_phieu_hoan_ve_kem_du_lieu_cho_nguoi_truc</t>
        </is>
      </c>
      <c r="I528" s="16" t="inlineStr">
        <is>
          <t>Đạt</t>
        </is>
      </c>
      <c r="J528" s="16" t="n">
        <v>0.005</v>
      </c>
    </row>
    <row r="529">
      <c r="A529" s="16" t="n">
        <v>525</v>
      </c>
      <c r="B529" s="16" t="inlineStr">
        <is>
          <t>Backend</t>
        </is>
      </c>
      <c r="C529" s="17" t="inlineStr">
        <is>
          <t>ai-chatbox-service</t>
        </is>
      </c>
      <c r="D529" s="16" t="inlineStr">
        <is>
          <t>Unit</t>
        </is>
      </c>
      <c r="E529" s="17" t="inlineStr">
        <is>
          <t>SupportCaseUseCaseTest</t>
        </is>
      </c>
      <c r="F529" s="17" t="inlineStr"/>
      <c r="G529" s="17" t="inlineStr">
        <is>
          <t>phieu hoan cua don khac hoac khach khac khong tinh la trung</t>
        </is>
      </c>
      <c r="H529" s="17" t="inlineStr">
        <is>
          <t>phieu_hoan_cua_don_khac_hoac_khach_khac_khong_tinh_la_trung</t>
        </is>
      </c>
      <c r="I529" s="16" t="inlineStr">
        <is>
          <t>Đạt</t>
        </is>
      </c>
      <c r="J529" s="16" t="n">
        <v>0.005</v>
      </c>
    </row>
    <row r="530">
      <c r="A530" s="16" t="n">
        <v>526</v>
      </c>
      <c r="B530" s="16" t="inlineStr">
        <is>
          <t>Backend</t>
        </is>
      </c>
      <c r="C530" s="17" t="inlineStr">
        <is>
          <t>ai-chatbox-service</t>
        </is>
      </c>
      <c r="D530" s="16" t="inlineStr">
        <is>
          <t>Unit</t>
        </is>
      </c>
      <c r="E530" s="17" t="inlineStr">
        <is>
          <t>SupportIntentClassifierTest</t>
        </is>
      </c>
      <c r="F530" s="17" t="inlineStr"/>
      <c r="G530" s="17" t="inlineStr">
        <is>
          <t>hoan tien vi su co van la phieu hoan tien</t>
        </is>
      </c>
      <c r="H530" s="17" t="inlineStr">
        <is>
          <t>hoan_tien_vi_su_co_van_la_phieu_hoan_tien</t>
        </is>
      </c>
      <c r="I530" s="16" t="inlineStr">
        <is>
          <t>Đạt</t>
        </is>
      </c>
      <c r="J530" s="16" t="n">
        <v>0.002</v>
      </c>
    </row>
    <row r="531">
      <c r="A531" s="16" t="n">
        <v>527</v>
      </c>
      <c r="B531" s="16" t="inlineStr">
        <is>
          <t>Backend</t>
        </is>
      </c>
      <c r="C531" s="17" t="inlineStr">
        <is>
          <t>ai-chatbox-service</t>
        </is>
      </c>
      <c r="D531" s="16" t="inlineStr">
        <is>
          <t>Unit</t>
        </is>
      </c>
      <c r="E531" s="17" t="inlineStr">
        <is>
          <t>SupportIntentClassifierTest</t>
        </is>
      </c>
      <c r="F531" s="17" t="inlineStr"/>
      <c r="G531" s="17" t="inlineStr">
        <is>
          <t>khong dau van nhan ra</t>
        </is>
      </c>
      <c r="H531" s="17" t="inlineStr">
        <is>
          <t>khong_dau_van_nhan_ra</t>
        </is>
      </c>
      <c r="I531" s="16" t="inlineStr">
        <is>
          <t>Đạt</t>
        </is>
      </c>
      <c r="J531" s="16" t="n">
        <v>0.001</v>
      </c>
    </row>
    <row r="532">
      <c r="A532" s="16" t="n">
        <v>528</v>
      </c>
      <c r="B532" s="16" t="inlineStr">
        <is>
          <t>Backend</t>
        </is>
      </c>
      <c r="C532" s="17" t="inlineStr">
        <is>
          <t>ai-chatbox-service</t>
        </is>
      </c>
      <c r="D532" s="16" t="inlineStr">
        <is>
          <t>Unit</t>
        </is>
      </c>
      <c r="E532" s="17" t="inlineStr">
        <is>
          <t>SupportIntentClassifierTest</t>
        </is>
      </c>
      <c r="F532" s="17" t="inlineStr"/>
      <c r="G532" s="17" t="inlineStr">
        <is>
          <t>cau rong hoac null thi la general</t>
        </is>
      </c>
      <c r="H532" s="17" t="inlineStr">
        <is>
          <t>cau_rong_hoac_null_thi_la_general</t>
        </is>
      </c>
      <c r="I532" s="16" t="inlineStr">
        <is>
          <t>Đạt</t>
        </is>
      </c>
      <c r="J532" s="16" t="n">
        <v>0</v>
      </c>
    </row>
    <row r="533">
      <c r="A533" s="16" t="n">
        <v>529</v>
      </c>
      <c r="B533" s="16" t="inlineStr">
        <is>
          <t>Backend</t>
        </is>
      </c>
      <c r="C533" s="17" t="inlineStr">
        <is>
          <t>ai-chatbox-service</t>
        </is>
      </c>
      <c r="D533" s="16" t="inlineStr">
        <is>
          <t>Unit</t>
        </is>
      </c>
      <c r="E533" s="17" t="inlineStr">
        <is>
          <t>SupportIntentClassifierTest</t>
        </is>
      </c>
      <c r="F533" s="17" t="inlineStr"/>
      <c r="G533" s="17" t="inlineStr">
        <is>
          <t>mỗi câu một nhãn, đúng nhóm người trực sẽ xử lý</t>
        </is>
      </c>
      <c r="H533" s="17" t="inlineStr">
        <is>
          <t>gan_nhan_theo_cau_hoi(String, SupportIntent)[1]</t>
        </is>
      </c>
      <c r="I533" s="16" t="inlineStr">
        <is>
          <t>Đạt</t>
        </is>
      </c>
      <c r="J533" s="16" t="n">
        <v>0.016</v>
      </c>
    </row>
    <row r="534">
      <c r="A534" s="16" t="n">
        <v>530</v>
      </c>
      <c r="B534" s="16" t="inlineStr">
        <is>
          <t>Backend</t>
        </is>
      </c>
      <c r="C534" s="17" t="inlineStr">
        <is>
          <t>ai-chatbox-service</t>
        </is>
      </c>
      <c r="D534" s="16" t="inlineStr">
        <is>
          <t>Unit</t>
        </is>
      </c>
      <c r="E534" s="17" t="inlineStr">
        <is>
          <t>SupportIntentClassifierTest</t>
        </is>
      </c>
      <c r="F534" s="17" t="inlineStr"/>
      <c r="G534" s="17" t="inlineStr">
        <is>
          <t>mỗi câu một nhãn, đúng nhóm người trực sẽ xử lý</t>
        </is>
      </c>
      <c r="H534" s="17" t="inlineStr">
        <is>
          <t>gan_nhan_theo_cau_hoi(String, SupportIntent)[2]</t>
        </is>
      </c>
      <c r="I534" s="16" t="inlineStr">
        <is>
          <t>Đạt</t>
        </is>
      </c>
      <c r="J534" s="16" t="n">
        <v>0.002</v>
      </c>
    </row>
    <row r="535">
      <c r="A535" s="16" t="n">
        <v>531</v>
      </c>
      <c r="B535" s="16" t="inlineStr">
        <is>
          <t>Backend</t>
        </is>
      </c>
      <c r="C535" s="17" t="inlineStr">
        <is>
          <t>ai-chatbox-service</t>
        </is>
      </c>
      <c r="D535" s="16" t="inlineStr">
        <is>
          <t>Unit</t>
        </is>
      </c>
      <c r="E535" s="17" t="inlineStr">
        <is>
          <t>SupportIntentClassifierTest</t>
        </is>
      </c>
      <c r="F535" s="17" t="inlineStr"/>
      <c r="G535" s="17" t="inlineStr">
        <is>
          <t>mỗi câu một nhãn, đúng nhóm người trực sẽ xử lý</t>
        </is>
      </c>
      <c r="H535" s="17" t="inlineStr">
        <is>
          <t>gan_nhan_theo_cau_hoi(String, SupportIntent)[3]</t>
        </is>
      </c>
      <c r="I535" s="16" t="inlineStr">
        <is>
          <t>Đạt</t>
        </is>
      </c>
      <c r="J535" s="16" t="n">
        <v>0.001</v>
      </c>
    </row>
    <row r="536">
      <c r="A536" s="16" t="n">
        <v>532</v>
      </c>
      <c r="B536" s="16" t="inlineStr">
        <is>
          <t>Backend</t>
        </is>
      </c>
      <c r="C536" s="17" t="inlineStr">
        <is>
          <t>ai-chatbox-service</t>
        </is>
      </c>
      <c r="D536" s="16" t="inlineStr">
        <is>
          <t>Unit</t>
        </is>
      </c>
      <c r="E536" s="17" t="inlineStr">
        <is>
          <t>SupportIntentClassifierTest</t>
        </is>
      </c>
      <c r="F536" s="17" t="inlineStr"/>
      <c r="G536" s="17" t="inlineStr">
        <is>
          <t>mỗi câu một nhãn, đúng nhóm người trực sẽ xử lý</t>
        </is>
      </c>
      <c r="H536" s="17" t="inlineStr">
        <is>
          <t>gan_nhan_theo_cau_hoi(String, SupportIntent)[4]</t>
        </is>
      </c>
      <c r="I536" s="16" t="inlineStr">
        <is>
          <t>Đạt</t>
        </is>
      </c>
      <c r="J536" s="16" t="n">
        <v>0</v>
      </c>
    </row>
    <row r="537">
      <c r="A537" s="16" t="n">
        <v>533</v>
      </c>
      <c r="B537" s="16" t="inlineStr">
        <is>
          <t>Backend</t>
        </is>
      </c>
      <c r="C537" s="17" t="inlineStr">
        <is>
          <t>ai-chatbox-service</t>
        </is>
      </c>
      <c r="D537" s="16" t="inlineStr">
        <is>
          <t>Unit</t>
        </is>
      </c>
      <c r="E537" s="17" t="inlineStr">
        <is>
          <t>SupportIntentClassifierTest</t>
        </is>
      </c>
      <c r="F537" s="17" t="inlineStr"/>
      <c r="G537" s="17" t="inlineStr">
        <is>
          <t>mỗi câu một nhãn, đúng nhóm người trực sẽ xử lý</t>
        </is>
      </c>
      <c r="H537" s="17" t="inlineStr">
        <is>
          <t>gan_nhan_theo_cau_hoi(String, SupportIntent)[5]</t>
        </is>
      </c>
      <c r="I537" s="16" t="inlineStr">
        <is>
          <t>Đạt</t>
        </is>
      </c>
      <c r="J537" s="16" t="n">
        <v>0.001</v>
      </c>
    </row>
    <row r="538">
      <c r="A538" s="16" t="n">
        <v>534</v>
      </c>
      <c r="B538" s="16" t="inlineStr">
        <is>
          <t>Backend</t>
        </is>
      </c>
      <c r="C538" s="17" t="inlineStr">
        <is>
          <t>ai-chatbox-service</t>
        </is>
      </c>
      <c r="D538" s="16" t="inlineStr">
        <is>
          <t>Unit</t>
        </is>
      </c>
      <c r="E538" s="17" t="inlineStr">
        <is>
          <t>SupportIntentClassifierTest</t>
        </is>
      </c>
      <c r="F538" s="17" t="inlineStr"/>
      <c r="G538" s="17" t="inlineStr">
        <is>
          <t>mỗi câu một nhãn, đúng nhóm người trực sẽ xử lý</t>
        </is>
      </c>
      <c r="H538" s="17" t="inlineStr">
        <is>
          <t>gan_nhan_theo_cau_hoi(String, SupportIntent)[6]</t>
        </is>
      </c>
      <c r="I538" s="16" t="inlineStr">
        <is>
          <t>Đạt</t>
        </is>
      </c>
      <c r="J538" s="16" t="n">
        <v>0.001</v>
      </c>
    </row>
    <row r="539">
      <c r="A539" s="16" t="n">
        <v>535</v>
      </c>
      <c r="B539" s="16" t="inlineStr">
        <is>
          <t>Backend</t>
        </is>
      </c>
      <c r="C539" s="17" t="inlineStr">
        <is>
          <t>ai-chatbox-service</t>
        </is>
      </c>
      <c r="D539" s="16" t="inlineStr">
        <is>
          <t>Unit</t>
        </is>
      </c>
      <c r="E539" s="17" t="inlineStr">
        <is>
          <t>SupportIntentClassifierTest</t>
        </is>
      </c>
      <c r="F539" s="17" t="inlineStr"/>
      <c r="G539" s="17" t="inlineStr">
        <is>
          <t>mỗi câu một nhãn, đúng nhóm người trực sẽ xử lý</t>
        </is>
      </c>
      <c r="H539" s="17" t="inlineStr">
        <is>
          <t>gan_nhan_theo_cau_hoi(String, SupportIntent)[7]</t>
        </is>
      </c>
      <c r="I539" s="16" t="inlineStr">
        <is>
          <t>Đạt</t>
        </is>
      </c>
      <c r="J539" s="16" t="n">
        <v>0.001</v>
      </c>
    </row>
    <row r="540">
      <c r="A540" s="16" t="n">
        <v>536</v>
      </c>
      <c r="B540" s="16" t="inlineStr">
        <is>
          <t>Backend</t>
        </is>
      </c>
      <c r="C540" s="17" t="inlineStr">
        <is>
          <t>ai-chatbox-service</t>
        </is>
      </c>
      <c r="D540" s="16" t="inlineStr">
        <is>
          <t>Unit</t>
        </is>
      </c>
      <c r="E540" s="17" t="inlineStr">
        <is>
          <t>SupportIntentClassifierTest</t>
        </is>
      </c>
      <c r="F540" s="17" t="inlineStr"/>
      <c r="G540" s="17" t="inlineStr">
        <is>
          <t>mỗi câu một nhãn, đúng nhóm người trực sẽ xử lý</t>
        </is>
      </c>
      <c r="H540" s="17" t="inlineStr">
        <is>
          <t>gan_nhan_theo_cau_hoi(String, SupportIntent)[8]</t>
        </is>
      </c>
      <c r="I540" s="16" t="inlineStr">
        <is>
          <t>Đạt</t>
        </is>
      </c>
      <c r="J540" s="16" t="n">
        <v>0.001</v>
      </c>
    </row>
    <row r="541">
      <c r="A541" s="16" t="n">
        <v>537</v>
      </c>
      <c r="B541" s="16" t="inlineStr">
        <is>
          <t>Backend</t>
        </is>
      </c>
      <c r="C541" s="17" t="inlineStr">
        <is>
          <t>ai-chatbox-service</t>
        </is>
      </c>
      <c r="D541" s="16" t="inlineStr">
        <is>
          <t>Unit</t>
        </is>
      </c>
      <c r="E541" s="17" t="inlineStr">
        <is>
          <t>SupportIntentClassifierTest</t>
        </is>
      </c>
      <c r="F541" s="17" t="inlineStr"/>
      <c r="G541" s="17" t="inlineStr">
        <is>
          <t>mỗi câu một nhãn, đúng nhóm người trực sẽ xử lý</t>
        </is>
      </c>
      <c r="H541" s="17" t="inlineStr">
        <is>
          <t>gan_nhan_theo_cau_hoi(String, SupportIntent)[9]</t>
        </is>
      </c>
      <c r="I541" s="16" t="inlineStr">
        <is>
          <t>Đạt</t>
        </is>
      </c>
      <c r="J541" s="16" t="n">
        <v>0.001</v>
      </c>
    </row>
    <row r="542">
      <c r="A542" s="16" t="n">
        <v>538</v>
      </c>
      <c r="B542" s="16" t="inlineStr">
        <is>
          <t>Backend</t>
        </is>
      </c>
      <c r="C542" s="17" t="inlineStr">
        <is>
          <t>ai-chatbox-service</t>
        </is>
      </c>
      <c r="D542" s="16" t="inlineStr">
        <is>
          <t>Unit</t>
        </is>
      </c>
      <c r="E542" s="17" t="inlineStr">
        <is>
          <t>TicketBookingUseCaseTest</t>
        </is>
      </c>
      <c r="F542" s="17" t="inlineStr"/>
      <c r="G542" s="17" t="inlineStr">
        <is>
          <t>bi ngat luc cho hoi lai thi giu cho va giu co ngat</t>
        </is>
      </c>
      <c r="H542" s="17" t="inlineStr">
        <is>
          <t>bi_ngat_luc_cho_hoi_lai_thi_giu_cho_va_giu_co_ngat</t>
        </is>
      </c>
      <c r="I542" s="16" t="inlineStr">
        <is>
          <t>Đạt</t>
        </is>
      </c>
      <c r="J542" s="16" t="n">
        <v>0.004</v>
      </c>
    </row>
    <row r="543">
      <c r="A543" s="16" t="n">
        <v>539</v>
      </c>
      <c r="B543" s="16" t="inlineStr">
        <is>
          <t>Backend</t>
        </is>
      </c>
      <c r="C543" s="17" t="inlineStr">
        <is>
          <t>ai-chatbox-service</t>
        </is>
      </c>
      <c r="D543" s="16" t="inlineStr">
        <is>
          <t>Unit</t>
        </is>
      </c>
      <c r="E543" s="17" t="inlineStr">
        <is>
          <t>TicketBookingUseCaseTest</t>
        </is>
      </c>
      <c r="F543" s="17" t="inlineStr"/>
      <c r="G543" s="17" t="inlineStr">
        <is>
          <t>khu dung thi gui dung danh sach standing</t>
        </is>
      </c>
      <c r="H543" s="17" t="inlineStr">
        <is>
          <t>khu_dung_thi_gui_dung_danh_sach_standing</t>
        </is>
      </c>
      <c r="I543" s="16" t="inlineStr">
        <is>
          <t>Đạt</t>
        </is>
      </c>
      <c r="J543" s="16" t="n">
        <v>0.003</v>
      </c>
    </row>
    <row r="544">
      <c r="A544" s="16" t="n">
        <v>540</v>
      </c>
      <c r="B544" s="16" t="inlineStr">
        <is>
          <t>Backend</t>
        </is>
      </c>
      <c r="C544" s="17" t="inlineStr">
        <is>
          <t>ai-chatbox-service</t>
        </is>
      </c>
      <c r="D544" s="16" t="inlineStr">
        <is>
          <t>Unit</t>
        </is>
      </c>
      <c r="E544" s="17" t="inlineStr">
        <is>
          <t>TicketBookingUseCaseTest</t>
        </is>
      </c>
      <c r="F544" s="17" t="inlineStr"/>
      <c r="G544" s="17" t="inlineStr">
        <is>
          <t>inventory tu choi thi khong dat don</t>
        </is>
      </c>
      <c r="H544" s="17" t="inlineStr">
        <is>
          <t>inventory_tu_choi_thi_khong_dat_don</t>
        </is>
      </c>
      <c r="I544" s="16" t="inlineStr">
        <is>
          <t>Đạt</t>
        </is>
      </c>
      <c r="J544" s="16" t="n">
        <v>0.001</v>
      </c>
    </row>
    <row r="545">
      <c r="A545" s="16" t="n">
        <v>541</v>
      </c>
      <c r="B545" s="16" t="inlineStr">
        <is>
          <t>Backend</t>
        </is>
      </c>
      <c r="C545" s="17" t="inlineStr">
        <is>
          <t>ai-chatbox-service</t>
        </is>
      </c>
      <c r="D545" s="16" t="inlineStr">
        <is>
          <t>Unit</t>
        </is>
      </c>
      <c r="E545" s="17" t="inlineStr">
        <is>
          <t>TicketBookingUseCaseTest</t>
        </is>
      </c>
      <c r="F545" s="17" t="inlineStr"/>
      <c r="G545" s="17" t="inlineStr">
        <is>
          <t>ordering khong phan hoi hai lan thi giu cho va dan dung dat lai</t>
        </is>
      </c>
      <c r="H545" s="17" t="inlineStr">
        <is>
          <t>ordering_khong_phan_hoi_hai_lan_thi_giu_cho_va_dan_dung_dat_lai</t>
        </is>
      </c>
      <c r="I545" s="16" t="inlineStr">
        <is>
          <t>Đạt</t>
        </is>
      </c>
      <c r="J545" s="16" t="n">
        <v>0.001</v>
      </c>
    </row>
    <row r="546">
      <c r="A546" s="16" t="n">
        <v>542</v>
      </c>
      <c r="B546" s="16" t="inlineStr">
        <is>
          <t>Backend</t>
        </is>
      </c>
      <c r="C546" s="17" t="inlineStr">
        <is>
          <t>ai-chatbox-service</t>
        </is>
      </c>
      <c r="D546" s="16" t="inlineStr">
        <is>
          <t>Unit</t>
        </is>
      </c>
      <c r="E546" s="17" t="inlineStr">
        <is>
          <t>TicketBookingUseCaseTest</t>
        </is>
      </c>
      <c r="F546" s="17" t="inlineStr"/>
      <c r="G546" s="17" t="inlineStr">
        <is>
          <t>so ve ngoai khoang thi tu choi truoc moi loi goi</t>
        </is>
      </c>
      <c r="H546" s="17" t="inlineStr">
        <is>
          <t>so_ve_ngoai_khoang_thi_tu_choi_truoc_moi_loi_goi</t>
        </is>
      </c>
      <c r="I546" s="16" t="inlineStr">
        <is>
          <t>Đạt</t>
        </is>
      </c>
      <c r="J546" s="16" t="n">
        <v>0.001</v>
      </c>
    </row>
    <row r="547">
      <c r="A547" s="16" t="n">
        <v>543</v>
      </c>
      <c r="B547" s="16" t="inlineStr">
        <is>
          <t>Backend</t>
        </is>
      </c>
      <c r="C547" s="17" t="inlineStr">
        <is>
          <t>ai-chatbox-service</t>
        </is>
      </c>
      <c r="D547" s="16" t="inlineStr">
        <is>
          <t>Unit</t>
        </is>
      </c>
      <c r="E547" s="17" t="inlineStr">
        <is>
          <t>TicketBookingUseCaseTest</t>
        </is>
      </c>
      <c r="F547" s="17" t="inlineStr"/>
      <c r="G547" s="17" t="inlineStr">
        <is>
          <t>qua han roi loi la thi coi nhu chua biet va giu cho</t>
        </is>
      </c>
      <c r="H547" s="17" t="inlineStr">
        <is>
          <t>qua_han_roi_loi_la_thi_coi_nhu_chua_biet_va_giu_cho</t>
        </is>
      </c>
      <c r="I547" s="16" t="inlineStr">
        <is>
          <t>Đạt</t>
        </is>
      </c>
      <c r="J547" s="16" t="n">
        <v>0.001</v>
      </c>
    </row>
    <row r="548">
      <c r="A548" s="16" t="n">
        <v>544</v>
      </c>
      <c r="B548" s="16" t="inlineStr">
        <is>
          <t>Backend</t>
        </is>
      </c>
      <c r="C548" s="17" t="inlineStr">
        <is>
          <t>ai-chatbox-service</t>
        </is>
      </c>
      <c r="D548" s="16" t="inlineStr">
        <is>
          <t>Unit</t>
        </is>
      </c>
      <c r="E548" s="17" t="inlineStr">
        <is>
          <t>TicketBookingUseCaseTest</t>
        </is>
      </c>
      <c r="F548" s="17" t="inlineStr"/>
      <c r="G548" s="17" t="inlineStr">
        <is>
          <t>qua han roi hoi lai thanh cong thi co don va giu cho</t>
        </is>
      </c>
      <c r="H548" s="17" t="inlineStr">
        <is>
          <t>qua_han_roi_hoi_lai_thanh_cong_thi_co_don_va_giu_cho</t>
        </is>
      </c>
      <c r="I548" s="16" t="inlineStr">
        <is>
          <t>Đạt</t>
        </is>
      </c>
      <c r="J548" s="16" t="n">
        <v>0.002</v>
      </c>
    </row>
    <row r="549">
      <c r="A549" s="16" t="n">
        <v>545</v>
      </c>
      <c r="B549" s="16" t="inlineStr">
        <is>
          <t>Backend</t>
        </is>
      </c>
      <c r="C549" s="17" t="inlineStr">
        <is>
          <t>ai-chatbox-service</t>
        </is>
      </c>
      <c r="D549" s="16" t="inlineStr">
        <is>
          <t>Unit</t>
        </is>
      </c>
      <c r="E549" s="17" t="inlineStr">
        <is>
          <t>TicketBookingUseCaseTest</t>
        </is>
      </c>
      <c r="F549" s="17" t="inlineStr"/>
      <c r="G549" s="17" t="inlineStr">
        <is>
          <t>khu khong co trong suat thi tu choi som</t>
        </is>
      </c>
      <c r="H549" s="17" t="inlineStr">
        <is>
          <t>khu_khong_co_trong_suat_thi_tu_choi_som</t>
        </is>
      </c>
      <c r="I549" s="16" t="inlineStr">
        <is>
          <t>Đạt</t>
        </is>
      </c>
      <c r="J549" s="16" t="n">
        <v>0.001</v>
      </c>
    </row>
    <row r="550">
      <c r="A550" s="16" t="n">
        <v>546</v>
      </c>
      <c r="B550" s="16" t="inlineStr">
        <is>
          <t>Backend</t>
        </is>
      </c>
      <c r="C550" s="17" t="inlineStr">
        <is>
          <t>ai-chatbox-service</t>
        </is>
      </c>
      <c r="D550" s="16" t="inlineStr">
        <is>
          <t>Unit</t>
        </is>
      </c>
      <c r="E550" s="17" t="inlineStr">
        <is>
          <t>TicketBookingUseCaseTest</t>
        </is>
      </c>
      <c r="F550" s="17" t="inlineStr"/>
      <c r="G550" s="17" t="inlineStr">
        <is>
          <t>qua han roi hoi lai bi tu choi thi nha cho</t>
        </is>
      </c>
      <c r="H550" s="17" t="inlineStr">
        <is>
          <t>qua_han_roi_hoi_lai_bi_tu_choi_thi_nha_cho</t>
        </is>
      </c>
      <c r="I550" s="16" t="inlineStr">
        <is>
          <t>Đạt</t>
        </is>
      </c>
      <c r="J550" s="16" t="n">
        <v>0.001</v>
      </c>
    </row>
    <row r="551">
      <c r="A551" s="16" t="n">
        <v>547</v>
      </c>
      <c r="B551" s="16" t="inlineStr">
        <is>
          <t>Backend</t>
        </is>
      </c>
      <c r="C551" s="17" t="inlineStr">
        <is>
          <t>ai-chatbox-service</t>
        </is>
      </c>
      <c r="D551" s="16" t="inlineStr">
        <is>
          <t>Unit</t>
        </is>
      </c>
      <c r="E551" s="17" t="inlineStr">
        <is>
          <t>TicketBookingUseCaseTest</t>
        </is>
      </c>
      <c r="F551" s="17" t="inlineStr"/>
      <c r="G551" s="17" t="inlineStr">
        <is>
          <t>slug tu dung thi tu choi va chi cach sua</t>
        </is>
      </c>
      <c r="H551" s="17" t="inlineStr">
        <is>
          <t>slug_tu_dung_thi_tu_choi_va_chi_cach_sua</t>
        </is>
      </c>
      <c r="I551" s="16" t="inlineStr">
        <is>
          <t>Đạt</t>
        </is>
      </c>
      <c r="J551" s="16" t="n">
        <v>0.001</v>
      </c>
    </row>
    <row r="552">
      <c r="A552" s="16" t="n">
        <v>548</v>
      </c>
      <c r="B552" s="16" t="inlineStr">
        <is>
          <t>Backend</t>
        </is>
      </c>
      <c r="C552" s="17" t="inlineStr">
        <is>
          <t>ai-chatbox-service</t>
        </is>
      </c>
      <c r="D552" s="16" t="inlineStr">
        <is>
          <t>Unit</t>
        </is>
      </c>
      <c r="E552" s="17" t="inlineStr">
        <is>
          <t>TicketBookingUseCaseTest</t>
        </is>
      </c>
      <c r="F552" s="17" t="inlineStr"/>
      <c r="G552" s="17" t="inlineStr">
        <is>
          <t>ma khu viet thuong thi gui ma chuan cua catalog</t>
        </is>
      </c>
      <c r="H552" s="17" t="inlineStr">
        <is>
          <t>ma_khu_viet_thuong_thi_gui_ma_chuan_cua_catalog</t>
        </is>
      </c>
      <c r="I552" s="16" t="inlineStr">
        <is>
          <t>Đạt</t>
        </is>
      </c>
      <c r="J552" s="16" t="n">
        <v>0.001</v>
      </c>
    </row>
    <row r="553">
      <c r="A553" s="16" t="n">
        <v>549</v>
      </c>
      <c r="B553" s="16" t="inlineStr">
        <is>
          <t>Backend</t>
        </is>
      </c>
      <c r="C553" s="17" t="inlineStr">
        <is>
          <t>ai-chatbox-service</t>
        </is>
      </c>
      <c r="D553" s="16" t="inlineStr">
        <is>
          <t>Unit</t>
        </is>
      </c>
      <c r="E553" s="17" t="inlineStr">
        <is>
          <t>TicketBookingUseCaseTest</t>
        </is>
      </c>
      <c r="F553" s="17" t="inlineStr"/>
      <c r="G553" s="17" t="inlineStr">
        <is>
          <t>suat khong thuoc su kien thi khong goi inventory</t>
        </is>
      </c>
      <c r="H553" s="17" t="inlineStr">
        <is>
          <t>suat_khong_thuoc_su_kien_thi_khong_goi_inventory</t>
        </is>
      </c>
      <c r="I553" s="16" t="inlineStr">
        <is>
          <t>Đạt</t>
        </is>
      </c>
      <c r="J553" s="16" t="n">
        <v>0.001</v>
      </c>
    </row>
    <row r="554">
      <c r="A554" s="16" t="n">
        <v>550</v>
      </c>
      <c r="B554" s="16" t="inlineStr">
        <is>
          <t>Backend</t>
        </is>
      </c>
      <c r="C554" s="17" t="inlineStr">
        <is>
          <t>ai-chatbox-service</t>
        </is>
      </c>
      <c r="D554" s="16" t="inlineStr">
        <is>
          <t>Unit</t>
        </is>
      </c>
      <c r="E554" s="17" t="inlineStr">
        <is>
          <t>TicketBookingUseCaseTest</t>
        </is>
      </c>
      <c r="F554" s="17" t="inlineStr"/>
      <c r="G554" s="17" t="inlineStr">
        <is>
          <t>giu cho roi dat don voi khoa chong trung sinh tu loi goi tool</t>
        </is>
      </c>
      <c r="H554" s="17" t="inlineStr">
        <is>
          <t>giu_cho_roi_dat_don_voi_khoa_chong_trung_sinh_tu_loi_goi_tool</t>
        </is>
      </c>
      <c r="I554" s="16" t="inlineStr">
        <is>
          <t>Đạt</t>
        </is>
      </c>
      <c r="J554" s="16" t="n">
        <v>0.001</v>
      </c>
    </row>
    <row r="555">
      <c r="A555" s="16" t="n">
        <v>551</v>
      </c>
      <c r="B555" s="16" t="inlineStr">
        <is>
          <t>Backend</t>
        </is>
      </c>
      <c r="C555" s="17" t="inlineStr">
        <is>
          <t>ai-chatbox-service</t>
        </is>
      </c>
      <c r="D555" s="16" t="inlineStr">
        <is>
          <t>Unit</t>
        </is>
      </c>
      <c r="E555" s="17" t="inlineStr">
        <is>
          <t>TicketBookingUseCaseTest</t>
        </is>
      </c>
      <c r="F555" s="17" t="inlineStr"/>
      <c r="G555" s="17" t="inlineStr">
        <is>
          <t>ordering tu choi thi nha cho vua giu</t>
        </is>
      </c>
      <c r="H555" s="17" t="inlineStr">
        <is>
          <t>ordering_tu_choi_thi_nha_cho_vua_giu</t>
        </is>
      </c>
      <c r="I555" s="16" t="inlineStr">
        <is>
          <t>Đạt</t>
        </is>
      </c>
      <c r="J555" s="16" t="n">
        <v>0.002</v>
      </c>
    </row>
    <row r="556">
      <c r="A556" s="16" t="n">
        <v>552</v>
      </c>
      <c r="B556" s="16" t="inlineStr">
        <is>
          <t>Backend</t>
        </is>
      </c>
      <c r="C556" s="17" t="inlineStr">
        <is>
          <t>ai-chatbox-service</t>
        </is>
      </c>
      <c r="D556" s="16" t="inlineStr">
        <is>
          <t>Unit</t>
        </is>
      </c>
      <c r="E556" s="17" t="inlineStr">
        <is>
          <t>ToolDispatcherResultsTest › Booking</t>
        </is>
      </c>
      <c r="F556" s="17" t="inlineStr">
        <is>
          <t>initiateTicketBooking</t>
        </is>
      </c>
      <c r="G556" s="17" t="inlineStr">
        <is>
          <t>vượt trần số vé qua chat là booked:false kèm lý do, không phải lỗi</t>
        </is>
      </c>
      <c r="H556" s="17" t="inlineStr">
        <is>
          <t>vuot_tran</t>
        </is>
      </c>
      <c r="I556" s="16" t="inlineStr">
        <is>
          <t>Đạt</t>
        </is>
      </c>
      <c r="J556" s="16" t="n">
        <v>0.006</v>
      </c>
    </row>
    <row r="557">
      <c r="A557" s="16" t="n">
        <v>553</v>
      </c>
      <c r="B557" s="16" t="inlineStr">
        <is>
          <t>Backend</t>
        </is>
      </c>
      <c r="C557" s="17" t="inlineStr">
        <is>
          <t>ai-chatbox-service</t>
        </is>
      </c>
      <c r="D557" s="16" t="inlineStr">
        <is>
          <t>Unit</t>
        </is>
      </c>
      <c r="E557" s="17" t="inlineStr">
        <is>
          <t>ToolDispatcherResultsTest › Booking</t>
        </is>
      </c>
      <c r="F557" s="17" t="inlineStr">
        <is>
          <t>initiateTicketBooking</t>
        </is>
      </c>
      <c r="G557" s="17" t="inlineStr">
        <is>
          <t>thiếu slug, sessionId (hoặc không phải UUID) hay zoneCode thì booked:false THIẾU THAM SỐ, không chạm kho chỗ</t>
        </is>
      </c>
      <c r="H557" s="17" t="inlineStr">
        <is>
          <t>thieu_tham_so</t>
        </is>
      </c>
      <c r="I557" s="16" t="inlineStr">
        <is>
          <t>Đạt</t>
        </is>
      </c>
      <c r="J557" s="16" t="n">
        <v>0.008</v>
      </c>
    </row>
    <row r="558">
      <c r="A558" s="16" t="n">
        <v>554</v>
      </c>
      <c r="B558" s="16" t="inlineStr">
        <is>
          <t>Backend</t>
        </is>
      </c>
      <c r="C558" s="17" t="inlineStr">
        <is>
          <t>ai-chatbox-service</t>
        </is>
      </c>
      <c r="D558" s="16" t="inlineStr">
        <is>
          <t>Unit</t>
        </is>
      </c>
      <c r="E558" s="17" t="inlineStr">
        <is>
          <t>ToolDispatcherResultsTest › Booking</t>
        </is>
      </c>
      <c r="F558" s="17" t="inlineStr">
        <is>
          <t>initiateTicketBooking</t>
        </is>
      </c>
      <c r="G558" s="17" t="inlineStr">
        <is>
          <t>ordering không phản hồi cả hai lần: báo 'chưa xác nhận', dặn đừng đặt lại, và GIỮ chỗ</t>
        </is>
      </c>
      <c r="H558" s="17" t="inlineStr">
        <is>
          <t>ordering_hong_luc_dat_don</t>
        </is>
      </c>
      <c r="I558" s="16" t="inlineStr">
        <is>
          <t>Đạt</t>
        </is>
      </c>
      <c r="J558" s="16" t="n">
        <v>1.007</v>
      </c>
    </row>
    <row r="559">
      <c r="A559" s="16" t="n">
        <v>555</v>
      </c>
      <c r="B559" s="16" t="inlineStr">
        <is>
          <t>Backend</t>
        </is>
      </c>
      <c r="C559" s="17" t="inlineStr">
        <is>
          <t>ai-chatbox-service</t>
        </is>
      </c>
      <c r="D559" s="16" t="inlineStr">
        <is>
          <t>Unit</t>
        </is>
      </c>
      <c r="E559" s="17" t="inlineStr">
        <is>
          <t>ToolDispatcherResultsTest › Booking</t>
        </is>
      </c>
      <c r="F559" s="17" t="inlineStr">
        <is>
          <t>initiateTicketBooking</t>
        </is>
      </c>
      <c r="G559" s="17" t="inlineStr">
        <is>
          <t>khoá idempotency suy từ callId của lời gọi: cùng lời gọi lặp lại không đặt hai đơn</t>
        </is>
      </c>
      <c r="H559" s="17" t="inlineStr">
        <is>
          <t>khoa_idempotency_theo_call_id</t>
        </is>
      </c>
      <c r="I559" s="16" t="inlineStr">
        <is>
          <t>Đạt</t>
        </is>
      </c>
      <c r="J559" s="16" t="n">
        <v>0.004</v>
      </c>
    </row>
    <row r="560">
      <c r="A560" s="16" t="n">
        <v>556</v>
      </c>
      <c r="B560" s="16" t="inlineStr">
        <is>
          <t>Backend</t>
        </is>
      </c>
      <c r="C560" s="17" t="inlineStr">
        <is>
          <t>ai-chatbox-service</t>
        </is>
      </c>
      <c r="D560" s="16" t="inlineStr">
        <is>
          <t>Unit</t>
        </is>
      </c>
      <c r="E560" s="17" t="inlineStr">
        <is>
          <t>ToolDispatcherResultsTest › Booking</t>
        </is>
      </c>
      <c r="F560" s="17" t="inlineStr">
        <is>
          <t>initiateTicketBooking</t>
        </is>
      </c>
      <c r="G560" s="17" t="inlineStr">
        <is>
          <t>số lượng không phải số là THIẾU SỐ LƯỢNG; mô hình điền '2' dạng chuỗi vẫn hiểu là hai vé</t>
        </is>
      </c>
      <c r="H560" s="17" t="inlineStr">
        <is>
          <t>so_luong</t>
        </is>
      </c>
      <c r="I560" s="16" t="inlineStr">
        <is>
          <t>Đạt</t>
        </is>
      </c>
      <c r="J560" s="16" t="n">
        <v>0.004</v>
      </c>
    </row>
    <row r="561">
      <c r="A561" s="16" t="n">
        <v>557</v>
      </c>
      <c r="B561" s="16" t="inlineStr">
        <is>
          <t>Backend</t>
        </is>
      </c>
      <c r="C561" s="17" t="inlineStr">
        <is>
          <t>ai-chatbox-service</t>
        </is>
      </c>
      <c r="D561" s="16" t="inlineStr">
        <is>
          <t>Unit</t>
        </is>
      </c>
      <c r="E561" s="17" t="inlineStr">
        <is>
          <t>ToolDispatcherResultsTest › EventDetails</t>
        </is>
      </c>
      <c r="F561" s="17" t="inlineStr">
        <is>
          <t>getEventDetails</t>
        </is>
      </c>
      <c r="G561" s="17" t="inlineStr">
        <is>
          <t>catalog hỏng là LỖI</t>
        </is>
      </c>
      <c r="H561" s="17" t="inlineStr">
        <is>
          <t>catalog_hong</t>
        </is>
      </c>
      <c r="I561" s="16" t="inlineStr">
        <is>
          <t>Đạt</t>
        </is>
      </c>
      <c r="J561" s="16" t="n">
        <v>0.001</v>
      </c>
    </row>
    <row r="562">
      <c r="A562" s="16" t="n">
        <v>558</v>
      </c>
      <c r="B562" s="16" t="inlineStr">
        <is>
          <t>Backend</t>
        </is>
      </c>
      <c r="C562" s="17" t="inlineStr">
        <is>
          <t>ai-chatbox-service</t>
        </is>
      </c>
      <c r="D562" s="16" t="inlineStr">
        <is>
          <t>Unit</t>
        </is>
      </c>
      <c r="E562" s="17" t="inlineStr">
        <is>
          <t>ToolDispatcherResultsTest › EventDetails</t>
        </is>
      </c>
      <c r="F562" s="17" t="inlineStr">
        <is>
          <t>getEventDetails</t>
        </is>
      </c>
      <c r="G562" s="17" t="inlineStr">
        <is>
          <t>có dữ liệu: đủ suất, giờ Việt Nam, hạng vé, đường dẫn cho khách và một EventRef</t>
        </is>
      </c>
      <c r="H562" s="17" t="inlineStr">
        <is>
          <t>co_du_lieu</t>
        </is>
      </c>
      <c r="I562" s="16" t="inlineStr">
        <is>
          <t>Đạt</t>
        </is>
      </c>
      <c r="J562" s="16" t="n">
        <v>0.007</v>
      </c>
    </row>
    <row r="563">
      <c r="A563" s="16" t="n">
        <v>559</v>
      </c>
      <c r="B563" s="16" t="inlineStr">
        <is>
          <t>Backend</t>
        </is>
      </c>
      <c r="C563" s="17" t="inlineStr">
        <is>
          <t>ai-chatbox-service</t>
        </is>
      </c>
      <c r="D563" s="16" t="inlineStr">
        <is>
          <t>Unit</t>
        </is>
      </c>
      <c r="E563" s="17" t="inlineStr">
        <is>
          <t>ToolDispatcherResultsTest › EventDetails</t>
        </is>
      </c>
      <c r="F563" s="17" t="inlineStr">
        <is>
          <t>getEventDetails</t>
        </is>
      </c>
      <c r="G563" s="17" t="inlineStr">
        <is>
          <t>trường tuỳ chọn vắng mặt thì không xuất hiện trong kết quả</t>
        </is>
      </c>
      <c r="H563" s="17" t="inlineStr">
        <is>
          <t>truong_tuy_chon_vang</t>
        </is>
      </c>
      <c r="I563" s="16" t="inlineStr">
        <is>
          <t>Đạt</t>
        </is>
      </c>
      <c r="J563" s="16" t="n">
        <v>0.001</v>
      </c>
    </row>
    <row r="564">
      <c r="A564" s="16" t="n">
        <v>560</v>
      </c>
      <c r="B564" s="16" t="inlineStr">
        <is>
          <t>Backend</t>
        </is>
      </c>
      <c r="C564" s="17" t="inlineStr">
        <is>
          <t>ai-chatbox-service</t>
        </is>
      </c>
      <c r="D564" s="16" t="inlineStr">
        <is>
          <t>Unit</t>
        </is>
      </c>
      <c r="E564" s="17" t="inlineStr">
        <is>
          <t>ToolDispatcherResultsTest › EventDetails</t>
        </is>
      </c>
      <c r="F564" s="17" t="inlineStr">
        <is>
          <t>getEventDetails</t>
        </is>
      </c>
      <c r="G564" s="17" t="inlineStr">
        <is>
          <t>thiếu slug hoặc slug trống là found:false kèm gợi ý gọi findEvents</t>
        </is>
      </c>
      <c r="H564" s="17" t="inlineStr">
        <is>
          <t>thieu_slug</t>
        </is>
      </c>
      <c r="I564" s="16" t="inlineStr">
        <is>
          <t>Đạt</t>
        </is>
      </c>
      <c r="J564" s="16" t="n">
        <v>0.002</v>
      </c>
    </row>
    <row r="565">
      <c r="A565" s="16" t="n">
        <v>561</v>
      </c>
      <c r="B565" s="16" t="inlineStr">
        <is>
          <t>Backend</t>
        </is>
      </c>
      <c r="C565" s="17" t="inlineStr">
        <is>
          <t>ai-chatbox-service</t>
        </is>
      </c>
      <c r="D565" s="16" t="inlineStr">
        <is>
          <t>Unit</t>
        </is>
      </c>
      <c r="E565" s="17" t="inlineStr">
        <is>
          <t>ToolDispatcherResultsTest › EventDetails</t>
        </is>
      </c>
      <c r="F565" s="17" t="inlineStr">
        <is>
          <t>getEventDetails</t>
        </is>
      </c>
      <c r="G565" s="17" t="inlineStr">
        <is>
          <t>slug không có thật là found:false dặn đừng tự dựng slug từ tên</t>
        </is>
      </c>
      <c r="H565" s="17" t="inlineStr">
        <is>
          <t>slug_khong_co</t>
        </is>
      </c>
      <c r="I565" s="16" t="inlineStr">
        <is>
          <t>Đạt</t>
        </is>
      </c>
      <c r="J565" s="16" t="n">
        <v>0.001</v>
      </c>
    </row>
    <row r="566">
      <c r="A566" s="16" t="n">
        <v>562</v>
      </c>
      <c r="B566" s="16" t="inlineStr">
        <is>
          <t>Backend</t>
        </is>
      </c>
      <c r="C566" s="17" t="inlineStr">
        <is>
          <t>ai-chatbox-service</t>
        </is>
      </c>
      <c r="D566" s="16" t="inlineStr">
        <is>
          <t>Unit</t>
        </is>
      </c>
      <c r="E566" s="17" t="inlineStr">
        <is>
          <t>ToolDispatcherResultsTest › EventRulesTool</t>
        </is>
      </c>
      <c r="F566" s="17" t="inlineStr">
        <is>
          <t>getEventRules</t>
        </is>
      </c>
      <c r="G566" s="17" t="inlineStr">
        <is>
          <t>chính sách hoàn vé nói bằng câu: không hoàn / xét từng trường hợp / có hạn giờ</t>
        </is>
      </c>
      <c r="H566" s="17" t="inlineStr">
        <is>
          <t>chinh_sach_hoan_ve</t>
        </is>
      </c>
      <c r="I566" s="16" t="inlineStr">
        <is>
          <t>Đạt</t>
        </is>
      </c>
      <c r="J566" s="16" t="n">
        <v>0.005</v>
      </c>
    </row>
    <row r="567">
      <c r="A567" s="16" t="n">
        <v>563</v>
      </c>
      <c r="B567" s="16" t="inlineStr">
        <is>
          <t>Backend</t>
        </is>
      </c>
      <c r="C567" s="17" t="inlineStr">
        <is>
          <t>ai-chatbox-service</t>
        </is>
      </c>
      <c r="D567" s="16" t="inlineStr">
        <is>
          <t>Unit</t>
        </is>
      </c>
      <c r="E567" s="17" t="inlineStr">
        <is>
          <t>ToolDispatcherResultsTest › EventRulesTool</t>
        </is>
      </c>
      <c r="F567" s="17" t="inlineStr">
        <is>
          <t>getEventRules</t>
        </is>
      </c>
      <c r="G567" s="17" t="inlineStr">
        <is>
          <t>mã sự kiện không hợp lệ là found:false, không phải lỗi</t>
        </is>
      </c>
      <c r="H567" s="17" t="inlineStr">
        <is>
          <t>ma_khong_hop_le</t>
        </is>
      </c>
      <c r="I567" s="16" t="inlineStr">
        <is>
          <t>Đạt</t>
        </is>
      </c>
      <c r="J567" s="16" t="n">
        <v>0.003</v>
      </c>
    </row>
    <row r="568">
      <c r="A568" s="16" t="n">
        <v>564</v>
      </c>
      <c r="B568" s="16" t="inlineStr">
        <is>
          <t>Backend</t>
        </is>
      </c>
      <c r="C568" s="17" t="inlineStr">
        <is>
          <t>ai-chatbox-service</t>
        </is>
      </c>
      <c r="D568" s="16" t="inlineStr">
        <is>
          <t>Unit</t>
        </is>
      </c>
      <c r="E568" s="17" t="inlineStr">
        <is>
          <t>ToolDispatcherResultsTest › EventRulesTool</t>
        </is>
      </c>
      <c r="F568" s="17" t="inlineStr">
        <is>
          <t>getEventRules</t>
        </is>
      </c>
      <c r="G568" s="17" t="inlineStr">
        <is>
          <t>chưa công bố quy định là found:false — mô hình không được bịa quy định</t>
        </is>
      </c>
      <c r="H568" s="17" t="inlineStr">
        <is>
          <t>chua_cong_bo</t>
        </is>
      </c>
      <c r="I568" s="16" t="inlineStr">
        <is>
          <t>Đạt</t>
        </is>
      </c>
      <c r="J568" s="16" t="n">
        <v>0.002</v>
      </c>
    </row>
    <row r="569">
      <c r="A569" s="16" t="n">
        <v>565</v>
      </c>
      <c r="B569" s="16" t="inlineStr">
        <is>
          <t>Backend</t>
        </is>
      </c>
      <c r="C569" s="17" t="inlineStr">
        <is>
          <t>ai-chatbox-service</t>
        </is>
      </c>
      <c r="D569" s="16" t="inlineStr">
        <is>
          <t>Unit</t>
        </is>
      </c>
      <c r="E569" s="17" t="inlineStr">
        <is>
          <t>ToolDispatcherResultsTest › FindEvents</t>
        </is>
      </c>
      <c r="F569" s="17" t="inlineStr">
        <is>
          <t>findEvents</t>
        </is>
      </c>
      <c r="G569" s="17" t="inlineStr">
        <is>
          <t>catalog hỏng là LỖI dặn đừng nói 'không có sự kiện nào'</t>
        </is>
      </c>
      <c r="H569" s="17" t="inlineStr">
        <is>
          <t>catalog_hong</t>
        </is>
      </c>
      <c r="I569" s="16" t="inlineStr">
        <is>
          <t>Đạt</t>
        </is>
      </c>
      <c r="J569" s="16" t="n">
        <v>0.006</v>
      </c>
    </row>
    <row r="570">
      <c r="A570" s="16" t="n">
        <v>566</v>
      </c>
      <c r="B570" s="16" t="inlineStr">
        <is>
          <t>Backend</t>
        </is>
      </c>
      <c r="C570" s="17" t="inlineStr">
        <is>
          <t>ai-chatbox-service</t>
        </is>
      </c>
      <c r="D570" s="16" t="inlineStr">
        <is>
          <t>Unit</t>
        </is>
      </c>
      <c r="E570" s="17" t="inlineStr">
        <is>
          <t>ToolDispatcherResultsTest › FindEvents</t>
        </is>
      </c>
      <c r="F570" s="17" t="inlineStr">
        <is>
          <t>findEvents</t>
        </is>
      </c>
      <c r="G570" s="17" t="inlineStr">
        <is>
          <t>tham số bỏ trống được chuyển nguyên là null cho cổng danh mục</t>
        </is>
      </c>
      <c r="H570" s="17" t="inlineStr">
        <is>
          <t>tham_so_bo_trong</t>
        </is>
      </c>
      <c r="I570" s="16" t="inlineStr">
        <is>
          <t>Đạt</t>
        </is>
      </c>
      <c r="J570" s="16" t="n">
        <v>0.003</v>
      </c>
    </row>
    <row r="571">
      <c r="A571" s="16" t="n">
        <v>567</v>
      </c>
      <c r="B571" s="16" t="inlineStr">
        <is>
          <t>Backend</t>
        </is>
      </c>
      <c r="C571" s="17" t="inlineStr">
        <is>
          <t>ai-chatbox-service</t>
        </is>
      </c>
      <c r="D571" s="16" t="inlineStr">
        <is>
          <t>Unit</t>
        </is>
      </c>
      <c r="E571" s="17" t="inlineStr">
        <is>
          <t>ToolDispatcherResultsTest › FindEvents</t>
        </is>
      </c>
      <c r="F571" s="17" t="inlineStr">
        <is>
          <t>findEvents</t>
        </is>
      </c>
      <c r="G571" s="17" t="inlineStr">
        <is>
          <t>ra kết quả: giờ Việt Nam, giá, và mọi sự kiện đều đi ra ngoài dưới dạng EventRef theo thứ tự</t>
        </is>
      </c>
      <c r="H571" s="17" t="inlineStr">
        <is>
          <t>ra_ket_qua</t>
        </is>
      </c>
      <c r="I571" s="16" t="inlineStr">
        <is>
          <t>Đạt</t>
        </is>
      </c>
      <c r="J571" s="16" t="n">
        <v>0.003</v>
      </c>
    </row>
    <row r="572">
      <c r="A572" s="16" t="n">
        <v>568</v>
      </c>
      <c r="B572" s="16" t="inlineStr">
        <is>
          <t>Backend</t>
        </is>
      </c>
      <c r="C572" s="17" t="inlineStr">
        <is>
          <t>ai-chatbox-service</t>
        </is>
      </c>
      <c r="D572" s="16" t="inlineStr">
        <is>
          <t>Unit</t>
        </is>
      </c>
      <c r="E572" s="17" t="inlineStr">
        <is>
          <t>ToolDispatcherResultsTest › FindEvents</t>
        </is>
      </c>
      <c r="F572" s="17" t="inlineStr">
        <is>
          <t>findEvents</t>
        </is>
      </c>
      <c r="G572" s="17" t="inlineStr">
        <is>
          <t>không ra gì là THÀNH CÔNG found:false kèm gợi ý, và không kèm EventRef nào</t>
        </is>
      </c>
      <c r="H572" s="17" t="inlineStr">
        <is>
          <t>khong_ra_gi</t>
        </is>
      </c>
      <c r="I572" s="16" t="inlineStr">
        <is>
          <t>Đạt</t>
        </is>
      </c>
      <c r="J572" s="16" t="n">
        <v>0.002</v>
      </c>
    </row>
    <row r="573">
      <c r="A573" s="16" t="n">
        <v>569</v>
      </c>
      <c r="B573" s="16" t="inlineStr">
        <is>
          <t>Backend</t>
        </is>
      </c>
      <c r="C573" s="17" t="inlineStr">
        <is>
          <t>ai-chatbox-service</t>
        </is>
      </c>
      <c r="D573" s="16" t="inlineStr">
        <is>
          <t>Unit</t>
        </is>
      </c>
      <c r="E573" s="17" t="inlineStr">
        <is>
          <t>ToolDispatcherResultsTest › FindEvents</t>
        </is>
      </c>
      <c r="F573" s="17" t="inlineStr">
        <is>
          <t>findEvents</t>
        </is>
      </c>
      <c r="G573" s="17" t="inlineStr">
        <is>
          <t>nhiều suất: nói THẲNG là ngày các suất còn lại không có ở đây để mô hình không tự bịa</t>
        </is>
      </c>
      <c r="H573" s="17" t="inlineStr">
        <is>
          <t>nhieu_suat</t>
        </is>
      </c>
      <c r="I573" s="16" t="inlineStr">
        <is>
          <t>Đạt</t>
        </is>
      </c>
      <c r="J573" s="16" t="n">
        <v>0.002</v>
      </c>
    </row>
    <row r="574">
      <c r="A574" s="16" t="n">
        <v>570</v>
      </c>
      <c r="B574" s="16" t="inlineStr">
        <is>
          <t>Backend</t>
        </is>
      </c>
      <c r="C574" s="17" t="inlineStr">
        <is>
          <t>ai-chatbox-service</t>
        </is>
      </c>
      <c r="D574" s="16" t="inlineStr">
        <is>
          <t>Unit</t>
        </is>
      </c>
      <c r="E574" s="17" t="inlineStr">
        <is>
          <t>ToolDispatcherResultsTest › LuoiCuoi</t>
        </is>
      </c>
      <c r="F574" s="17" t="inlineStr">
        <is>
          <t>tool không tồn tại và lưới cuối</t>
        </is>
      </c>
      <c r="G574" s="17" t="inlineStr">
        <is>
          <t>tool lạ trả LỖI nêu tên tool, không ném — để vòng sau vẫn đủ kết quả cho mọi lời gọi</t>
        </is>
      </c>
      <c r="H574" s="17" t="inlineStr">
        <is>
          <t>tool_la</t>
        </is>
      </c>
      <c r="I574" s="16" t="inlineStr">
        <is>
          <t>Đạt</t>
        </is>
      </c>
      <c r="J574" s="16" t="n">
        <v>0.002</v>
      </c>
    </row>
    <row r="575">
      <c r="A575" s="16" t="n">
        <v>571</v>
      </c>
      <c r="B575" s="16" t="inlineStr">
        <is>
          <t>Backend</t>
        </is>
      </c>
      <c r="C575" s="17" t="inlineStr">
        <is>
          <t>ai-chatbox-service</t>
        </is>
      </c>
      <c r="D575" s="16" t="inlineStr">
        <is>
          <t>Unit</t>
        </is>
      </c>
      <c r="E575" s="17" t="inlineStr">
        <is>
          <t>ToolDispatcherResultsTest › LuoiCuoi</t>
        </is>
      </c>
      <c r="F575" s="17" t="inlineStr">
        <is>
          <t>tool không tồn tại và lưới cuối</t>
        </is>
      </c>
      <c r="G575" s="17" t="inlineStr">
        <is>
          <t>ngoại lệ không lường trước trong cổng thành LỖI chung, không lộ chi tiết nội bộ</t>
        </is>
      </c>
      <c r="H575" s="17" t="inlineStr">
        <is>
          <t>ngoai_le_bat_ngo</t>
        </is>
      </c>
      <c r="I575" s="16" t="inlineStr">
        <is>
          <t>Đạt</t>
        </is>
      </c>
      <c r="J575" s="16" t="n">
        <v>0.004</v>
      </c>
    </row>
    <row r="576">
      <c r="A576" s="16" t="n">
        <v>572</v>
      </c>
      <c r="B576" s="16" t="inlineStr">
        <is>
          <t>Backend</t>
        </is>
      </c>
      <c r="C576" s="17" t="inlineStr">
        <is>
          <t>ai-chatbox-service</t>
        </is>
      </c>
      <c r="D576" s="16" t="inlineStr">
        <is>
          <t>Unit</t>
        </is>
      </c>
      <c r="E576" s="17" t="inlineStr">
        <is>
          <t>ToolDispatcherResultsTest › OrderStatus</t>
        </is>
      </c>
      <c r="F576" s="17" t="inlineStr">
        <is>
          <t>getOrderStatus</t>
        </is>
      </c>
      <c r="G576" s="17" t="inlineStr">
        <is>
          <t>đơn chờ thanh toán: có hạn thanh toán, chưa có giờ đã trả</t>
        </is>
      </c>
      <c r="H576" s="17" t="inlineStr">
        <is>
          <t>don_cho_thanh_toan</t>
        </is>
      </c>
      <c r="I576" s="16" t="inlineStr">
        <is>
          <t>Đạt</t>
        </is>
      </c>
      <c r="J576" s="16" t="n">
        <v>0.003</v>
      </c>
    </row>
    <row r="577">
      <c r="A577" s="16" t="n">
        <v>573</v>
      </c>
      <c r="B577" s="16" t="inlineStr">
        <is>
          <t>Backend</t>
        </is>
      </c>
      <c r="C577" s="17" t="inlineStr">
        <is>
          <t>ai-chatbox-service</t>
        </is>
      </c>
      <c r="D577" s="16" t="inlineStr">
        <is>
          <t>Unit</t>
        </is>
      </c>
      <c r="E577" s="17" t="inlineStr">
        <is>
          <t>ToolDispatcherResultsTest › OrderStatus</t>
        </is>
      </c>
      <c r="F577" s="17" t="inlineStr">
        <is>
          <t>getOrderStatus</t>
        </is>
      </c>
      <c r="G577" s="17" t="inlineStr">
        <is>
          <t>đơn đã thanh toán: giờ Việt Nam đã định dạng, từng vé, và không có hạn thanh toán</t>
        </is>
      </c>
      <c r="H577" s="17" t="inlineStr">
        <is>
          <t>don_da_thanh_toan</t>
        </is>
      </c>
      <c r="I577" s="16" t="inlineStr">
        <is>
          <t>Đạt</t>
        </is>
      </c>
      <c r="J577" s="16" t="n">
        <v>0.001</v>
      </c>
    </row>
    <row r="578">
      <c r="A578" s="16" t="n">
        <v>574</v>
      </c>
      <c r="B578" s="16" t="inlineStr">
        <is>
          <t>Backend</t>
        </is>
      </c>
      <c r="C578" s="17" t="inlineStr">
        <is>
          <t>ai-chatbox-service</t>
        </is>
      </c>
      <c r="D578" s="16" t="inlineStr">
        <is>
          <t>Unit</t>
        </is>
      </c>
      <c r="E578" s="17" t="inlineStr">
        <is>
          <t>ToolDispatcherResultsTest › OrderStatus</t>
        </is>
      </c>
      <c r="F578" s="17" t="inlineStr">
        <is>
          <t>getOrderStatus</t>
        </is>
      </c>
      <c r="G578" s="17" t="inlineStr">
        <is>
          <t>token của khách không bao giờ có trong kết quả đưa cho mô hình</t>
        </is>
      </c>
      <c r="H578" s="17" t="inlineStr">
        <is>
          <t>token_khong_vao_ket_qua</t>
        </is>
      </c>
      <c r="I578" s="16" t="inlineStr">
        <is>
          <t>Đạt</t>
        </is>
      </c>
      <c r="J578" s="16" t="n">
        <v>0.001</v>
      </c>
    </row>
    <row r="579">
      <c r="A579" s="16" t="n">
        <v>575</v>
      </c>
      <c r="B579" s="16" t="inlineStr">
        <is>
          <t>Backend</t>
        </is>
      </c>
      <c r="C579" s="17" t="inlineStr">
        <is>
          <t>ai-chatbox-service</t>
        </is>
      </c>
      <c r="D579" s="16" t="inlineStr">
        <is>
          <t>Unit</t>
        </is>
      </c>
      <c r="E579" s="17" t="inlineStr">
        <is>
          <t>ToolDispatcherResultsTest › OrderStatus</t>
        </is>
      </c>
      <c r="F579" s="17" t="inlineStr">
        <is>
          <t>getOrderStatus</t>
        </is>
      </c>
      <c r="G579" s="17" t="inlineStr">
        <is>
          <t>mã đơn không phải UUID là found:false kèm gợi ý, KHÔNG gọi ordering và KHÔNG là lỗi</t>
        </is>
      </c>
      <c r="H579" s="17" t="inlineStr">
        <is>
          <t>ma_don_khong_hop_le</t>
        </is>
      </c>
      <c r="I579" s="16" t="inlineStr">
        <is>
          <t>Đạt</t>
        </is>
      </c>
      <c r="J579" s="16" t="n">
        <v>0.003</v>
      </c>
    </row>
    <row r="580">
      <c r="A580" s="16" t="n">
        <v>576</v>
      </c>
      <c r="B580" s="16" t="inlineStr">
        <is>
          <t>Backend</t>
        </is>
      </c>
      <c r="C580" s="17" t="inlineStr">
        <is>
          <t>ai-chatbox-service</t>
        </is>
      </c>
      <c r="D580" s="16" t="inlineStr">
        <is>
          <t>Unit</t>
        </is>
      </c>
      <c r="E580" s="17" t="inlineStr">
        <is>
          <t>ToolDispatcherResultsTest › OrderStatus</t>
        </is>
      </c>
      <c r="F580" s="17" t="inlineStr">
        <is>
          <t>getOrderStatus</t>
        </is>
      </c>
      <c r="G580" s="17" t="inlineStr">
        <is>
          <t>đơn không có (hoặc của người khác) là THÀNH CÔNG với found:false</t>
        </is>
      </c>
      <c r="H580" s="17" t="inlineStr">
        <is>
          <t>khong_co_don</t>
        </is>
      </c>
      <c r="I580" s="16" t="inlineStr">
        <is>
          <t>Đạt</t>
        </is>
      </c>
      <c r="J580" s="16" t="n">
        <v>0.002</v>
      </c>
    </row>
    <row r="581">
      <c r="A581" s="16" t="n">
        <v>577</v>
      </c>
      <c r="B581" s="16" t="inlineStr">
        <is>
          <t>Backend</t>
        </is>
      </c>
      <c r="C581" s="17" t="inlineStr">
        <is>
          <t>ai-chatbox-service</t>
        </is>
      </c>
      <c r="D581" s="16" t="inlineStr">
        <is>
          <t>Unit</t>
        </is>
      </c>
      <c r="E581" s="17" t="inlineStr">
        <is>
          <t>ToolDispatcherResultsTest › OrderStatus</t>
        </is>
      </c>
      <c r="F581" s="17" t="inlineStr">
        <is>
          <t>getOrderStatus</t>
        </is>
      </c>
      <c r="G581" s="17" t="inlineStr">
        <is>
          <t>ordering hỏng là LỖI dặn mô hình đừng nói 'không tìm thấy đơn'</t>
        </is>
      </c>
      <c r="H581" s="17" t="inlineStr">
        <is>
          <t>ordering_hong</t>
        </is>
      </c>
      <c r="I581" s="16" t="inlineStr">
        <is>
          <t>Đạt</t>
        </is>
      </c>
      <c r="J581" s="16" t="n">
        <v>0.002</v>
      </c>
    </row>
    <row r="582">
      <c r="A582" s="16" t="n">
        <v>578</v>
      </c>
      <c r="B582" s="16" t="inlineStr">
        <is>
          <t>Backend</t>
        </is>
      </c>
      <c r="C582" s="17" t="inlineStr">
        <is>
          <t>ai-chatbox-service</t>
        </is>
      </c>
      <c r="D582" s="16" t="inlineStr">
        <is>
          <t>Unit</t>
        </is>
      </c>
      <c r="E582" s="17" t="inlineStr">
        <is>
          <t>ToolDispatcherResultsTest › ProfileAndHistory</t>
        </is>
      </c>
      <c r="F582" s="17" t="inlineStr">
        <is>
          <t>getCustomerProfileAndHistory</t>
        </is>
      </c>
      <c r="G582" s="17" t="inlineStr">
        <is>
          <t>chỉ lấy tối đa 5 đơn gần nhất, mỗi đơn có số vé và mốc thời gian phù hợp trạng thái</t>
        </is>
      </c>
      <c r="H582" s="17" t="inlineStr">
        <is>
          <t>toi_da_nam_don</t>
        </is>
      </c>
      <c r="I582" s="16" t="inlineStr">
        <is>
          <t>Đạt</t>
        </is>
      </c>
      <c r="J582" s="16" t="n">
        <v>0.005</v>
      </c>
    </row>
    <row r="583">
      <c r="A583" s="16" t="n">
        <v>579</v>
      </c>
      <c r="B583" s="16" t="inlineStr">
        <is>
          <t>Backend</t>
        </is>
      </c>
      <c r="C583" s="17" t="inlineStr">
        <is>
          <t>ai-chatbox-service</t>
        </is>
      </c>
      <c r="D583" s="16" t="inlineStr">
        <is>
          <t>Unit</t>
        </is>
      </c>
      <c r="E583" s="17" t="inlineStr">
        <is>
          <t>ToolDispatcherResultsTest › ProfileAndHistory</t>
        </is>
      </c>
      <c r="F583" s="17" t="inlineStr">
        <is>
          <t>getCustomerProfileAndHistory</t>
        </is>
      </c>
      <c r="G583" s="17" t="inlineStr">
        <is>
          <t>che email và số điện thoại ở mọi dạng, kể cả thiếu hoặc quá ngắn</t>
        </is>
      </c>
      <c r="H583" s="17" t="inlineStr">
        <is>
          <t>che_thong_tin_lien_he</t>
        </is>
      </c>
      <c r="I583" s="16" t="inlineStr">
        <is>
          <t>Đạt</t>
        </is>
      </c>
      <c r="J583" s="16" t="n">
        <v>0.006</v>
      </c>
    </row>
    <row r="584">
      <c r="A584" s="16" t="n">
        <v>580</v>
      </c>
      <c r="B584" s="16" t="inlineStr">
        <is>
          <t>Backend</t>
        </is>
      </c>
      <c r="C584" s="17" t="inlineStr">
        <is>
          <t>ai-chatbox-service</t>
        </is>
      </c>
      <c r="D584" s="16" t="inlineStr">
        <is>
          <t>Unit</t>
        </is>
      </c>
      <c r="E584" s="17" t="inlineStr">
        <is>
          <t>ToolDispatcherResultsTest › ProfileAndHistory</t>
        </is>
      </c>
      <c r="F584" s="17" t="inlineStr">
        <is>
          <t>getCustomerProfileAndHistory</t>
        </is>
      </c>
      <c r="G584" s="17" t="inlineStr">
        <is>
          <t>khách chưa có đơn: orders rỗng kèm gợi ý hỏi tài khoản khác</t>
        </is>
      </c>
      <c r="H584" s="17" t="inlineStr">
        <is>
          <t>chua_co_don</t>
        </is>
      </c>
      <c r="I584" s="16" t="inlineStr">
        <is>
          <t>Đạt</t>
        </is>
      </c>
      <c r="J584" s="16" t="n">
        <v>0.001</v>
      </c>
    </row>
    <row r="585">
      <c r="A585" s="16" t="n">
        <v>581</v>
      </c>
      <c r="B585" s="16" t="inlineStr">
        <is>
          <t>Backend</t>
        </is>
      </c>
      <c r="C585" s="17" t="inlineStr">
        <is>
          <t>ai-chatbox-service</t>
        </is>
      </c>
      <c r="D585" s="16" t="inlineStr">
        <is>
          <t>Unit</t>
        </is>
      </c>
      <c r="E585" s="17" t="inlineStr">
        <is>
          <t>ToolDispatcherTest</t>
        </is>
      </c>
      <c r="F585" s="17" t="inlineStr"/>
      <c r="G585" s="17" t="inlineStr">
        <is>
          <t>quy dinh su kien noi chinh sach hoan ve bang cau</t>
        </is>
      </c>
      <c r="H585" s="17" t="inlineStr">
        <is>
          <t>quy_dinh_su_kien_noi_chinh_sach_hoan_ve_bang_cau</t>
        </is>
      </c>
      <c r="I585" s="16" t="inlineStr">
        <is>
          <t>Đạt</t>
        </is>
      </c>
      <c r="J585" s="16" t="n">
        <v>0.003</v>
      </c>
    </row>
    <row r="586">
      <c r="A586" s="16" t="n">
        <v>582</v>
      </c>
      <c r="B586" s="16" t="inlineStr">
        <is>
          <t>Backend</t>
        </is>
      </c>
      <c r="C586" s="17" t="inlineStr">
        <is>
          <t>ai-chatbox-service</t>
        </is>
      </c>
      <c r="D586" s="16" t="inlineStr">
        <is>
          <t>Unit</t>
        </is>
      </c>
      <c r="E586" s="17" t="inlineStr">
        <is>
          <t>ToolDispatcherTest</t>
        </is>
      </c>
      <c r="F586" s="17" t="inlineStr"/>
      <c r="G586" s="17" t="inlineStr">
        <is>
          <t>ordering hong thi la loi khong phai khach khong co don</t>
        </is>
      </c>
      <c r="H586" s="17" t="inlineStr">
        <is>
          <t>ordering_hong_thi_la_loi_khong_phai_khach_khong_co_don</t>
        </is>
      </c>
      <c r="I586" s="16" t="inlineStr">
        <is>
          <t>Đạt</t>
        </is>
      </c>
      <c r="J586" s="16" t="n">
        <v>0.002</v>
      </c>
    </row>
    <row r="587">
      <c r="A587" s="16" t="n">
        <v>583</v>
      </c>
      <c r="B587" s="16" t="inlineStr">
        <is>
          <t>Backend</t>
        </is>
      </c>
      <c r="C587" s="17" t="inlineStr">
        <is>
          <t>ai-chatbox-service</t>
        </is>
      </c>
      <c r="D587" s="16" t="inlineStr">
        <is>
          <t>Unit</t>
        </is>
      </c>
      <c r="E587" s="17" t="inlineStr">
        <is>
          <t>ToolDispatcherTest</t>
        </is>
      </c>
      <c r="F587" s="17" t="inlineStr"/>
      <c r="G587" s="17" t="inlineStr">
        <is>
          <t>dat ve bi tu choi thi booked false kem ly do khong phai loi</t>
        </is>
      </c>
      <c r="H587" s="17" t="inlineStr">
        <is>
          <t>dat_ve_bi_tu_choi_thi_booked_false_kem_ly_do_khong_phai_loi</t>
        </is>
      </c>
      <c r="I587" s="16" t="inlineStr">
        <is>
          <t>Đạt</t>
        </is>
      </c>
      <c r="J587" s="16" t="n">
        <v>0.002</v>
      </c>
    </row>
    <row r="588">
      <c r="A588" s="16" t="n">
        <v>584</v>
      </c>
      <c r="B588" s="16" t="inlineStr">
        <is>
          <t>Backend</t>
        </is>
      </c>
      <c r="C588" s="17" t="inlineStr">
        <is>
          <t>ai-chatbox-service</t>
        </is>
      </c>
      <c r="D588" s="16" t="inlineStr">
        <is>
          <t>Unit</t>
        </is>
      </c>
      <c r="E588" s="17" t="inlineStr">
        <is>
          <t>ToolDispatcherTest</t>
        </is>
      </c>
      <c r="F588" s="17" t="inlineStr"/>
      <c r="G588" s="17" t="inlineStr">
        <is>
          <t>chi tiet su kien mang sessionId va zoneCode cho tool dat ve</t>
        </is>
      </c>
      <c r="H588" s="17" t="inlineStr">
        <is>
          <t>chi_tiet_su_kien_mang_sessionId_va_zoneCode_cho_tool_dat_ve</t>
        </is>
      </c>
      <c r="I588" s="16" t="inlineStr">
        <is>
          <t>Đạt</t>
        </is>
      </c>
      <c r="J588" s="16" t="n">
        <v>0.005</v>
      </c>
    </row>
    <row r="589">
      <c r="A589" s="16" t="n">
        <v>585</v>
      </c>
      <c r="B589" s="16" t="inlineStr">
        <is>
          <t>Backend</t>
        </is>
      </c>
      <c r="C589" s="17" t="inlineStr">
        <is>
          <t>ai-chatbox-service</t>
        </is>
      </c>
      <c r="D589" s="16" t="inlineStr">
        <is>
          <t>Unit</t>
        </is>
      </c>
      <c r="E589" s="17" t="inlineStr">
        <is>
          <t>ToolDispatcherTest</t>
        </is>
      </c>
      <c r="F589" s="17" t="inlineStr"/>
      <c r="G589" s="17" t="inlineStr">
        <is>
          <t>dat ve thieu so luong thi la ket qua thanh cong bao thieu</t>
        </is>
      </c>
      <c r="H589" s="17" t="inlineStr">
        <is>
          <t>dat_ve_thieu_so_luong_thi_la_ket_qua_thanh_cong_bao_thieu</t>
        </is>
      </c>
      <c r="I589" s="16" t="inlineStr">
        <is>
          <t>Đạt</t>
        </is>
      </c>
      <c r="J589" s="16" t="n">
        <v>0.002</v>
      </c>
    </row>
    <row r="590">
      <c r="A590" s="16" t="n">
        <v>586</v>
      </c>
      <c r="B590" s="16" t="inlineStr">
        <is>
          <t>Backend</t>
        </is>
      </c>
      <c r="C590" s="17" t="inlineStr">
        <is>
          <t>ai-chatbox-service</t>
        </is>
      </c>
      <c r="D590" s="16" t="inlineStr">
        <is>
          <t>Unit</t>
        </is>
      </c>
      <c r="E590" s="17" t="inlineStr">
        <is>
          <t>ToolDispatcherTest</t>
        </is>
      </c>
      <c r="F590" s="17" t="inlineStr"/>
      <c r="G590" s="17" t="inlineStr">
        <is>
          <t>identity hong thi van tra don kem co bao thieu ho so</t>
        </is>
      </c>
      <c r="H590" s="17" t="inlineStr">
        <is>
          <t>identity_hong_thi_van_tra_don_kem_co_bao_thieu_ho_so</t>
        </is>
      </c>
      <c r="I590" s="16" t="inlineStr">
        <is>
          <t>Đạt</t>
        </is>
      </c>
      <c r="J590" s="16" t="n">
        <v>0.004</v>
      </c>
    </row>
    <row r="591">
      <c r="A591" s="16" t="n">
        <v>587</v>
      </c>
      <c r="B591" s="16" t="inlineStr">
        <is>
          <t>Backend</t>
        </is>
      </c>
      <c r="C591" s="17" t="inlineStr">
        <is>
          <t>ai-chatbox-service</t>
        </is>
      </c>
      <c r="D591" s="16" t="inlineStr">
        <is>
          <t>Unit</t>
        </is>
      </c>
      <c r="E591" s="17" t="inlineStr">
        <is>
          <t>ToolDispatcherTest</t>
        </is>
      </c>
      <c r="F591" s="17" t="inlineStr"/>
      <c r="G591" s="17" t="inlineStr">
        <is>
          <t>dat ve thanh cong tra ve so don han thanh toan va duong dan</t>
        </is>
      </c>
      <c r="H591" s="17" t="inlineStr">
        <is>
          <t>dat_ve_thanh_cong_tra_ve_so_don_han_thanh_toan_va_duong_dan</t>
        </is>
      </c>
      <c r="I591" s="16" t="inlineStr">
        <is>
          <t>Đạt</t>
        </is>
      </c>
      <c r="J591" s="16" t="n">
        <v>0.002</v>
      </c>
    </row>
    <row r="592">
      <c r="A592" s="16" t="n">
        <v>588</v>
      </c>
      <c r="B592" s="16" t="inlineStr">
        <is>
          <t>Backend</t>
        </is>
      </c>
      <c r="C592" s="17" t="inlineStr">
        <is>
          <t>ai-chatbox-service</t>
        </is>
      </c>
      <c r="D592" s="16" t="inlineStr">
        <is>
          <t>Unit</t>
        </is>
      </c>
      <c r="E592" s="17" t="inlineStr">
        <is>
          <t>ToolDispatcherTest</t>
        </is>
      </c>
      <c r="F592" s="17" t="inlineStr"/>
      <c r="G592" s="17" t="inlineStr">
        <is>
          <t>ho so va lich su che bot email va so dien thoai</t>
        </is>
      </c>
      <c r="H592" s="17" t="inlineStr">
        <is>
          <t>ho_so_va_lich_su_che_bot_email_va_so_dien_thoai</t>
        </is>
      </c>
      <c r="I592" s="16" t="inlineStr">
        <is>
          <t>Đạt</t>
        </is>
      </c>
      <c r="J592" s="16" t="n">
        <v>0.002</v>
      </c>
    </row>
    <row r="593">
      <c r="A593" s="16" t="n">
        <v>589</v>
      </c>
      <c r="B593" s="16" t="inlineStr">
        <is>
          <t>Backend</t>
        </is>
      </c>
      <c r="C593" s="17" t="inlineStr">
        <is>
          <t>ai-chatbox-service</t>
        </is>
      </c>
      <c r="D593" s="16" t="inlineStr">
        <is>
          <t>Unit</t>
        </is>
      </c>
      <c r="E593" s="17" t="inlineStr">
        <is>
          <t>TurnAdmissionTest</t>
        </is>
      </c>
      <c r="F593" s="17" t="inlineStr"/>
      <c r="G593" s="17" t="inlineStr">
        <is>
          <t>nha cho roi thi vao duoc tiep</t>
        </is>
      </c>
      <c r="H593" s="17" t="inlineStr">
        <is>
          <t>nha_cho_roi_thi_vao_duoc_tiep</t>
        </is>
      </c>
      <c r="I593" s="16" t="inlineStr">
        <is>
          <t>Đạt</t>
        </is>
      </c>
      <c r="J593" s="16" t="n">
        <v>0.001</v>
      </c>
    </row>
    <row r="594">
      <c r="A594" s="16" t="n">
        <v>590</v>
      </c>
      <c r="B594" s="16" t="inlineStr">
        <is>
          <t>Backend</t>
        </is>
      </c>
      <c r="C594" s="17" t="inlineStr">
        <is>
          <t>ai-chatbox-service</t>
        </is>
      </c>
      <c r="D594" s="16" t="inlineStr">
        <is>
          <t>Unit</t>
        </is>
      </c>
      <c r="E594" s="17" t="inlineStr">
        <is>
          <t>TurnAdmissionTest</t>
        </is>
      </c>
      <c r="F594" s="17" t="inlineStr"/>
      <c r="G594" s="17" t="inlineStr">
        <is>
          <t>dem dung khi nhieu luong cung vao</t>
        </is>
      </c>
      <c r="H594" s="17" t="inlineStr">
        <is>
          <t>dem_dung_khi_nhieu_luong_cung_vao</t>
        </is>
      </c>
      <c r="I594" s="16" t="inlineStr">
        <is>
          <t>Đạt</t>
        </is>
      </c>
      <c r="J594" s="16" t="n">
        <v>0.006</v>
      </c>
    </row>
    <row r="595">
      <c r="A595" s="16" t="n">
        <v>591</v>
      </c>
      <c r="B595" s="16" t="inlineStr">
        <is>
          <t>Backend</t>
        </is>
      </c>
      <c r="C595" s="17" t="inlineStr">
        <is>
          <t>ai-chatbox-service</t>
        </is>
      </c>
      <c r="D595" s="16" t="inlineStr">
        <is>
          <t>Unit</t>
        </is>
      </c>
      <c r="E595" s="17" t="inlineStr">
        <is>
          <t>TurnAdmissionTest</t>
        </is>
      </c>
      <c r="F595" s="17" t="inlineStr"/>
      <c r="G595" s="17" t="inlineStr">
        <is>
          <t>mot nguoi chiem cho khong chan nguoi khac</t>
        </is>
      </c>
      <c r="H595" s="17" t="inlineStr">
        <is>
          <t>mot_nguoi_chiem_cho_khong_chan_nguoi_khac</t>
        </is>
      </c>
      <c r="I595" s="16" t="inlineStr">
        <is>
          <t>Đạt</t>
        </is>
      </c>
      <c r="J595" s="16" t="n">
        <v>0</v>
      </c>
    </row>
    <row r="596">
      <c r="A596" s="16" t="n">
        <v>592</v>
      </c>
      <c r="B596" s="16" t="inlineStr">
        <is>
          <t>Backend</t>
        </is>
      </c>
      <c r="C596" s="17" t="inlineStr">
        <is>
          <t>ai-chatbox-service</t>
        </is>
      </c>
      <c r="D596" s="16" t="inlineStr">
        <is>
          <t>Unit</t>
        </is>
      </c>
      <c r="E596" s="17" t="inlineStr">
        <is>
          <t>TurnAdmissionTest</t>
        </is>
      </c>
      <c r="F596" s="17" t="inlineStr"/>
      <c r="G596" s="17" t="inlineStr">
        <is>
          <t>khong ro ri khoa sau khi nha het</t>
        </is>
      </c>
      <c r="H596" s="17" t="inlineStr">
        <is>
          <t>khong_ro_ri_khoa_sau_khi_nha_het</t>
        </is>
      </c>
      <c r="I596" s="16" t="inlineStr">
        <is>
          <t>Đạt</t>
        </is>
      </c>
      <c r="J596" s="16" t="n">
        <v>0</v>
      </c>
    </row>
    <row r="597">
      <c r="A597" s="16" t="n">
        <v>593</v>
      </c>
      <c r="B597" s="16" t="inlineStr">
        <is>
          <t>Backend</t>
        </is>
      </c>
      <c r="C597" s="17" t="inlineStr">
        <is>
          <t>ai-chatbox-service</t>
        </is>
      </c>
      <c r="D597" s="16" t="inlineStr">
        <is>
          <t>Unit</t>
        </is>
      </c>
      <c r="E597" s="17" t="inlineStr">
        <is>
          <t>TurnAdmissionTest</t>
        </is>
      </c>
      <c r="F597" s="17" t="inlineStr"/>
      <c r="G597" s="17" t="inlineStr">
        <is>
          <t>cho qua dung so luot da khai</t>
        </is>
      </c>
      <c r="H597" s="17" t="inlineStr">
        <is>
          <t>cho_qua_dung_so_luot_da_khai</t>
        </is>
      </c>
      <c r="I597" s="16" t="inlineStr">
        <is>
          <t>Đạt</t>
        </is>
      </c>
      <c r="J597" s="16" t="n">
        <v>0</v>
      </c>
    </row>
    <row r="598">
      <c r="A598" s="16" t="n">
        <v>594</v>
      </c>
      <c r="B598" s="16" t="inlineStr">
        <is>
          <t>Backend</t>
        </is>
      </c>
      <c r="C598" s="17" t="inlineStr">
        <is>
          <t>ai-chatbox-service</t>
        </is>
      </c>
      <c r="D598" s="16" t="inlineStr">
        <is>
          <t>Unit</t>
        </is>
      </c>
      <c r="E598" s="17" t="inlineStr">
        <is>
          <t>ApplicationYamlBudgetTest</t>
        </is>
      </c>
      <c r="F598" s="17" t="inlineStr"/>
      <c r="G598" s="17" t="inlineStr">
        <is>
          <t>han async lon hon ngan sach cua ca hai nha cung cap</t>
        </is>
      </c>
      <c r="H598" s="17" t="inlineStr">
        <is>
          <t>han_async_lon_hon_ngan_sach_cua_ca_hai_nha_cung_cap</t>
        </is>
      </c>
      <c r="I598" s="16" t="inlineStr">
        <is>
          <t>Đạt</t>
        </is>
      </c>
      <c r="J598" s="16" t="n">
        <v>0.172</v>
      </c>
    </row>
    <row r="599">
      <c r="A599" s="16" t="n">
        <v>595</v>
      </c>
      <c r="B599" s="16" t="inlineStr">
        <is>
          <t>Backend</t>
        </is>
      </c>
      <c r="C599" s="17" t="inlineStr">
        <is>
          <t>ai-chatbox-service</t>
        </is>
      </c>
      <c r="D599" s="16" t="inlineStr">
        <is>
          <t>ArchUnit</t>
        </is>
      </c>
      <c r="E599" s="17" t="inlineStr">
        <is>
          <t>ArchitectureTest</t>
        </is>
      </c>
      <c r="F599" s="17" t="inlineStr"/>
      <c r="G599" s="17" t="inlineStr">
        <is>
          <t>domain thuan nghiep vu</t>
        </is>
      </c>
      <c r="H599" s="17" t="inlineStr">
        <is>
          <t>domain_thuan_nghiep_vu</t>
        </is>
      </c>
      <c r="I599" s="16" t="inlineStr">
        <is>
          <t>Đạt</t>
        </is>
      </c>
      <c r="J599" s="16" t="n">
        <v>6.328</v>
      </c>
    </row>
    <row r="600">
      <c r="A600" s="16" t="n">
        <v>596</v>
      </c>
      <c r="B600" s="16" t="inlineStr">
        <is>
          <t>Backend</t>
        </is>
      </c>
      <c r="C600" s="17" t="inlineStr">
        <is>
          <t>ai-chatbox-service</t>
        </is>
      </c>
      <c r="D600" s="16" t="inlineStr">
        <is>
          <t>ArchUnit</t>
        </is>
      </c>
      <c r="E600" s="17" t="inlineStr">
        <is>
          <t>ArchitectureTest</t>
        </is>
      </c>
      <c r="F600" s="17" t="inlineStr"/>
      <c r="G600" s="17" t="inlineStr">
        <is>
          <t>chieu phu thuoc hexagonal</t>
        </is>
      </c>
      <c r="H600" s="17" t="inlineStr">
        <is>
          <t>chieu_phu_thuoc_hexagonal</t>
        </is>
      </c>
      <c r="I600" s="16" t="inlineStr">
        <is>
          <t>Đạt</t>
        </is>
      </c>
      <c r="J600" s="16" t="n">
        <v>0.763</v>
      </c>
    </row>
    <row r="601">
      <c r="A601" s="16" t="n">
        <v>597</v>
      </c>
      <c r="B601" s="16" t="inlineStr">
        <is>
          <t>Backend</t>
        </is>
      </c>
      <c r="C601" s="17" t="inlineStr">
        <is>
          <t>ai-chatbox-service</t>
        </is>
      </c>
      <c r="D601" s="16" t="inlineStr">
        <is>
          <t>ArchUnit</t>
        </is>
      </c>
      <c r="E601" s="17" t="inlineStr">
        <is>
          <t>ArchitectureTest</t>
        </is>
      </c>
      <c r="F601" s="17" t="inlineStr"/>
      <c r="G601" s="17" t="inlineStr">
        <is>
          <t>khong import cheo context</t>
        </is>
      </c>
      <c r="H601" s="17" t="inlineStr">
        <is>
          <t>khong_import_cheo_context</t>
        </is>
      </c>
      <c r="I601" s="16" t="inlineStr">
        <is>
          <t>Đạt</t>
        </is>
      </c>
      <c r="J601" s="16" t="n">
        <v>0.056</v>
      </c>
    </row>
    <row r="602">
      <c r="A602" s="16" t="n">
        <v>598</v>
      </c>
      <c r="B602" s="16" t="inlineStr">
        <is>
          <t>Backend</t>
        </is>
      </c>
      <c r="C602" s="17" t="inlineStr">
        <is>
          <t>ai-chatbox-service</t>
        </is>
      </c>
      <c r="D602" s="16" t="inlineStr">
        <is>
          <t>Unit</t>
        </is>
      </c>
      <c r="E602" s="17" t="inlineStr">
        <is>
          <t>RefundPolicyTest</t>
        </is>
      </c>
      <c r="F602" s="17" t="inlineStr"/>
      <c r="G602" s="17" t="inlineStr">
        <is>
          <t>han bang khong la khong gioi han</t>
        </is>
      </c>
      <c r="H602" s="17" t="inlineStr">
        <is>
          <t>han_bang_khong_la_khong_gioi_han</t>
        </is>
      </c>
      <c r="I602" s="16" t="inlineStr">
        <is>
          <t>Đạt</t>
        </is>
      </c>
      <c r="J602" s="16" t="n">
        <v>0.001</v>
      </c>
    </row>
    <row r="603">
      <c r="A603" s="16" t="n">
        <v>599</v>
      </c>
      <c r="B603" s="16" t="inlineStr">
        <is>
          <t>Backend</t>
        </is>
      </c>
      <c r="C603" s="17" t="inlineStr">
        <is>
          <t>ai-chatbox-service</t>
        </is>
      </c>
      <c r="D603" s="16" t="inlineStr">
        <is>
          <t>Unit</t>
        </is>
      </c>
      <c r="E603" s="17" t="inlineStr">
        <is>
          <t>RefundPolicyTest</t>
        </is>
      </c>
      <c r="F603" s="17" t="inlineStr"/>
      <c r="G603" s="17" t="inlineStr">
        <is>
          <t>trong han thi du dieu kien</t>
        </is>
      </c>
      <c r="H603" s="17" t="inlineStr">
        <is>
          <t>trong_han_thi_du_dieu_kien</t>
        </is>
      </c>
      <c r="I603" s="16" t="inlineStr">
        <is>
          <t>Đạt</t>
        </is>
      </c>
      <c r="J603" s="16" t="n">
        <v>0.001</v>
      </c>
    </row>
    <row r="604">
      <c r="A604" s="16" t="n">
        <v>600</v>
      </c>
      <c r="B604" s="16" t="inlineStr">
        <is>
          <t>Backend</t>
        </is>
      </c>
      <c r="C604" s="17" t="inlineStr">
        <is>
          <t>ai-chatbox-service</t>
        </is>
      </c>
      <c r="D604" s="16" t="inlineStr">
        <is>
          <t>Unit</t>
        </is>
      </c>
      <c r="E604" s="17" t="inlineStr">
        <is>
          <t>RefundPolicyTest</t>
        </is>
      </c>
      <c r="F604" s="17" t="inlineStr"/>
      <c r="G604" s="17" t="inlineStr">
        <is>
          <t>han am la loi nhap lieu khong phai chinh sach</t>
        </is>
      </c>
      <c r="H604" s="17" t="inlineStr">
        <is>
          <t>han_am_la_loi_nhap_lieu_khong_phai_chinh_sach</t>
        </is>
      </c>
      <c r="I604" s="16" t="inlineStr">
        <is>
          <t>Đạt</t>
        </is>
      </c>
      <c r="J604" s="16" t="n">
        <v>0.002</v>
      </c>
    </row>
    <row r="605">
      <c r="A605" s="16" t="n">
        <v>601</v>
      </c>
      <c r="B605" s="16" t="inlineStr">
        <is>
          <t>Backend</t>
        </is>
      </c>
      <c r="C605" s="17" t="inlineStr">
        <is>
          <t>ai-chatbox-service</t>
        </is>
      </c>
      <c r="D605" s="16" t="inlineStr">
        <is>
          <t>Unit</t>
        </is>
      </c>
      <c r="E605" s="17" t="inlineStr">
        <is>
          <t>RefundPolicyTest</t>
        </is>
      </c>
      <c r="F605" s="17" t="inlineStr"/>
      <c r="G605" s="17" t="inlineStr">
        <is>
          <t>qua han thi tu choi</t>
        </is>
      </c>
      <c r="H605" s="17" t="inlineStr">
        <is>
          <t>qua_han_thi_tu_choi</t>
        </is>
      </c>
      <c r="I605" s="16" t="inlineStr">
        <is>
          <t>Đạt</t>
        </is>
      </c>
      <c r="J605" s="16" t="n">
        <v>0.001</v>
      </c>
    </row>
    <row r="606">
      <c r="A606" s="16" t="n">
        <v>602</v>
      </c>
      <c r="B606" s="16" t="inlineStr">
        <is>
          <t>Backend</t>
        </is>
      </c>
      <c r="C606" s="17" t="inlineStr">
        <is>
          <t>ai-chatbox-service</t>
        </is>
      </c>
      <c r="D606" s="16" t="inlineStr">
        <is>
          <t>Unit</t>
        </is>
      </c>
      <c r="E606" s="17" t="inlineStr">
        <is>
          <t>RefundPolicyTest</t>
        </is>
      </c>
      <c r="F606" s="17" t="inlineStr"/>
      <c r="G606" s="17" t="inlineStr">
        <is>
          <t>su kien khong nhan hoan ve</t>
        </is>
      </c>
      <c r="H606" s="17" t="inlineStr">
        <is>
          <t>su_kien_khong_nhan_hoan_ve</t>
        </is>
      </c>
      <c r="I606" s="16" t="inlineStr">
        <is>
          <t>Đạt</t>
        </is>
      </c>
      <c r="J606" s="16" t="n">
        <v>0</v>
      </c>
    </row>
    <row r="607">
      <c r="A607" s="16" t="n">
        <v>603</v>
      </c>
      <c r="B607" s="16" t="inlineStr">
        <is>
          <t>Backend</t>
        </is>
      </c>
      <c r="C607" s="17" t="inlineStr">
        <is>
          <t>ai-chatbox-service</t>
        </is>
      </c>
      <c r="D607" s="16" t="inlineStr">
        <is>
          <t>Unit</t>
        </is>
      </c>
      <c r="E607" s="17" t="inlineStr">
        <is>
          <t>RefundPolicyTest</t>
        </is>
      </c>
      <c r="F607" s="17" t="inlineStr"/>
      <c r="G607" s="17" t="inlineStr">
        <is>
          <t>chua thanh toan thi khong co gi de hoan bat ke chinh sach</t>
        </is>
      </c>
      <c r="H607" s="17" t="inlineStr">
        <is>
          <t>chua_thanh_toan_thi_khong_co_gi_de_hoan_bat_ke_chinh_sach</t>
        </is>
      </c>
      <c r="I607" s="16" t="inlineStr">
        <is>
          <t>Đạt</t>
        </is>
      </c>
      <c r="J607" s="16" t="n">
        <v>0.001</v>
      </c>
    </row>
    <row r="608">
      <c r="A608" s="16" t="n">
        <v>604</v>
      </c>
      <c r="B608" s="16" t="inlineStr">
        <is>
          <t>Backend</t>
        </is>
      </c>
      <c r="C608" s="17" t="inlineStr">
        <is>
          <t>ai-chatbox-service</t>
        </is>
      </c>
      <c r="D608" s="16" t="inlineStr">
        <is>
          <t>Unit</t>
        </is>
      </c>
      <c r="E608" s="17" t="inlineStr">
        <is>
          <t>ToolInvocationTest</t>
        </is>
      </c>
      <c r="F608" s="17" t="inlineStr"/>
      <c r="G608" s="17" t="inlineStr">
        <is>
          <t>so thuc co phan le tra null</t>
        </is>
      </c>
      <c r="H608" s="17" t="inlineStr">
        <is>
          <t>so_thuc_co_phan_le_tra_null</t>
        </is>
      </c>
      <c r="I608" s="16" t="inlineStr">
        <is>
          <t>Đạt</t>
        </is>
      </c>
      <c r="J608" s="16" t="n">
        <v>0.002</v>
      </c>
    </row>
    <row r="609">
      <c r="A609" s="16" t="n">
        <v>605</v>
      </c>
      <c r="B609" s="16" t="inlineStr">
        <is>
          <t>Backend</t>
        </is>
      </c>
      <c r="C609" s="17" t="inlineStr">
        <is>
          <t>ai-chatbox-service</t>
        </is>
      </c>
      <c r="D609" s="16" t="inlineStr">
        <is>
          <t>Unit</t>
        </is>
      </c>
      <c r="E609" s="17" t="inlineStr">
        <is>
          <t>ToolInvocationTest</t>
        </is>
      </c>
      <c r="F609" s="17" t="inlineStr"/>
      <c r="G609" s="17" t="inlineStr">
        <is>
          <t>khong phai so tra null</t>
        </is>
      </c>
      <c r="H609" s="17" t="inlineStr">
        <is>
          <t>khong_phai_so_tra_null</t>
        </is>
      </c>
      <c r="I609" s="16" t="inlineStr">
        <is>
          <t>Đạt</t>
        </is>
      </c>
      <c r="J609" s="16" t="n">
        <v>0.001</v>
      </c>
    </row>
    <row r="610">
      <c r="A610" s="16" t="n">
        <v>606</v>
      </c>
      <c r="B610" s="16" t="inlineStr">
        <is>
          <t>Backend</t>
        </is>
      </c>
      <c r="C610" s="17" t="inlineStr">
        <is>
          <t>ai-chatbox-service</t>
        </is>
      </c>
      <c r="D610" s="16" t="inlineStr">
        <is>
          <t>Unit</t>
        </is>
      </c>
      <c r="E610" s="17" t="inlineStr">
        <is>
          <t>ToolInvocationTest</t>
        </is>
      </c>
      <c r="F610" s="17" t="inlineStr"/>
      <c r="G610" s="17" t="inlineStr">
        <is>
          <t>tham so null bi bo khong ném</t>
        </is>
      </c>
      <c r="H610" s="17" t="inlineStr">
        <is>
          <t>tham_so_null_bi_bo_khong_ném</t>
        </is>
      </c>
      <c r="I610" s="16" t="inlineStr">
        <is>
          <t>Đạt</t>
        </is>
      </c>
      <c r="J610" s="16" t="n">
        <v>0.008999999999999999</v>
      </c>
    </row>
    <row r="611">
      <c r="A611" s="16" t="n">
        <v>607</v>
      </c>
      <c r="B611" s="16" t="inlineStr">
        <is>
          <t>Backend</t>
        </is>
      </c>
      <c r="C611" s="17" t="inlineStr">
        <is>
          <t>ai-chatbox-service</t>
        </is>
      </c>
      <c r="D611" s="16" t="inlineStr">
        <is>
          <t>Unit</t>
        </is>
      </c>
      <c r="E611" s="17" t="inlineStr">
        <is>
          <t>ToolInvocationTest</t>
        </is>
      </c>
      <c r="F611" s="17" t="inlineStr"/>
      <c r="G611" s="17" t="inlineStr">
        <is>
          <t>so thuc phan le bang khong la so nguyen</t>
        </is>
      </c>
      <c r="H611" s="17" t="inlineStr">
        <is>
          <t>so_thuc_phan_le_bang_khong_la_so_nguyen</t>
        </is>
      </c>
      <c r="I611" s="16" t="inlineStr">
        <is>
          <t>Đạt</t>
        </is>
      </c>
      <c r="J611" s="16" t="n">
        <v>0.001</v>
      </c>
    </row>
    <row r="612">
      <c r="A612" s="16" t="n">
        <v>608</v>
      </c>
      <c r="B612" s="16" t="inlineStr">
        <is>
          <t>Backend</t>
        </is>
      </c>
      <c r="C612" s="17" t="inlineStr">
        <is>
          <t>ai-chatbox-service</t>
        </is>
      </c>
      <c r="D612" s="16" t="inlineStr">
        <is>
          <t>Unit</t>
        </is>
      </c>
      <c r="E612" s="17" t="inlineStr">
        <is>
          <t>ToolInvocationTest</t>
        </is>
      </c>
      <c r="F612" s="17" t="inlineStr"/>
      <c r="G612" s="17" t="inlineStr">
        <is>
          <t>arguments null thanh rong</t>
        </is>
      </c>
      <c r="H612" s="17" t="inlineStr">
        <is>
          <t>arguments_null_thanh_rong</t>
        </is>
      </c>
      <c r="I612" s="16" t="inlineStr">
        <is>
          <t>Đạt</t>
        </is>
      </c>
      <c r="J612" s="16" t="n">
        <v>0</v>
      </c>
    </row>
    <row r="613">
      <c r="A613" s="16" t="n">
        <v>609</v>
      </c>
      <c r="B613" s="16" t="inlineStr">
        <is>
          <t>Backend</t>
        </is>
      </c>
      <c r="C613" s="17" t="inlineStr">
        <is>
          <t>ai-chatbox-service</t>
        </is>
      </c>
      <c r="D613" s="16" t="inlineStr">
        <is>
          <t>Unit</t>
        </is>
      </c>
      <c r="E613" s="17" t="inlineStr">
        <is>
          <t>AgentExecutorConfigTest</t>
        </is>
      </c>
      <c r="F613" s="17" t="inlineStr"/>
      <c r="G613" s="17" t="inlineStr">
        <is>
          <t>mang correlation sang luong agent roi don sach</t>
        </is>
      </c>
      <c r="H613" s="17" t="inlineStr">
        <is>
          <t>mang_correlation_sang_luong_agent_roi_don_sach</t>
        </is>
      </c>
      <c r="I613" s="16" t="inlineStr">
        <is>
          <t>Đạt</t>
        </is>
      </c>
      <c r="J613" s="16" t="n">
        <v>0.007</v>
      </c>
    </row>
    <row r="614">
      <c r="A614" s="16" t="n">
        <v>610</v>
      </c>
      <c r="B614" s="16" t="inlineStr">
        <is>
          <t>Backend</t>
        </is>
      </c>
      <c r="C614" s="17" t="inlineStr">
        <is>
          <t>ai-chatbox-service</t>
        </is>
      </c>
      <c r="D614" s="16" t="inlineStr">
        <is>
          <t>Unit</t>
        </is>
      </c>
      <c r="E614" s="17" t="inlineStr">
        <is>
          <t>EmbeddingAdaptersTest › Disabled</t>
        </is>
      </c>
      <c r="F614" s="17" t="inlineStr">
        <is>
          <t>Tắt (EMBEDDING_PROVIDER=none)</t>
        </is>
      </c>
      <c r="G614" s="17" t="inlineStr">
        <is>
          <t>nhúng ném IllegalStateException để use case đi đường 'không có RAG', nhưng vẫn báo số chiều thật</t>
        </is>
      </c>
      <c r="H614" s="17" t="inlineStr">
        <is>
          <t>nem_loi_nhung_van_bao_so_chieu</t>
        </is>
      </c>
      <c r="I614" s="16" t="inlineStr">
        <is>
          <t>Đạt</t>
        </is>
      </c>
      <c r="J614" s="16" t="n">
        <v>0.005</v>
      </c>
    </row>
    <row r="615">
      <c r="A615" s="16" t="n">
        <v>611</v>
      </c>
      <c r="B615" s="16" t="inlineStr">
        <is>
          <t>Backend</t>
        </is>
      </c>
      <c r="C615" s="17" t="inlineStr">
        <is>
          <t>ai-chatbox-service</t>
        </is>
      </c>
      <c r="D615" s="16" t="inlineStr">
        <is>
          <t>Unit</t>
        </is>
      </c>
      <c r="E615" s="17" t="inlineStr">
        <is>
          <t>EmbeddingAdaptersTest › OllamaEmbedding</t>
        </is>
      </c>
      <c r="F615" s="17" t="inlineStr">
        <is>
          <t>Ollama</t>
        </is>
      </c>
      <c r="G615" s="17" t="inlineStr">
        <is>
          <t>vector được đổi sang float[] đúng giá trị</t>
        </is>
      </c>
      <c r="H615" s="17" t="inlineStr">
        <is>
          <t>doi_sang_float</t>
        </is>
      </c>
      <c r="I615" s="16" t="inlineStr">
        <is>
          <t>Đạt</t>
        </is>
      </c>
      <c r="J615" s="16" t="n">
        <v>1.711</v>
      </c>
    </row>
    <row r="616">
      <c r="A616" s="16" t="n">
        <v>612</v>
      </c>
      <c r="B616" s="16" t="inlineStr">
        <is>
          <t>Backend</t>
        </is>
      </c>
      <c r="C616" s="17" t="inlineStr">
        <is>
          <t>ai-chatbox-service</t>
        </is>
      </c>
      <c r="D616" s="16" t="inlineStr">
        <is>
          <t>Unit</t>
        </is>
      </c>
      <c r="E616" s="17" t="inlineStr">
        <is>
          <t>EmbeddingAdaptersTest › OllamaEmbedding</t>
        </is>
      </c>
      <c r="F616" s="17" t="inlineStr">
        <is>
          <t>Ollama</t>
        </is>
      </c>
      <c r="G616" s="17" t="inlineStr">
        <is>
          <t>gọi /api/embed với mô hình nhúng; câu hỏi và tài liệu đi cùng một đường (bge-m3 đối xứng)</t>
        </is>
      </c>
      <c r="H616" s="17" t="inlineStr">
        <is>
          <t>goi_api_embed</t>
        </is>
      </c>
      <c r="I616" s="16" t="inlineStr">
        <is>
          <t>Đạt</t>
        </is>
      </c>
      <c r="J616" s="16" t="n">
        <v>0.02</v>
      </c>
    </row>
    <row r="617">
      <c r="A617" s="16" t="n">
        <v>613</v>
      </c>
      <c r="B617" s="16" t="inlineStr">
        <is>
          <t>Backend</t>
        </is>
      </c>
      <c r="C617" s="17" t="inlineStr">
        <is>
          <t>ai-chatbox-service</t>
        </is>
      </c>
      <c r="D617" s="16" t="inlineStr">
        <is>
          <t>Unit</t>
        </is>
      </c>
      <c r="E617" s="17" t="inlineStr">
        <is>
          <t>EmbeddingAdaptersTest › OllamaEmbedding</t>
        </is>
      </c>
      <c r="F617" s="17" t="inlineStr">
        <is>
          <t>Ollama</t>
        </is>
      </c>
      <c r="G617" s="17" t="inlineStr">
        <is>
          <t>quá hạn nhúng ném lỗi, hạn lấy từ embeddingTimeout chứ không phải timeout của chat</t>
        </is>
      </c>
      <c r="H617" s="17" t="inlineStr">
        <is>
          <t>qua_han</t>
        </is>
      </c>
      <c r="I617" s="16" t="inlineStr">
        <is>
          <t>Đạt</t>
        </is>
      </c>
      <c r="J617" s="16" t="n">
        <v>0.313</v>
      </c>
    </row>
    <row r="618">
      <c r="A618" s="16" t="n">
        <v>614</v>
      </c>
      <c r="B618" s="16" t="inlineStr">
        <is>
          <t>Backend</t>
        </is>
      </c>
      <c r="C618" s="17" t="inlineStr">
        <is>
          <t>ai-chatbox-service</t>
        </is>
      </c>
      <c r="D618" s="16" t="inlineStr">
        <is>
          <t>Unit</t>
        </is>
      </c>
      <c r="E618" s="17" t="inlineStr">
        <is>
          <t>EmbeddingAdaptersTest › OllamaEmbedding</t>
        </is>
      </c>
      <c r="F618" s="17" t="inlineStr">
        <is>
          <t>Ollama</t>
        </is>
      </c>
      <c r="G618" s="17" t="inlineStr">
        <is>
          <t>sai số chiều ném IllegalStateException nêu cả mô hình lẫn hai con số</t>
        </is>
      </c>
      <c r="H618" s="17" t="inlineStr">
        <is>
          <t>sai_so_chieu</t>
        </is>
      </c>
      <c r="I618" s="16" t="inlineStr">
        <is>
          <t>Đạt</t>
        </is>
      </c>
      <c r="J618" s="16" t="n">
        <v>0.025</v>
      </c>
    </row>
    <row r="619">
      <c r="A619" s="16" t="n">
        <v>615</v>
      </c>
      <c r="B619" s="16" t="inlineStr">
        <is>
          <t>Backend</t>
        </is>
      </c>
      <c r="C619" s="17" t="inlineStr">
        <is>
          <t>ai-chatbox-service</t>
        </is>
      </c>
      <c r="D619" s="16" t="inlineStr">
        <is>
          <t>Unit</t>
        </is>
      </c>
      <c r="E619" s="17" t="inlineStr">
        <is>
          <t>EmbeddingAdaptersTest › OllamaEmbedding</t>
        </is>
      </c>
      <c r="F619" s="17" t="inlineStr">
        <is>
          <t>Ollama</t>
        </is>
      </c>
      <c r="G619" s="17" t="inlineStr">
        <is>
          <t>Ollama chưa chạy ném lỗi</t>
        </is>
      </c>
      <c r="H619" s="17" t="inlineStr">
        <is>
          <t>chua_chay</t>
        </is>
      </c>
      <c r="I619" s="16" t="inlineStr">
        <is>
          <t>Đạt</t>
        </is>
      </c>
      <c r="J619" s="16" t="n">
        <v>0.022</v>
      </c>
    </row>
    <row r="620">
      <c r="A620" s="16" t="n">
        <v>616</v>
      </c>
      <c r="B620" s="16" t="inlineStr">
        <is>
          <t>Backend</t>
        </is>
      </c>
      <c r="C620" s="17" t="inlineStr">
        <is>
          <t>ai-chatbox-service</t>
        </is>
      </c>
      <c r="D620" s="16" t="inlineStr">
        <is>
          <t>Unit</t>
        </is>
      </c>
      <c r="E620" s="17" t="inlineStr">
        <is>
          <t>EmbeddingAdaptersTest › OllamaEmbedding</t>
        </is>
      </c>
      <c r="F620" s="17" t="inlineStr">
        <is>
          <t>Ollama</t>
        </is>
      </c>
      <c r="G620" s="17" t="inlineStr">
        <is>
          <t>không có vector (thiếu embeddings, mảng rỗng, vector rỗng, body rỗng) thì ném, không trả mảng rỗng</t>
        </is>
      </c>
      <c r="H620" s="17" t="inlineStr">
        <is>
          <t>khong_co_vector</t>
        </is>
      </c>
      <c r="I620" s="16" t="inlineStr">
        <is>
          <t>Đạt</t>
        </is>
      </c>
      <c r="J620" s="16" t="n">
        <v>0.104</v>
      </c>
    </row>
    <row r="621">
      <c r="A621" s="16" t="n">
        <v>617</v>
      </c>
      <c r="B621" s="16" t="inlineStr">
        <is>
          <t>Backend</t>
        </is>
      </c>
      <c r="C621" s="17" t="inlineStr">
        <is>
          <t>ai-chatbox-service</t>
        </is>
      </c>
      <c r="D621" s="16" t="inlineStr">
        <is>
          <t>Unit</t>
        </is>
      </c>
      <c r="E621" s="17" t="inlineStr">
        <is>
          <t>EmbeddingAdaptersTest › OllamaEmbedding</t>
        </is>
      </c>
      <c r="F621" s="17" t="inlineStr">
        <is>
          <t>Ollama</t>
        </is>
      </c>
      <c r="G621" s="17" t="inlineStr">
        <is>
          <t>404 (chưa pull mô hình) và 500 ném lỗi RestClient</t>
        </is>
      </c>
      <c r="H621" s="17" t="inlineStr">
        <is>
          <t>loi_http</t>
        </is>
      </c>
      <c r="I621" s="16" t="inlineStr">
        <is>
          <t>Đạt</t>
        </is>
      </c>
      <c r="J621" s="16" t="n">
        <v>0.048</v>
      </c>
    </row>
    <row r="622">
      <c r="A622" s="16" t="n">
        <v>618</v>
      </c>
      <c r="B622" s="16" t="inlineStr">
        <is>
          <t>Backend</t>
        </is>
      </c>
      <c r="C622" s="17" t="inlineStr">
        <is>
          <t>ai-chatbox-service</t>
        </is>
      </c>
      <c r="D622" s="16" t="inlineStr">
        <is>
          <t>Unit</t>
        </is>
      </c>
      <c r="E622" s="17" t="inlineStr">
        <is>
          <t>EmbeddingAdaptersTest › Voyage</t>
        </is>
      </c>
      <c r="F622" s="17" t="inlineStr">
        <is>
          <t>Voyage</t>
        </is>
      </c>
      <c r="G622" s="17" t="inlineStr">
        <is>
          <t>vector trả về được đổi sang float[] đúng giá trị và số chiều</t>
        </is>
      </c>
      <c r="H622" s="17" t="inlineStr">
        <is>
          <t>doi_sang_float</t>
        </is>
      </c>
      <c r="I622" s="16" t="inlineStr">
        <is>
          <t>Đạt</t>
        </is>
      </c>
      <c r="J622" s="16" t="n">
        <v>0.083</v>
      </c>
    </row>
    <row r="623">
      <c r="A623" s="16" t="n">
        <v>619</v>
      </c>
      <c r="B623" s="16" t="inlineStr">
        <is>
          <t>Backend</t>
        </is>
      </c>
      <c r="C623" s="17" t="inlineStr">
        <is>
          <t>ai-chatbox-service</t>
        </is>
      </c>
      <c r="D623" s="16" t="inlineStr">
        <is>
          <t>Unit</t>
        </is>
      </c>
      <c r="E623" s="17" t="inlineStr">
        <is>
          <t>EmbeddingAdaptersTest › Voyage</t>
        </is>
      </c>
      <c r="F623" s="17" t="inlineStr">
        <is>
          <t>Voyage</t>
        </is>
      </c>
      <c r="G623" s="17" t="inlineStr">
        <is>
          <t>câu hỏi và tài liệu khai input_type khác nhau — khai sai không báo lỗi, chỉ làm tìm kiếm tệ</t>
        </is>
      </c>
      <c r="H623" s="17" t="inlineStr">
        <is>
          <t>phan_biet_cau_hoi_va_tai_lieu</t>
        </is>
      </c>
      <c r="I623" s="16" t="inlineStr">
        <is>
          <t>Đạt</t>
        </is>
      </c>
      <c r="J623" s="16" t="n">
        <v>0.025</v>
      </c>
    </row>
    <row r="624">
      <c r="A624" s="16" t="n">
        <v>620</v>
      </c>
      <c r="B624" s="16" t="inlineStr">
        <is>
          <t>Backend</t>
        </is>
      </c>
      <c r="C624" s="17" t="inlineStr">
        <is>
          <t>ai-chatbox-service</t>
        </is>
      </c>
      <c r="D624" s="16" t="inlineStr">
        <is>
          <t>Unit</t>
        </is>
      </c>
      <c r="E624" s="17" t="inlineStr">
        <is>
          <t>EmbeddingAdaptersTest › Voyage</t>
        </is>
      </c>
      <c r="F624" s="17" t="inlineStr">
        <is>
          <t>Voyage</t>
        </is>
      </c>
      <c r="G624" s="17" t="inlineStr">
        <is>
          <t>401 và 500 ném lỗi RestClient, không che đi và không lộ khoá trong thông báo</t>
        </is>
      </c>
      <c r="H624" s="17" t="inlineStr">
        <is>
          <t>loi_http_khong_lo_khoa</t>
        </is>
      </c>
      <c r="I624" s="16" t="inlineStr">
        <is>
          <t>Đạt</t>
        </is>
      </c>
      <c r="J624" s="16" t="n">
        <v>0.043</v>
      </c>
    </row>
    <row r="625">
      <c r="A625" s="16" t="n">
        <v>621</v>
      </c>
      <c r="B625" s="16" t="inlineStr">
        <is>
          <t>Backend</t>
        </is>
      </c>
      <c r="C625" s="17" t="inlineStr">
        <is>
          <t>ai-chatbox-service</t>
        </is>
      </c>
      <c r="D625" s="16" t="inlineStr">
        <is>
          <t>Unit</t>
        </is>
      </c>
      <c r="E625" s="17" t="inlineStr">
        <is>
          <t>EmbeddingAdaptersTest › Voyage</t>
        </is>
      </c>
      <c r="F625" s="17" t="inlineStr">
        <is>
          <t>Voyage</t>
        </is>
      </c>
      <c r="G625" s="17" t="inlineStr">
        <is>
          <t>data rỗng hoặc thiếu thì ném IllegalStateException</t>
        </is>
      </c>
      <c r="H625" s="17" t="inlineStr">
        <is>
          <t>data_rong</t>
        </is>
      </c>
      <c r="I625" s="16" t="inlineStr">
        <is>
          <t>Đạt</t>
        </is>
      </c>
      <c r="J625" s="16" t="n">
        <v>0.047</v>
      </c>
    </row>
    <row r="626">
      <c r="A626" s="16" t="n">
        <v>622</v>
      </c>
      <c r="B626" s="16" t="inlineStr">
        <is>
          <t>Backend</t>
        </is>
      </c>
      <c r="C626" s="17" t="inlineStr">
        <is>
          <t>ai-chatbox-service</t>
        </is>
      </c>
      <c r="D626" s="16" t="inlineStr">
        <is>
          <t>Unit</t>
        </is>
      </c>
      <c r="E626" s="17" t="inlineStr">
        <is>
          <t>EmbeddingAdaptersTest › Voyage</t>
        </is>
      </c>
      <c r="F626" s="17" t="inlineStr">
        <is>
          <t>Voyage</t>
        </is>
      </c>
      <c r="G626" s="17" t="inlineStr">
        <is>
          <t>khoá đi bằng header Authorization tới /v1/embeddings, không nằm trong body</t>
        </is>
      </c>
      <c r="H626" s="17" t="inlineStr">
        <is>
          <t>khoa_di_bang_header</t>
        </is>
      </c>
      <c r="I626" s="16" t="inlineStr">
        <is>
          <t>Đạt</t>
        </is>
      </c>
      <c r="J626" s="16" t="n">
        <v>0.012</v>
      </c>
    </row>
    <row r="627">
      <c r="A627" s="16" t="n">
        <v>623</v>
      </c>
      <c r="B627" s="16" t="inlineStr">
        <is>
          <t>Backend</t>
        </is>
      </c>
      <c r="C627" s="17" t="inlineStr">
        <is>
          <t>ai-chatbox-service</t>
        </is>
      </c>
      <c r="D627" s="16" t="inlineStr">
        <is>
          <t>Unit</t>
        </is>
      </c>
      <c r="E627" s="17" t="inlineStr">
        <is>
          <t>EmbeddingAdaptersTest › Voyage</t>
        </is>
      </c>
      <c r="F627" s="17" t="inlineStr">
        <is>
          <t>Voyage</t>
        </is>
      </c>
      <c r="G627" s="17" t="inlineStr">
        <is>
          <t>mặc định: voyage-3.5, 1024 chiều</t>
        </is>
      </c>
      <c r="H627" s="17" t="inlineStr">
        <is>
          <t>mac_dinh</t>
        </is>
      </c>
      <c r="I627" s="16" t="inlineStr">
        <is>
          <t>Đạt</t>
        </is>
      </c>
      <c r="J627" s="16" t="n">
        <v>0.001</v>
      </c>
    </row>
    <row r="628">
      <c r="A628" s="16" t="n">
        <v>624</v>
      </c>
      <c r="B628" s="16" t="inlineStr">
        <is>
          <t>Backend</t>
        </is>
      </c>
      <c r="C628" s="17" t="inlineStr">
        <is>
          <t>ai-chatbox-service</t>
        </is>
      </c>
      <c r="D628" s="16" t="inlineStr">
        <is>
          <t>Unit</t>
        </is>
      </c>
      <c r="E628" s="17" t="inlineStr">
        <is>
          <t>EmbeddingAdaptersTest › Voyage</t>
        </is>
      </c>
      <c r="F628" s="17" t="inlineStr">
        <is>
          <t>Voyage</t>
        </is>
      </c>
      <c r="G628" s="17" t="inlineStr">
        <is>
          <t>mạng đứt ném lỗi, không trả vector rỗng</t>
        </is>
      </c>
      <c r="H628" s="17" t="inlineStr">
        <is>
          <t>mang_dut</t>
        </is>
      </c>
      <c r="I628" s="16" t="inlineStr">
        <is>
          <t>Đạt</t>
        </is>
      </c>
      <c r="J628" s="16" t="n">
        <v>0.012</v>
      </c>
    </row>
    <row r="629">
      <c r="A629" s="16" t="n">
        <v>625</v>
      </c>
      <c r="B629" s="16" t="inlineStr">
        <is>
          <t>Backend</t>
        </is>
      </c>
      <c r="C629" s="17" t="inlineStr">
        <is>
          <t>ai-chatbox-service</t>
        </is>
      </c>
      <c r="D629" s="16" t="inlineStr">
        <is>
          <t>Unit</t>
        </is>
      </c>
      <c r="E629" s="17" t="inlineStr">
        <is>
          <t>EmbeddingAdaptersTest › Voyage</t>
        </is>
      </c>
      <c r="F629" s="17" t="inlineStr">
        <is>
          <t>Voyage</t>
        </is>
      </c>
      <c r="G629" s="17" t="inlineStr">
        <is>
          <t>thiếu khoá thì không khởi động, thông báo nói rõ cần CẢ HAI khoá</t>
        </is>
      </c>
      <c r="H629" s="17" t="inlineStr">
        <is>
          <t>thieu_khoa_thi_khong_khoi_dong</t>
        </is>
      </c>
      <c r="I629" s="16" t="inlineStr">
        <is>
          <t>Đạt</t>
        </is>
      </c>
      <c r="J629" s="16" t="n">
        <v>0.001</v>
      </c>
    </row>
    <row r="630">
      <c r="A630" s="16" t="n">
        <v>626</v>
      </c>
      <c r="B630" s="16" t="inlineStr">
        <is>
          <t>Backend</t>
        </is>
      </c>
      <c r="C630" s="17" t="inlineStr">
        <is>
          <t>ai-chatbox-service</t>
        </is>
      </c>
      <c r="D630" s="16" t="inlineStr">
        <is>
          <t>Unit</t>
        </is>
      </c>
      <c r="E630" s="17" t="inlineStr">
        <is>
          <t>EmbeddingAdaptersTest › Voyage</t>
        </is>
      </c>
      <c r="F630" s="17" t="inlineStr">
        <is>
          <t>Voyage</t>
        </is>
      </c>
      <c r="G630" s="17" t="inlineStr">
        <is>
          <t>sai số chiều bị chặn tại đây thay vì để Postgres từ chối ghi</t>
        </is>
      </c>
      <c r="H630" s="17" t="inlineStr">
        <is>
          <t>sai_so_chieu</t>
        </is>
      </c>
      <c r="I630" s="16" t="inlineStr">
        <is>
          <t>Đạt</t>
        </is>
      </c>
      <c r="J630" s="16" t="n">
        <v>0.014</v>
      </c>
    </row>
    <row r="631">
      <c r="A631" s="16" t="n">
        <v>627</v>
      </c>
      <c r="B631" s="16" t="inlineStr">
        <is>
          <t>Backend</t>
        </is>
      </c>
      <c r="C631" s="17" t="inlineStr">
        <is>
          <t>ai-chatbox-service</t>
        </is>
      </c>
      <c r="D631" s="16" t="inlineStr">
        <is>
          <t>Unit</t>
        </is>
      </c>
      <c r="E631" s="17" t="inlineStr">
        <is>
          <t>EmbeddingProviderSelectionTest</t>
        </is>
      </c>
      <c r="F631" s="17" t="inlineStr"/>
      <c r="G631" s="17" t="inlineStr">
        <is>
          <t>thieu han thi dung ollama</t>
        </is>
      </c>
      <c r="H631" s="17" t="inlineStr">
        <is>
          <t>thieu_han_thi_dung_ollama</t>
        </is>
      </c>
      <c r="I631" s="16" t="inlineStr">
        <is>
          <t>Đạt</t>
        </is>
      </c>
      <c r="J631" s="16" t="n">
        <v>0.93</v>
      </c>
    </row>
    <row r="632">
      <c r="A632" s="16" t="n">
        <v>628</v>
      </c>
      <c r="B632" s="16" t="inlineStr">
        <is>
          <t>Backend</t>
        </is>
      </c>
      <c r="C632" s="17" t="inlineStr">
        <is>
          <t>ai-chatbox-service</t>
        </is>
      </c>
      <c r="D632" s="16" t="inlineStr">
        <is>
          <t>Unit</t>
        </is>
      </c>
      <c r="E632" s="17" t="inlineStr">
        <is>
          <t>EmbeddingProviderSelectionTest</t>
        </is>
      </c>
      <c r="F632" s="17" t="inlineStr"/>
      <c r="G632" s="17" t="inlineStr">
        <is>
          <t>rong thi dung ollama nhu khi thieu han</t>
        </is>
      </c>
      <c r="H632" s="17" t="inlineStr">
        <is>
          <t>rong_thi_dung_ollama_nhu_khi_thieu_han</t>
        </is>
      </c>
      <c r="I632" s="16" t="inlineStr">
        <is>
          <t>Đạt</t>
        </is>
      </c>
      <c r="J632" s="16" t="n">
        <v>0.08599999999999999</v>
      </c>
    </row>
    <row r="633">
      <c r="A633" s="16" t="n">
        <v>629</v>
      </c>
      <c r="B633" s="16" t="inlineStr">
        <is>
          <t>Backend</t>
        </is>
      </c>
      <c r="C633" s="17" t="inlineStr">
        <is>
          <t>ai-chatbox-service</t>
        </is>
      </c>
      <c r="D633" s="16" t="inlineStr">
        <is>
          <t>Unit</t>
        </is>
      </c>
      <c r="E633" s="17" t="inlineStr">
        <is>
          <t>EmbeddingProviderSelectionTest</t>
        </is>
      </c>
      <c r="F633" s="17" t="inlineStr"/>
      <c r="G633" s="17" t="inlineStr">
        <is>
          <t>anthropic thi dung voyage</t>
        </is>
      </c>
      <c r="H633" s="17" t="inlineStr">
        <is>
          <t>anthropic_thi_dung_voyage</t>
        </is>
      </c>
      <c r="I633" s="16" t="inlineStr">
        <is>
          <t>Đạt</t>
        </is>
      </c>
      <c r="J633" s="16" t="n">
        <v>0.082</v>
      </c>
    </row>
    <row r="634">
      <c r="A634" s="16" t="n">
        <v>630</v>
      </c>
      <c r="B634" s="16" t="inlineStr">
        <is>
          <t>Backend</t>
        </is>
      </c>
      <c r="C634" s="17" t="inlineStr">
        <is>
          <t>ai-chatbox-service</t>
        </is>
      </c>
      <c r="D634" s="16" t="inlineStr">
        <is>
          <t>Unit</t>
        </is>
      </c>
      <c r="E634" s="17" t="inlineStr">
        <is>
          <t>EmbeddingProviderSelectionTest</t>
        </is>
      </c>
      <c r="F634" s="17" t="inlineStr"/>
      <c r="G634" s="17" t="inlineStr">
        <is>
          <t>none thi tat nhung VAN co mot bean</t>
        </is>
      </c>
      <c r="H634" s="17" t="inlineStr">
        <is>
          <t>none_thi_tat_nhung_VAN_co_mot_bean</t>
        </is>
      </c>
      <c r="I634" s="16" t="inlineStr">
        <is>
          <t>Đạt</t>
        </is>
      </c>
      <c r="J634" s="16" t="n">
        <v>0.048</v>
      </c>
    </row>
    <row r="635">
      <c r="A635" s="16" t="n">
        <v>631</v>
      </c>
      <c r="B635" s="16" t="inlineStr">
        <is>
          <t>Backend</t>
        </is>
      </c>
      <c r="C635" s="17" t="inlineStr">
        <is>
          <t>ai-chatbox-service</t>
        </is>
      </c>
      <c r="D635" s="16" t="inlineStr">
        <is>
          <t>Unit</t>
        </is>
      </c>
      <c r="E635" s="17" t="inlineStr">
        <is>
          <t>EmbeddingProviderSelectionTest</t>
        </is>
      </c>
      <c r="F635" s="17" t="inlineStr"/>
      <c r="G635" s="17" t="inlineStr">
        <is>
          <t>local thi dung ollama</t>
        </is>
      </c>
      <c r="H635" s="17" t="inlineStr">
        <is>
          <t>local_thi_dung_ollama</t>
        </is>
      </c>
      <c r="I635" s="16" t="inlineStr">
        <is>
          <t>Đạt</t>
        </is>
      </c>
      <c r="J635" s="16" t="n">
        <v>0.055</v>
      </c>
    </row>
    <row r="636">
      <c r="A636" s="16" t="n">
        <v>632</v>
      </c>
      <c r="B636" s="16" t="inlineStr">
        <is>
          <t>Backend</t>
        </is>
      </c>
      <c r="C636" s="17" t="inlineStr">
        <is>
          <t>ai-chatbox-service</t>
        </is>
      </c>
      <c r="D636" s="16" t="inlineStr">
        <is>
          <t>Unit</t>
        </is>
      </c>
      <c r="E636" s="17" t="inlineStr">
        <is>
          <t>CatalogHttpAdapterTest › FindEventBySlug</t>
        </is>
      </c>
      <c r="F636" s="17" t="inlineStr">
        <is>
          <t>findEventBySlug</t>
        </is>
      </c>
      <c r="G636" s="17" t="inlineStr">
        <is>
          <t>sự kiện không có suất hoặc suất không có hạng vé thì là danh sách rỗng, không NPE</t>
        </is>
      </c>
      <c r="H636" s="17" t="inlineStr">
        <is>
          <t>khong_co_suat_hoac_hang_ve</t>
        </is>
      </c>
      <c r="I636" s="16" t="inlineStr">
        <is>
          <t>Đạt</t>
        </is>
      </c>
      <c r="J636" s="16" t="n">
        <v>0.06</v>
      </c>
    </row>
    <row r="637">
      <c r="A637" s="16" t="n">
        <v>633</v>
      </c>
      <c r="B637" s="16" t="inlineStr">
        <is>
          <t>Backend</t>
        </is>
      </c>
      <c r="C637" s="17" t="inlineStr">
        <is>
          <t>ai-chatbox-service</t>
        </is>
      </c>
      <c r="D637" s="16" t="inlineStr">
        <is>
          <t>Unit</t>
        </is>
      </c>
      <c r="E637" s="17" t="inlineStr">
        <is>
          <t>CatalogHttpAdapterTest › FindEventBySlug</t>
        </is>
      </c>
      <c r="F637" s="17" t="inlineStr">
        <is>
          <t>findEventBySlug</t>
        </is>
      </c>
      <c r="G637" s="17" t="inlineStr">
        <is>
          <t>slug có ký tự đặc biệt được mã hoá trong đường dẫn, không thoát ra khỏi /v1/events/</t>
        </is>
      </c>
      <c r="H637" s="17" t="inlineStr">
        <is>
          <t>slug_duoc_ma_hoa</t>
        </is>
      </c>
      <c r="I637" s="16" t="inlineStr">
        <is>
          <t>Đạt</t>
        </is>
      </c>
      <c r="J637" s="16" t="n">
        <v>0.013</v>
      </c>
    </row>
    <row r="638">
      <c r="A638" s="16" t="n">
        <v>634</v>
      </c>
      <c r="B638" s="16" t="inlineStr">
        <is>
          <t>Backend</t>
        </is>
      </c>
      <c r="C638" s="17" t="inlineStr">
        <is>
          <t>ai-chatbox-service</t>
        </is>
      </c>
      <c r="D638" s="16" t="inlineStr">
        <is>
          <t>Unit</t>
        </is>
      </c>
      <c r="E638" s="17" t="inlineStr">
        <is>
          <t>CatalogHttpAdapterTest › FindEventBySlug</t>
        </is>
      </c>
      <c r="F638" s="17" t="inlineStr">
        <is>
          <t>findEventBySlug</t>
        </is>
      </c>
      <c r="G638" s="17" t="inlineStr">
        <is>
          <t>ánh xạ đủ trường, suất và hạng vé</t>
        </is>
      </c>
      <c r="H638" s="17" t="inlineStr">
        <is>
          <t>anh_xa_day_du</t>
        </is>
      </c>
      <c r="I638" s="16" t="inlineStr">
        <is>
          <t>Đạt</t>
        </is>
      </c>
      <c r="J638" s="16" t="n">
        <v>0.035</v>
      </c>
    </row>
    <row r="639">
      <c r="A639" s="16" t="n">
        <v>635</v>
      </c>
      <c r="B639" s="16" t="inlineStr">
        <is>
          <t>Backend</t>
        </is>
      </c>
      <c r="C639" s="17" t="inlineStr">
        <is>
          <t>ai-chatbox-service</t>
        </is>
      </c>
      <c r="D639" s="16" t="inlineStr">
        <is>
          <t>Unit</t>
        </is>
      </c>
      <c r="E639" s="17" t="inlineStr">
        <is>
          <t>CatalogHttpAdapterTest › FindEventBySlug</t>
        </is>
      </c>
      <c r="F639" s="17" t="inlineStr">
        <is>
          <t>findEventBySlug</t>
        </is>
      </c>
      <c r="G639" s="17" t="inlineStr">
        <is>
          <t>mạng đứt là RemoteCallException</t>
        </is>
      </c>
      <c r="H639" s="17" t="inlineStr">
        <is>
          <t>mang_dut</t>
        </is>
      </c>
      <c r="I639" s="16" t="inlineStr">
        <is>
          <t>Đạt</t>
        </is>
      </c>
      <c r="J639" s="16" t="n">
        <v>0.018</v>
      </c>
    </row>
    <row r="640">
      <c r="A640" s="16" t="n">
        <v>636</v>
      </c>
      <c r="B640" s="16" t="inlineStr">
        <is>
          <t>Backend</t>
        </is>
      </c>
      <c r="C640" s="17" t="inlineStr">
        <is>
          <t>ai-chatbox-service</t>
        </is>
      </c>
      <c r="D640" s="16" t="inlineStr">
        <is>
          <t>Unit</t>
        </is>
      </c>
      <c r="E640" s="17" t="inlineStr">
        <is>
          <t>CatalogHttpAdapterTest › FindEventBySlug</t>
        </is>
      </c>
      <c r="F640" s="17" t="inlineStr">
        <is>
          <t>findEventBySlug</t>
        </is>
      </c>
      <c r="G640" s="17" t="inlineStr">
        <is>
          <t>body rỗng ở 200 thì là rỗng</t>
        </is>
      </c>
      <c r="H640" s="17" t="inlineStr">
        <is>
          <t>body_rong_la_rong</t>
        </is>
      </c>
      <c r="I640" s="16" t="inlineStr">
        <is>
          <t>Đạt</t>
        </is>
      </c>
      <c r="J640" s="16" t="n">
        <v>0.014</v>
      </c>
    </row>
    <row r="641">
      <c r="A641" s="16" t="n">
        <v>637</v>
      </c>
      <c r="B641" s="16" t="inlineStr">
        <is>
          <t>Backend</t>
        </is>
      </c>
      <c r="C641" s="17" t="inlineStr">
        <is>
          <t>ai-chatbox-service</t>
        </is>
      </c>
      <c r="D641" s="16" t="inlineStr">
        <is>
          <t>Unit</t>
        </is>
      </c>
      <c r="E641" s="17" t="inlineStr">
        <is>
          <t>CatalogHttpAdapterTest › FindEventBySlug</t>
        </is>
      </c>
      <c r="F641" s="17" t="inlineStr">
        <is>
          <t>findEventBySlug</t>
        </is>
      </c>
      <c r="G641" s="17" t="inlineStr">
        <is>
          <t>5xx và 401 là RemoteCallException, KHÁC với 404</t>
        </is>
      </c>
      <c r="H641" s="17" t="inlineStr">
        <is>
          <t>loi_ha_tang</t>
        </is>
      </c>
      <c r="I641" s="16" t="inlineStr">
        <is>
          <t>Đạt</t>
        </is>
      </c>
      <c r="J641" s="16" t="n">
        <v>0.048</v>
      </c>
    </row>
    <row r="642">
      <c r="A642" s="16" t="n">
        <v>638</v>
      </c>
      <c r="B642" s="16" t="inlineStr">
        <is>
          <t>Backend</t>
        </is>
      </c>
      <c r="C642" s="17" t="inlineStr">
        <is>
          <t>ai-chatbox-service</t>
        </is>
      </c>
      <c r="D642" s="16" t="inlineStr">
        <is>
          <t>Unit</t>
        </is>
      </c>
      <c r="E642" s="17" t="inlineStr">
        <is>
          <t>CatalogHttpAdapterTest › FindEventBySlug</t>
        </is>
      </c>
      <c r="F642" s="17" t="inlineStr">
        <is>
          <t>findEventBySlug</t>
        </is>
      </c>
      <c r="G642" s="17" t="inlineStr">
        <is>
          <t>404 là đường đi bình thường (mô hình đoán sai slug): trả rỗng, không ném</t>
        </is>
      </c>
      <c r="H642" s="17" t="inlineStr">
        <is>
          <t>khong_co_slug_la_rong</t>
        </is>
      </c>
      <c r="I642" s="16" t="inlineStr">
        <is>
          <t>Đạt</t>
        </is>
      </c>
      <c r="J642" s="16" t="n">
        <v>0.011</v>
      </c>
    </row>
    <row r="643">
      <c r="A643" s="16" t="n">
        <v>639</v>
      </c>
      <c r="B643" s="16" t="inlineStr">
        <is>
          <t>Backend</t>
        </is>
      </c>
      <c r="C643" s="17" t="inlineStr">
        <is>
          <t>ai-chatbox-service</t>
        </is>
      </c>
      <c r="D643" s="16" t="inlineStr">
        <is>
          <t>Unit</t>
        </is>
      </c>
      <c r="E643" s="17" t="inlineStr">
        <is>
          <t>CatalogHttpAdapterTest › FindZoneAdmission</t>
        </is>
      </c>
      <c r="F643" s="17" t="inlineStr">
        <is>
          <t>findZoneAdmission</t>
        </is>
      </c>
      <c r="G643" s="17" t="inlineStr">
        <is>
          <t>sơ đồ không có zones hoặc body rỗng thì rỗng</t>
        </is>
      </c>
      <c r="H643" s="17" t="inlineStr">
        <is>
          <t>khong_co_zones</t>
        </is>
      </c>
      <c r="I643" s="16" t="inlineStr">
        <is>
          <t>Đạt</t>
        </is>
      </c>
      <c r="J643" s="16" t="n">
        <v>0.074</v>
      </c>
    </row>
    <row r="644">
      <c r="A644" s="16" t="n">
        <v>640</v>
      </c>
      <c r="B644" s="16" t="inlineStr">
        <is>
          <t>Backend</t>
        </is>
      </c>
      <c r="C644" s="17" t="inlineStr">
        <is>
          <t>ai-chatbox-service</t>
        </is>
      </c>
      <c r="D644" s="16" t="inlineStr">
        <is>
          <t>Unit</t>
        </is>
      </c>
      <c r="E644" s="17" t="inlineStr">
        <is>
          <t>CatalogHttpAdapterTest › FindZoneAdmission</t>
        </is>
      </c>
      <c r="F644" s="17" t="inlineStr">
        <is>
          <t>findZoneAdmission</t>
        </is>
      </c>
      <c r="G644" s="17" t="inlineStr">
        <is>
          <t>404 là rỗng, còn 5xx và mạng đứt là RemoteCallException</t>
        </is>
      </c>
      <c r="H644" s="17" t="inlineStr">
        <is>
          <t>ma_loi</t>
        </is>
      </c>
      <c r="I644" s="16" t="inlineStr">
        <is>
          <t>Đạt</t>
        </is>
      </c>
      <c r="J644" s="16" t="n">
        <v>0.055</v>
      </c>
    </row>
    <row r="645">
      <c r="A645" s="16" t="n">
        <v>641</v>
      </c>
      <c r="B645" s="16" t="inlineStr">
        <is>
          <t>Backend</t>
        </is>
      </c>
      <c r="C645" s="17" t="inlineStr">
        <is>
          <t>ai-chatbox-service</t>
        </is>
      </c>
      <c r="D645" s="16" t="inlineStr">
        <is>
          <t>Unit</t>
        </is>
      </c>
      <c r="E645" s="17" t="inlineStr">
        <is>
          <t>CatalogHttpAdapterTest › FindZoneAdmission</t>
        </is>
      </c>
      <c r="F645" s="17" t="inlineStr">
        <is>
          <t>findZoneAdmission</t>
        </is>
      </c>
      <c r="G645" s="17" t="inlineStr">
        <is>
          <t>kind lạ hoặc khu không có trong sơ đồ thì rỗng — tool giữ chỗ sẽ mời khách sang web</t>
        </is>
      </c>
      <c r="H645" s="17" t="inlineStr">
        <is>
          <t>kind_la_hoac_khu_la</t>
        </is>
      </c>
      <c r="I645" s="16" t="inlineStr">
        <is>
          <t>Đạt</t>
        </is>
      </c>
      <c r="J645" s="16" t="n">
        <v>0.026</v>
      </c>
    </row>
    <row r="646">
      <c r="A646" s="16" t="n">
        <v>642</v>
      </c>
      <c r="B646" s="16" t="inlineStr">
        <is>
          <t>Backend</t>
        </is>
      </c>
      <c r="C646" s="17" t="inlineStr">
        <is>
          <t>ai-chatbox-service</t>
        </is>
      </c>
      <c r="D646" s="16" t="inlineStr">
        <is>
          <t>Unit</t>
        </is>
      </c>
      <c r="E646" s="17" t="inlineStr">
        <is>
          <t>CatalogHttpAdapterTest › FindZoneAdmission</t>
        </is>
      </c>
      <c r="F646" s="17" t="inlineStr">
        <is>
          <t>findZoneAdmission</t>
        </is>
      </c>
      <c r="G646" s="17" t="inlineStr">
        <is>
          <t>đọc loại khu từ sơ đồ công khai, không phân biệt hoa thường ở cả mã khu lẫn kind</t>
        </is>
      </c>
      <c r="H646" s="17" t="inlineStr">
        <is>
          <t>doc_loai_khu</t>
        </is>
      </c>
      <c r="I646" s="16" t="inlineStr">
        <is>
          <t>Đạt</t>
        </is>
      </c>
      <c r="J646" s="16" t="n">
        <v>0.023</v>
      </c>
    </row>
    <row r="647">
      <c r="A647" s="16" t="n">
        <v>643</v>
      </c>
      <c r="B647" s="16" t="inlineStr">
        <is>
          <t>Backend</t>
        </is>
      </c>
      <c r="C647" s="17" t="inlineStr">
        <is>
          <t>ai-chatbox-service</t>
        </is>
      </c>
      <c r="D647" s="16" t="inlineStr">
        <is>
          <t>Unit</t>
        </is>
      </c>
      <c r="E647" s="17" t="inlineStr">
        <is>
          <t>CatalogHttpAdapterTest › SearchEvents</t>
        </is>
      </c>
      <c r="F647" s="17" t="inlineStr">
        <is>
          <t>searchEvents</t>
        </is>
      </c>
      <c r="G647" s="17" t="inlineStr">
        <is>
          <t>tham số rỗng hoặc toàn khoảng trắng KHÔNG được gửi — query= khác hẳn không có query</t>
        </is>
      </c>
      <c r="H647" s="17" t="inlineStr">
        <is>
          <t>tham_so_rong_khong_duoc_gui</t>
        </is>
      </c>
      <c r="I647" s="16" t="inlineStr">
        <is>
          <t>Đạt</t>
        </is>
      </c>
      <c r="J647" s="16" t="n">
        <v>0.032</v>
      </c>
    </row>
    <row r="648">
      <c r="A648" s="16" t="n">
        <v>644</v>
      </c>
      <c r="B648" s="16" t="inlineStr">
        <is>
          <t>Backend</t>
        </is>
      </c>
      <c r="C648" s="17" t="inlineStr">
        <is>
          <t>ai-chatbox-service</t>
        </is>
      </c>
      <c r="D648" s="16" t="inlineStr">
        <is>
          <t>Unit</t>
        </is>
      </c>
      <c r="E648" s="17" t="inlineStr">
        <is>
          <t>CatalogHttpAdapterTest › SearchEvents</t>
        </is>
      </c>
      <c r="F648" s="17" t="inlineStr">
        <is>
          <t>searchEvents</t>
        </is>
      </c>
      <c r="G648" s="17" t="inlineStr">
        <is>
          <t>ánh xạ thẻ sự kiện sang EventBrief, bỏ qua trường lạ</t>
        </is>
      </c>
      <c r="H648" s="17" t="inlineStr">
        <is>
          <t>anh_xa_the_su_kien</t>
        </is>
      </c>
      <c r="I648" s="16" t="inlineStr">
        <is>
          <t>Đạt</t>
        </is>
      </c>
      <c r="J648" s="16" t="n">
        <v>0.02</v>
      </c>
    </row>
    <row r="649">
      <c r="A649" s="16" t="n">
        <v>645</v>
      </c>
      <c r="B649" s="16" t="inlineStr">
        <is>
          <t>Backend</t>
        </is>
      </c>
      <c r="C649" s="17" t="inlineStr">
        <is>
          <t>ai-chatbox-service</t>
        </is>
      </c>
      <c r="D649" s="16" t="inlineStr">
        <is>
          <t>Unit</t>
        </is>
      </c>
      <c r="E649" s="17" t="inlineStr">
        <is>
          <t>CatalogHttpAdapterTest › SearchEvents</t>
        </is>
      </c>
      <c r="F649" s="17" t="inlineStr">
        <is>
          <t>searchEvents</t>
        </is>
      </c>
      <c r="G649" s="17" t="inlineStr">
        <is>
          <t>body rỗng hoặc không có items thì là danh sách rỗng, không ném</t>
        </is>
      </c>
      <c r="H649" s="17" t="inlineStr">
        <is>
          <t>body_rong_la_danh_sach_rong</t>
        </is>
      </c>
      <c r="I649" s="16" t="inlineStr">
        <is>
          <t>Đạt</t>
        </is>
      </c>
      <c r="J649" s="16" t="n">
        <v>0.07199999999999999</v>
      </c>
    </row>
    <row r="650">
      <c r="A650" s="16" t="n">
        <v>646</v>
      </c>
      <c r="B650" s="16" t="inlineStr">
        <is>
          <t>Backend</t>
        </is>
      </c>
      <c r="C650" s="17" t="inlineStr">
        <is>
          <t>ai-chatbox-service</t>
        </is>
      </c>
      <c r="D650" s="16" t="inlineStr">
        <is>
          <t>Unit</t>
        </is>
      </c>
      <c r="E650" s="17" t="inlineStr">
        <is>
          <t>CatalogHttpAdapterTest › SearchEvents</t>
        </is>
      </c>
      <c r="F650" s="17" t="inlineStr">
        <is>
          <t>searchEvents</t>
        </is>
      </c>
      <c r="G650" s="17" t="inlineStr">
        <is>
          <t>mạng đứt hoặc JSON hỏng thành RemoteCallException mang nguyên nhân gốc</t>
        </is>
      </c>
      <c r="H650" s="17" t="inlineStr">
        <is>
          <t>mang_dut_va_json_hong</t>
        </is>
      </c>
      <c r="I650" s="16" t="inlineStr">
        <is>
          <t>Đạt</t>
        </is>
      </c>
      <c r="J650" s="16" t="n">
        <v>0.043</v>
      </c>
    </row>
    <row r="651">
      <c r="A651" s="16" t="n">
        <v>647</v>
      </c>
      <c r="B651" s="16" t="inlineStr">
        <is>
          <t>Backend</t>
        </is>
      </c>
      <c r="C651" s="17" t="inlineStr">
        <is>
          <t>ai-chatbox-service</t>
        </is>
      </c>
      <c r="D651" s="16" t="inlineStr">
        <is>
          <t>Unit</t>
        </is>
      </c>
      <c r="E651" s="17" t="inlineStr">
        <is>
          <t>CatalogHttpAdapterTest › SearchEvents</t>
        </is>
      </c>
      <c r="F651" s="17" t="inlineStr">
        <is>
          <t>searchEvents</t>
        </is>
      </c>
      <c r="G651" s="17" t="inlineStr">
        <is>
          <t>non-2xx thành RemoteCallException có tên service, và không thử lại</t>
        </is>
      </c>
      <c r="H651" s="17" t="inlineStr">
        <is>
          <t>non_2xx_thanh_remote_call_exception</t>
        </is>
      </c>
      <c r="I651" s="16" t="inlineStr">
        <is>
          <t>Đạt</t>
        </is>
      </c>
      <c r="J651" s="16" t="n">
        <v>0.076</v>
      </c>
    </row>
    <row r="652">
      <c r="A652" s="16" t="n">
        <v>648</v>
      </c>
      <c r="B652" s="16" t="inlineStr">
        <is>
          <t>Backend</t>
        </is>
      </c>
      <c r="C652" s="17" t="inlineStr">
        <is>
          <t>ai-chatbox-service</t>
        </is>
      </c>
      <c r="D652" s="16" t="inlineStr">
        <is>
          <t>Unit</t>
        </is>
      </c>
      <c r="E652" s="17" t="inlineStr">
        <is>
          <t>CatalogHttpAdapterTest › SearchEvents</t>
        </is>
      </c>
      <c r="F652" s="17" t="inlineStr">
        <is>
          <t>searchEvents</t>
        </is>
      </c>
      <c r="G652" s="17" t="inlineStr">
        <is>
          <t>limit bị chặn trong [1, 8] dù mô hình xin bao nhiêu</t>
        </is>
      </c>
      <c r="H652" s="17" t="inlineStr">
        <is>
          <t>limit_bi_chan</t>
        </is>
      </c>
      <c r="I652" s="16" t="inlineStr">
        <is>
          <t>Đạt</t>
        </is>
      </c>
      <c r="J652" s="16" t="n">
        <v>0.033</v>
      </c>
    </row>
    <row r="653">
      <c r="A653" s="16" t="n">
        <v>649</v>
      </c>
      <c r="B653" s="16" t="inlineStr">
        <is>
          <t>Backend</t>
        </is>
      </c>
      <c r="C653" s="17" t="inlineStr">
        <is>
          <t>ai-chatbox-service</t>
        </is>
      </c>
      <c r="D653" s="16" t="inlineStr">
        <is>
          <t>Unit</t>
        </is>
      </c>
      <c r="E653" s="17" t="inlineStr">
        <is>
          <t>CatalogHttpAdapterTest › SearchEvents</t>
        </is>
      </c>
      <c r="F653" s="17" t="inlineStr">
        <is>
          <t>searchEvents</t>
        </is>
      </c>
      <c r="G653" s="17" t="inlineStr">
        <is>
          <t>lần thử lại giữ nguyên city và category</t>
        </is>
      </c>
      <c r="H653" s="17" t="inlineStr">
        <is>
          <t>thu_lai_giu_bo_loc</t>
        </is>
      </c>
      <c r="I653" s="16" t="inlineStr">
        <is>
          <t>Đạt</t>
        </is>
      </c>
      <c r="J653" s="16" t="n">
        <v>0.019</v>
      </c>
    </row>
    <row r="654">
      <c r="A654" s="16" t="n">
        <v>650</v>
      </c>
      <c r="B654" s="16" t="inlineStr">
        <is>
          <t>Backend</t>
        </is>
      </c>
      <c r="C654" s="17" t="inlineStr">
        <is>
          <t>ai-chatbox-service</t>
        </is>
      </c>
      <c r="D654" s="16" t="inlineStr">
        <is>
          <t>Unit</t>
        </is>
      </c>
      <c r="E654" s="17" t="inlineStr">
        <is>
          <t>CatalogHttpAdapterTest › SearchEvents</t>
        </is>
      </c>
      <c r="F654" s="17" t="inlineStr">
        <is>
          <t>searchEvents</t>
        </is>
      </c>
      <c r="G654" s="17" t="inlineStr">
        <is>
          <t>tham số có giá trị được cắt khoảng trắng và mã hoá URL</t>
        </is>
      </c>
      <c r="H654" s="17" t="inlineStr">
        <is>
          <t>tham_so_duoc_cat_va_ma_hoa</t>
        </is>
      </c>
      <c r="I654" s="16" t="inlineStr">
        <is>
          <t>Đạt</t>
        </is>
      </c>
      <c r="J654" s="16" t="n">
        <v>0.018</v>
      </c>
    </row>
    <row r="655">
      <c r="A655" s="16" t="n">
        <v>651</v>
      </c>
      <c r="B655" s="16" t="inlineStr">
        <is>
          <t>Backend</t>
        </is>
      </c>
      <c r="C655" s="17" t="inlineStr">
        <is>
          <t>ai-chatbox-service</t>
        </is>
      </c>
      <c r="D655" s="16" t="inlineStr">
        <is>
          <t>Unit</t>
        </is>
      </c>
      <c r="E655" s="17" t="inlineStr">
        <is>
          <t>CatalogHttpAdapterTest › SearchEvents</t>
        </is>
      </c>
      <c r="F655" s="17" t="inlineStr">
        <is>
          <t>searchEvents</t>
        </is>
      </c>
      <c r="G655" s="17" t="inlineStr">
        <is>
          <t>từ khoá một chữ hoặc toàn từ ngắn thì không thử lại — lần hai cho cùng kết quả rỗng</t>
        </is>
      </c>
      <c r="H655" s="17" t="inlineStr">
        <is>
          <t>khong_thu_lai_khi_khong_ich</t>
        </is>
      </c>
      <c r="I655" s="16" t="inlineStr">
        <is>
          <t>Đạt</t>
        </is>
      </c>
      <c r="J655" s="16" t="n">
        <v>0.025</v>
      </c>
    </row>
    <row r="656">
      <c r="A656" s="16" t="n">
        <v>652</v>
      </c>
      <c r="B656" s="16" t="inlineStr">
        <is>
          <t>Backend</t>
        </is>
      </c>
      <c r="C656" s="17" t="inlineStr">
        <is>
          <t>ai-chatbox-service</t>
        </is>
      </c>
      <c r="D656" s="16" t="inlineStr">
        <is>
          <t>Unit</t>
        </is>
      </c>
      <c r="E656" s="17" t="inlineStr">
        <is>
          <t>CatalogHttpAdapterTest › SearchEvents</t>
        </is>
      </c>
      <c r="F656" s="17" t="inlineStr">
        <is>
          <t>searchEvents</t>
        </is>
      </c>
      <c r="G656" s="17" t="inlineStr">
        <is>
          <t>không ra gì thì thử lại đúng một lần bằng từ dài nhất trong câu</t>
        </is>
      </c>
      <c r="H656" s="17" t="inlineStr">
        <is>
          <t>thu_lai_bang_tu_dai_nhat</t>
        </is>
      </c>
      <c r="I656" s="16" t="inlineStr">
        <is>
          <t>Đạt</t>
        </is>
      </c>
      <c r="J656" s="16" t="n">
        <v>0.022</v>
      </c>
    </row>
    <row r="657">
      <c r="A657" s="16" t="n">
        <v>653</v>
      </c>
      <c r="B657" s="16" t="inlineStr">
        <is>
          <t>Backend</t>
        </is>
      </c>
      <c r="C657" s="17" t="inlineStr">
        <is>
          <t>ai-chatbox-service</t>
        </is>
      </c>
      <c r="D657" s="16" t="inlineStr">
        <is>
          <t>Unit</t>
        </is>
      </c>
      <c r="E657" s="17" t="inlineStr">
        <is>
          <t>IdentityHttpAdaptersTest › Credentials</t>
        </is>
      </c>
      <c r="F657" s="17" t="inlineStr">
        <is>
          <t>SecurityContextCallerCredentials</t>
        </is>
      </c>
      <c r="G657" s="17" t="inlineStr">
        <is>
          <t>chạy ngoài request đã xác thực thì ném IllegalStateException thay vì gọi bằng quyền của service</t>
        </is>
      </c>
      <c r="H657" s="17" t="inlineStr">
        <is>
          <t>khong_co_jwt_thi_nem</t>
        </is>
      </c>
      <c r="I657" s="16" t="inlineStr">
        <is>
          <t>Đạt</t>
        </is>
      </c>
      <c r="J657" s="16" t="n">
        <v>0.011</v>
      </c>
    </row>
    <row r="658">
      <c r="A658" s="16" t="n">
        <v>654</v>
      </c>
      <c r="B658" s="16" t="inlineStr">
        <is>
          <t>Backend</t>
        </is>
      </c>
      <c r="C658" s="17" t="inlineStr">
        <is>
          <t>ai-chatbox-service</t>
        </is>
      </c>
      <c r="D658" s="16" t="inlineStr">
        <is>
          <t>Unit</t>
        </is>
      </c>
      <c r="E658" s="17" t="inlineStr">
        <is>
          <t>IdentityHttpAdaptersTest › Credentials</t>
        </is>
      </c>
      <c r="F658" s="17" t="inlineStr">
        <is>
          <t>SecurityContextCallerCredentials</t>
        </is>
      </c>
      <c r="G658" s="17" t="inlineStr">
        <is>
          <t>lấy đúng giá trị access token từ JWT của request đang chạy</t>
        </is>
      </c>
      <c r="H658" s="17" t="inlineStr">
        <is>
          <t>lay_token_tu_jwt</t>
        </is>
      </c>
      <c r="I658" s="16" t="inlineStr">
        <is>
          <t>Đạt</t>
        </is>
      </c>
      <c r="J658" s="16" t="n">
        <v>0.008999999999999999</v>
      </c>
    </row>
    <row r="659">
      <c r="A659" s="16" t="n">
        <v>655</v>
      </c>
      <c r="B659" s="16" t="inlineStr">
        <is>
          <t>Backend</t>
        </is>
      </c>
      <c r="C659" s="17" t="inlineStr">
        <is>
          <t>ai-chatbox-service</t>
        </is>
      </c>
      <c r="D659" s="16" t="inlineStr">
        <is>
          <t>Unit</t>
        </is>
      </c>
      <c r="E659" s="17" t="inlineStr">
        <is>
          <t>IdentityHttpAdaptersTest › Lookup</t>
        </is>
      </c>
      <c r="F659" s="17" t="inlineStr">
        <is>
          <t>IdentityHttpAdapter (tra tên người trực, có cache)</t>
        </is>
      </c>
      <c r="G659" s="17" t="inlineStr">
        <is>
          <t>tra tên gọi /internal/users/{id}, ưu tiên fullName đã cắt khoảng trắng</t>
        </is>
      </c>
      <c r="H659" s="17" t="inlineStr">
        <is>
          <t>tra_ten</t>
        </is>
      </c>
      <c r="I659" s="16" t="inlineStr">
        <is>
          <t>Đạt</t>
        </is>
      </c>
      <c r="J659" s="16" t="n">
        <v>0.014</v>
      </c>
    </row>
    <row r="660">
      <c r="A660" s="16" t="n">
        <v>656</v>
      </c>
      <c r="B660" s="16" t="inlineStr">
        <is>
          <t>Backend</t>
        </is>
      </c>
      <c r="C660" s="17" t="inlineStr">
        <is>
          <t>ai-chatbox-service</t>
        </is>
      </c>
      <c r="D660" s="16" t="inlineStr">
        <is>
          <t>Unit</t>
        </is>
      </c>
      <c r="E660" s="17" t="inlineStr">
        <is>
          <t>IdentityHttpAdaptersTest › Lookup</t>
        </is>
      </c>
      <c r="F660" s="17" t="inlineStr">
        <is>
          <t>IdentityHttpAdapter (tra tên người trực, có cache)</t>
        </is>
      </c>
      <c r="G660" s="17" t="inlineStr">
        <is>
          <t>fullName trống thì lùi về phần trước @ của email — không hiện email đầy đủ</t>
        </is>
      </c>
      <c r="H660" s="17" t="inlineStr">
        <is>
          <t>lui_ve_email</t>
        </is>
      </c>
      <c r="I660" s="16" t="inlineStr">
        <is>
          <t>Đạt</t>
        </is>
      </c>
      <c r="J660" s="16" t="n">
        <v>0.012</v>
      </c>
    </row>
    <row r="661">
      <c r="A661" s="16" t="n">
        <v>657</v>
      </c>
      <c r="B661" s="16" t="inlineStr">
        <is>
          <t>Backend</t>
        </is>
      </c>
      <c r="C661" s="17" t="inlineStr">
        <is>
          <t>ai-chatbox-service</t>
        </is>
      </c>
      <c r="D661" s="16" t="inlineStr">
        <is>
          <t>Unit</t>
        </is>
      </c>
      <c r="E661" s="17" t="inlineStr">
        <is>
          <t>IdentityHttpAdaptersTest › Lookup</t>
        </is>
      </c>
      <c r="F661" s="17" t="inlineStr">
        <is>
          <t>IdentityHttpAdapter (tra tên người trực, có cache)</t>
        </is>
      </c>
      <c r="G661" s="17" t="inlineStr">
        <is>
          <t>contactOf lỗi thì rỗng, không ném</t>
        </is>
      </c>
      <c r="H661" s="17" t="inlineStr">
        <is>
          <t>contact_loi</t>
        </is>
      </c>
      <c r="I661" s="16" t="inlineStr">
        <is>
          <t>Đạt</t>
        </is>
      </c>
      <c r="J661" s="16" t="n">
        <v>0.028</v>
      </c>
    </row>
    <row r="662">
      <c r="A662" s="16" t="n">
        <v>658</v>
      </c>
      <c r="B662" s="16" t="inlineStr">
        <is>
          <t>Backend</t>
        </is>
      </c>
      <c r="C662" s="17" t="inlineStr">
        <is>
          <t>ai-chatbox-service</t>
        </is>
      </c>
      <c r="D662" s="16" t="inlineStr">
        <is>
          <t>Unit</t>
        </is>
      </c>
      <c r="E662" s="17" t="inlineStr">
        <is>
          <t>IdentityHttpAdaptersTest › Lookup</t>
        </is>
      </c>
      <c r="F662" s="17" t="inlineStr">
        <is>
          <t>IdentityHttpAdapter (tra tên người trực, có cache)</t>
        </is>
      </c>
      <c r="G662" s="17" t="inlineStr">
        <is>
          <t>không có cả tên lẫn email thì rỗng, và KHÔNG được nhớ — lần sau hỏi lại</t>
        </is>
      </c>
      <c r="H662" s="17" t="inlineStr">
        <is>
          <t>khong_co_gi_thi_khong_cache</t>
        </is>
      </c>
      <c r="I662" s="16" t="inlineStr">
        <is>
          <t>Đạt</t>
        </is>
      </c>
      <c r="J662" s="16" t="n">
        <v>0.017</v>
      </c>
    </row>
    <row r="663">
      <c r="A663" s="16" t="n">
        <v>659</v>
      </c>
      <c r="B663" s="16" t="inlineStr">
        <is>
          <t>Backend</t>
        </is>
      </c>
      <c r="C663" s="17" t="inlineStr">
        <is>
          <t>ai-chatbox-service</t>
        </is>
      </c>
      <c r="D663" s="16" t="inlineStr">
        <is>
          <t>Unit</t>
        </is>
      </c>
      <c r="E663" s="17" t="inlineStr">
        <is>
          <t>IdentityHttpAdaptersTest › Lookup</t>
        </is>
      </c>
      <c r="F663" s="17" t="inlineStr">
        <is>
          <t>IdentityHttpAdapter (tra tên người trực, có cache)</t>
        </is>
      </c>
      <c r="G663" s="17" t="inlineStr">
        <is>
          <t>contactOf trả cả tên lẫn email đầy đủ, và được nhớ riêng với cache tên</t>
        </is>
      </c>
      <c r="H663" s="17" t="inlineStr">
        <is>
          <t>contact_cache_rieng</t>
        </is>
      </c>
      <c r="I663" s="16" t="inlineStr">
        <is>
          <t>Đạt</t>
        </is>
      </c>
      <c r="J663" s="16" t="n">
        <v>0.014</v>
      </c>
    </row>
    <row r="664">
      <c r="A664" s="16" t="n">
        <v>660</v>
      </c>
      <c r="B664" s="16" t="inlineStr">
        <is>
          <t>Backend</t>
        </is>
      </c>
      <c r="C664" s="17" t="inlineStr">
        <is>
          <t>ai-chatbox-service</t>
        </is>
      </c>
      <c r="D664" s="16" t="inlineStr">
        <is>
          <t>Unit</t>
        </is>
      </c>
      <c r="E664" s="17" t="inlineStr">
        <is>
          <t>IdentityHttpAdaptersTest › Lookup</t>
        </is>
      </c>
      <c r="F664" s="17" t="inlineStr">
        <is>
          <t>IdentityHttpAdapter (tra tên người trực, có cache)</t>
        </is>
      </c>
      <c r="G664" s="17" t="inlineStr">
        <is>
          <t>id null thì rỗng và KHÔNG gọi mạng</t>
        </is>
      </c>
      <c r="H664" s="17" t="inlineStr">
        <is>
          <t>id_null_khong_goi_mang</t>
        </is>
      </c>
      <c r="I664" s="16" t="inlineStr">
        <is>
          <t>Đạt</t>
        </is>
      </c>
      <c r="J664" s="16" t="n">
        <v>0.005</v>
      </c>
    </row>
    <row r="665">
      <c r="A665" s="16" t="n">
        <v>661</v>
      </c>
      <c r="B665" s="16" t="inlineStr">
        <is>
          <t>Backend</t>
        </is>
      </c>
      <c r="C665" s="17" t="inlineStr">
        <is>
          <t>ai-chatbox-service</t>
        </is>
      </c>
      <c r="D665" s="16" t="inlineStr">
        <is>
          <t>Unit</t>
        </is>
      </c>
      <c r="E665" s="17" t="inlineStr">
        <is>
          <t>IdentityHttpAdaptersTest › Lookup</t>
        </is>
      </c>
      <c r="F665" s="17" t="inlineStr">
        <is>
          <t>IdentityHttpAdapter (tra tên người trực, có cache)</t>
        </is>
      </c>
      <c r="G665" s="17" t="inlineStr">
        <is>
          <t>email không có @ hoặc bắt đầu bằng @ thì dùng nguyên chuỗi</t>
        </is>
      </c>
      <c r="H665" s="17" t="inlineStr">
        <is>
          <t>email_la</t>
        </is>
      </c>
      <c r="I665" s="16" t="inlineStr">
        <is>
          <t>Đạt</t>
        </is>
      </c>
      <c r="J665" s="16" t="n">
        <v>0.03</v>
      </c>
    </row>
    <row r="666">
      <c r="A666" s="16" t="n">
        <v>662</v>
      </c>
      <c r="B666" s="16" t="inlineStr">
        <is>
          <t>Backend</t>
        </is>
      </c>
      <c r="C666" s="17" t="inlineStr">
        <is>
          <t>ai-chatbox-service</t>
        </is>
      </c>
      <c r="D666" s="16" t="inlineStr">
        <is>
          <t>Unit</t>
        </is>
      </c>
      <c r="E666" s="17" t="inlineStr">
        <is>
          <t>IdentityHttpAdaptersTest › Lookup</t>
        </is>
      </c>
      <c r="F666" s="17" t="inlineStr">
        <is>
          <t>IdentityHttpAdapter (tra tên người trực, có cache)</t>
        </is>
      </c>
      <c r="G666" s="17" t="inlineStr">
        <is>
          <t>contactOf chỉ có email thì tên lùi về phần trước @, email giữ nguyên</t>
        </is>
      </c>
      <c r="H666" s="17" t="inlineStr">
        <is>
          <t>contact_chi_co_email</t>
        </is>
      </c>
      <c r="I666" s="16" t="inlineStr">
        <is>
          <t>Đạt</t>
        </is>
      </c>
      <c r="J666" s="16" t="n">
        <v>0.014</v>
      </c>
    </row>
    <row r="667">
      <c r="A667" s="16" t="n">
        <v>663</v>
      </c>
      <c r="B667" s="16" t="inlineStr">
        <is>
          <t>Backend</t>
        </is>
      </c>
      <c r="C667" s="17" t="inlineStr">
        <is>
          <t>ai-chatbox-service</t>
        </is>
      </c>
      <c r="D667" s="16" t="inlineStr">
        <is>
          <t>Unit</t>
        </is>
      </c>
      <c r="E667" s="17" t="inlineStr">
        <is>
          <t>IdentityHttpAdaptersTest › Lookup</t>
        </is>
      </c>
      <c r="F667" s="17" t="inlineStr">
        <is>
          <t>IdentityHttpAdapter (tra tên người trực, có cache)</t>
        </is>
      </c>
      <c r="G667" s="17" t="inlineStr">
        <is>
          <t>body rỗng thì rỗng</t>
        </is>
      </c>
      <c r="H667" s="17" t="inlineStr">
        <is>
          <t>body_rong</t>
        </is>
      </c>
      <c r="I667" s="16" t="inlineStr">
        <is>
          <t>Đạt</t>
        </is>
      </c>
      <c r="J667" s="16" t="n">
        <v>0.02</v>
      </c>
    </row>
    <row r="668">
      <c r="A668" s="16" t="n">
        <v>664</v>
      </c>
      <c r="B668" s="16" t="inlineStr">
        <is>
          <t>Backend</t>
        </is>
      </c>
      <c r="C668" s="17" t="inlineStr">
        <is>
          <t>ai-chatbox-service</t>
        </is>
      </c>
      <c r="D668" s="16" t="inlineStr">
        <is>
          <t>Unit</t>
        </is>
      </c>
      <c r="E668" s="17" t="inlineStr">
        <is>
          <t>IdentityHttpAdaptersTest › Lookup</t>
        </is>
      </c>
      <c r="F668" s="17" t="inlineStr">
        <is>
          <t>IdentityHttpAdapter (tra tên người trực, có cache)</t>
        </is>
      </c>
      <c r="G668" s="17" t="inlineStr">
        <is>
          <t>tên đã tra được nhớ — một người trực chỉ tốn một lời gọi HTTP</t>
        </is>
      </c>
      <c r="H668" s="17" t="inlineStr">
        <is>
          <t>ten_duoc_cache</t>
        </is>
      </c>
      <c r="I668" s="16" t="inlineStr">
        <is>
          <t>Đạt</t>
        </is>
      </c>
      <c r="J668" s="16" t="n">
        <v>0.012</v>
      </c>
    </row>
    <row r="669">
      <c r="A669" s="16" t="n">
        <v>665</v>
      </c>
      <c r="B669" s="16" t="inlineStr">
        <is>
          <t>Backend</t>
        </is>
      </c>
      <c r="C669" s="17" t="inlineStr">
        <is>
          <t>ai-chatbox-service</t>
        </is>
      </c>
      <c r="D669" s="16" t="inlineStr">
        <is>
          <t>Unit</t>
        </is>
      </c>
      <c r="E669" s="17" t="inlineStr">
        <is>
          <t>IdentityHttpAdaptersTest › Lookup</t>
        </is>
      </c>
      <c r="F669" s="17" t="inlineStr">
        <is>
          <t>IdentityHttpAdapter (tra tên người trực, có cache)</t>
        </is>
      </c>
      <c r="G669" s="17" t="inlineStr">
        <is>
          <t>lỗi 404, 500 hoặc mạng đứt thì rỗng, không ném, không nhớ lỗi</t>
        </is>
      </c>
      <c r="H669" s="17" t="inlineStr">
        <is>
          <t>loi_thi_rong_va_khong_cache</t>
        </is>
      </c>
      <c r="I669" s="16" t="inlineStr">
        <is>
          <t>Đạt</t>
        </is>
      </c>
      <c r="J669" s="16" t="n">
        <v>0.027</v>
      </c>
    </row>
    <row r="670">
      <c r="A670" s="16" t="n">
        <v>666</v>
      </c>
      <c r="B670" s="16" t="inlineStr">
        <is>
          <t>Backend</t>
        </is>
      </c>
      <c r="C670" s="17" t="inlineStr">
        <is>
          <t>ai-chatbox-service</t>
        </is>
      </c>
      <c r="D670" s="16" t="inlineStr">
        <is>
          <t>Unit</t>
        </is>
      </c>
      <c r="E670" s="17" t="inlineStr">
        <is>
          <t>IdentityHttpAdaptersTest › Profile</t>
        </is>
      </c>
      <c r="F670" s="17" t="inlineStr">
        <is>
          <t>IdentityProfileHttpAdapter (hồ sơ của chính khách, không cache)</t>
        </is>
      </c>
      <c r="G670" s="17" t="inlineStr">
        <is>
          <t>401, 5xx, body rỗng, mạng đứt đều là RemoteCallException, không lộ token</t>
        </is>
      </c>
      <c r="H670" s="17" t="inlineStr">
        <is>
          <t>loi</t>
        </is>
      </c>
      <c r="I670" s="16" t="inlineStr">
        <is>
          <t>Đạt</t>
        </is>
      </c>
      <c r="J670" s="16" t="n">
        <v>0.063</v>
      </c>
    </row>
    <row r="671">
      <c r="A671" s="16" t="n">
        <v>667</v>
      </c>
      <c r="B671" s="16" t="inlineStr">
        <is>
          <t>Backend</t>
        </is>
      </c>
      <c r="C671" s="17" t="inlineStr">
        <is>
          <t>ai-chatbox-service</t>
        </is>
      </c>
      <c r="D671" s="16" t="inlineStr">
        <is>
          <t>Unit</t>
        </is>
      </c>
      <c r="E671" s="17" t="inlineStr">
        <is>
          <t>IdentityHttpAdaptersTest › Profile</t>
        </is>
      </c>
      <c r="F671" s="17" t="inlineStr">
        <is>
          <t>IdentityProfileHttpAdapter (hồ sơ của chính khách, không cache)</t>
        </is>
      </c>
      <c r="G671" s="17" t="inlineStr">
        <is>
          <t>gọi /v1/me bằng token của khách và bỏ qua quyền quản trị, tổ chức</t>
        </is>
      </c>
      <c r="H671" s="17" t="inlineStr">
        <is>
          <t>goi_v1_me</t>
        </is>
      </c>
      <c r="I671" s="16" t="inlineStr">
        <is>
          <t>Đạt</t>
        </is>
      </c>
      <c r="J671" s="16" t="n">
        <v>0.013</v>
      </c>
    </row>
    <row r="672">
      <c r="A672" s="16" t="n">
        <v>668</v>
      </c>
      <c r="B672" s="16" t="inlineStr">
        <is>
          <t>Backend</t>
        </is>
      </c>
      <c r="C672" s="17" t="inlineStr">
        <is>
          <t>ai-chatbox-service</t>
        </is>
      </c>
      <c r="D672" s="16" t="inlineStr">
        <is>
          <t>Unit</t>
        </is>
      </c>
      <c r="E672" s="17" t="inlineStr">
        <is>
          <t>IdentityHttpAdaptersTest › Profile</t>
        </is>
      </c>
      <c r="F672" s="17" t="inlineStr">
        <is>
          <t>IdentityProfileHttpAdapter (hồ sơ của chính khách, không cache)</t>
        </is>
      </c>
      <c r="G672" s="17" t="inlineStr">
        <is>
          <t>không nhớ gì: hai lần gọi là hai request — khách vừa sửa tên phải thấy bản mới</t>
        </is>
      </c>
      <c r="H672" s="17" t="inlineStr">
        <is>
          <t>khong_cache</t>
        </is>
      </c>
      <c r="I672" s="16" t="inlineStr">
        <is>
          <t>Đạt</t>
        </is>
      </c>
      <c r="J672" s="16" t="n">
        <v>0.013</v>
      </c>
    </row>
    <row r="673">
      <c r="A673" s="16" t="n">
        <v>669</v>
      </c>
      <c r="B673" s="16" t="inlineStr">
        <is>
          <t>Backend</t>
        </is>
      </c>
      <c r="C673" s="17" t="inlineStr">
        <is>
          <t>ai-chatbox-service</t>
        </is>
      </c>
      <c r="D673" s="16" t="inlineStr">
        <is>
          <t>Unit</t>
        </is>
      </c>
      <c r="E673" s="17" t="inlineStr">
        <is>
          <t>InventoryHttpAdapterTest › HoldZone</t>
        </is>
      </c>
      <c r="F673" s="17" t="inlineStr">
        <is>
          <t>holdZone</t>
        </is>
      </c>
      <c r="G673" s="17" t="inlineStr">
        <is>
          <t>số chỗ giữ được: vé ngồi đếm theo seatIds hệ thống chọn, vé đứng (không seatIds) lấy số xin</t>
        </is>
      </c>
      <c r="H673" s="17" t="inlineStr">
        <is>
          <t>so_cho_giu_duoc</t>
        </is>
      </c>
      <c r="I673" s="16" t="inlineStr">
        <is>
          <t>Đạt</t>
        </is>
      </c>
      <c r="J673" s="16" t="n">
        <v>0.06</v>
      </c>
    </row>
    <row r="674">
      <c r="A674" s="16" t="n">
        <v>670</v>
      </c>
      <c r="B674" s="16" t="inlineStr">
        <is>
          <t>Backend</t>
        </is>
      </c>
      <c r="C674" s="17" t="inlineStr">
        <is>
          <t>ai-chatbox-service</t>
        </is>
      </c>
      <c r="D674" s="16" t="inlineStr">
        <is>
          <t>Unit</t>
        </is>
      </c>
      <c r="E674" s="17" t="inlineStr">
        <is>
          <t>InventoryHttpAdapterTest › HoldZone</t>
        </is>
      </c>
      <c r="F674" s="17" t="inlineStr">
        <is>
          <t>holdZone</t>
        </is>
      </c>
      <c r="G674" s="17" t="inlineStr">
        <is>
          <t>body rỗng, mạng đứt, JSON hỏng đều là RemoteCallException</t>
        </is>
      </c>
      <c r="H674" s="17" t="inlineStr">
        <is>
          <t>body_rong_va_mang_dut</t>
        </is>
      </c>
      <c r="I674" s="16" t="inlineStr">
        <is>
          <t>Đạt</t>
        </is>
      </c>
      <c r="J674" s="16" t="n">
        <v>0.035</v>
      </c>
    </row>
    <row r="675">
      <c r="A675" s="16" t="n">
        <v>671</v>
      </c>
      <c r="B675" s="16" t="inlineStr">
        <is>
          <t>Backend</t>
        </is>
      </c>
      <c r="C675" s="17" t="inlineStr">
        <is>
          <t>ai-chatbox-service</t>
        </is>
      </c>
      <c r="D675" s="16" t="inlineStr">
        <is>
          <t>Unit</t>
        </is>
      </c>
      <c r="E675" s="17" t="inlineStr">
        <is>
          <t>InventoryHttpAdapterTest › HoldZone</t>
        </is>
      </c>
      <c r="F675" s="17" t="inlineStr">
        <is>
          <t>holdZone</t>
        </is>
      </c>
      <c r="G675" s="17" t="inlineStr">
        <is>
          <t>vé đứng: zone vào standing, seatedZones để trống</t>
        </is>
      </c>
      <c r="H675" s="17" t="inlineStr">
        <is>
          <t>ve_dung</t>
        </is>
      </c>
      <c r="I675" s="16" t="inlineStr">
        <is>
          <t>Đạt</t>
        </is>
      </c>
      <c r="J675" s="16" t="n">
        <v>0.017</v>
      </c>
    </row>
    <row r="676">
      <c r="A676" s="16" t="n">
        <v>672</v>
      </c>
      <c r="B676" s="16" t="inlineStr">
        <is>
          <t>Backend</t>
        </is>
      </c>
      <c r="C676" s="17" t="inlineStr">
        <is>
          <t>ai-chatbox-service</t>
        </is>
      </c>
      <c r="D676" s="16" t="inlineStr">
        <is>
          <t>Unit</t>
        </is>
      </c>
      <c r="E676" s="17" t="inlineStr">
        <is>
          <t>InventoryHttpAdapterTest › HoldZone</t>
        </is>
      </c>
      <c r="F676" s="17" t="inlineStr">
        <is>
          <t>holdZone</t>
        </is>
      </c>
      <c r="G676" s="17" t="inlineStr">
        <is>
          <t>vé ngồi: zone vào seatedZones, standing để trống; kèm token và Idempotency-Key</t>
        </is>
      </c>
      <c r="H676" s="17" t="inlineStr">
        <is>
          <t>ve_ngoi</t>
        </is>
      </c>
      <c r="I676" s="16" t="inlineStr">
        <is>
          <t>Đạt</t>
        </is>
      </c>
      <c r="J676" s="16" t="n">
        <v>0.014</v>
      </c>
    </row>
    <row r="677">
      <c r="A677" s="16" t="n">
        <v>673</v>
      </c>
      <c r="B677" s="16" t="inlineStr">
        <is>
          <t>Backend</t>
        </is>
      </c>
      <c r="C677" s="17" t="inlineStr">
        <is>
          <t>ai-chatbox-service</t>
        </is>
      </c>
      <c r="D677" s="16" t="inlineStr">
        <is>
          <t>Unit</t>
        </is>
      </c>
      <c r="E677" s="17" t="inlineStr">
        <is>
          <t>InventoryHttpAdapterTest › HoldZone</t>
        </is>
      </c>
      <c r="F677" s="17" t="inlineStr">
        <is>
          <t>holdZone</t>
        </is>
      </c>
      <c r="G677" s="17" t="inlineStr">
        <is>
          <t>5xx là RemoteCallException và lệnh ghi không bị thử lại</t>
        </is>
      </c>
      <c r="H677" s="17" t="inlineStr">
        <is>
          <t>loi_5xx</t>
        </is>
      </c>
      <c r="I677" s="16" t="inlineStr">
        <is>
          <t>Đạt</t>
        </is>
      </c>
      <c r="J677" s="16" t="n">
        <v>0.028</v>
      </c>
    </row>
    <row r="678">
      <c r="A678" s="16" t="n">
        <v>674</v>
      </c>
      <c r="B678" s="16" t="inlineStr">
        <is>
          <t>Backend</t>
        </is>
      </c>
      <c r="C678" s="17" t="inlineStr">
        <is>
          <t>ai-chatbox-service</t>
        </is>
      </c>
      <c r="D678" s="16" t="inlineStr">
        <is>
          <t>Unit</t>
        </is>
      </c>
      <c r="E678" s="17" t="inlineStr">
        <is>
          <t>InventoryHttpAdapterTest › HoldZone</t>
        </is>
      </c>
      <c r="F678" s="17" t="inlineStr">
        <is>
          <t>holdZone</t>
        </is>
      </c>
      <c r="G678" s="17" t="inlineStr">
        <is>
          <t>4xx mã lạ hoặc body hỏng rơi về câu chung — vẫn là bị từ chối, không phải sự cố</t>
        </is>
      </c>
      <c r="H678" s="17" t="inlineStr">
        <is>
          <t>ma_la_roi_ve_cau_chung</t>
        </is>
      </c>
      <c r="I678" s="16" t="inlineStr">
        <is>
          <t>Đạt</t>
        </is>
      </c>
      <c r="J678" s="16" t="n">
        <v>0.043</v>
      </c>
    </row>
    <row r="679">
      <c r="A679" s="16" t="n">
        <v>675</v>
      </c>
      <c r="B679" s="16" t="inlineStr">
        <is>
          <t>Backend</t>
        </is>
      </c>
      <c r="C679" s="17" t="inlineStr">
        <is>
          <t>ai-chatbox-service</t>
        </is>
      </c>
      <c r="D679" s="16" t="inlineStr">
        <is>
          <t>Unit</t>
        </is>
      </c>
      <c r="E679" s="17" t="inlineStr">
        <is>
          <t>InventoryHttpAdapterTest › HoldZone</t>
        </is>
      </c>
      <c r="F679" s="17" t="inlineStr">
        <is>
          <t>holdZone</t>
        </is>
      </c>
      <c r="G679" s="17" t="inlineStr">
        <is>
          <t>mã lỗi nghiệp vụ 4xx được dịch thành lý do cho khách</t>
        </is>
      </c>
      <c r="H679" s="17" t="inlineStr">
        <is>
          <t>dich_ma_loi</t>
        </is>
      </c>
      <c r="I679" s="16" t="inlineStr">
        <is>
          <t>Đạt</t>
        </is>
      </c>
      <c r="J679" s="16" t="n">
        <v>0.077</v>
      </c>
    </row>
    <row r="680">
      <c r="A680" s="16" t="n">
        <v>676</v>
      </c>
      <c r="B680" s="16" t="inlineStr">
        <is>
          <t>Backend</t>
        </is>
      </c>
      <c r="C680" s="17" t="inlineStr">
        <is>
          <t>ai-chatbox-service</t>
        </is>
      </c>
      <c r="D680" s="16" t="inlineStr">
        <is>
          <t>Unit</t>
        </is>
      </c>
      <c r="E680" s="17" t="inlineStr">
        <is>
          <t>InventoryHttpAdapterTest › ReleaseHold</t>
        </is>
      </c>
      <c r="F680" s="17" t="inlineStr">
        <is>
          <t>releaseHold</t>
        </is>
      </c>
      <c r="G680" s="17" t="inlineStr">
        <is>
          <t>không bao giờ ném: 404, 500 hay mạng đứt đều nuốt lại vì chỗ giữ tự hết hạn</t>
        </is>
      </c>
      <c r="H680" s="17" t="inlineStr">
        <is>
          <t>khong_bao_gio_nem</t>
        </is>
      </c>
      <c r="I680" s="16" t="inlineStr">
        <is>
          <t>Đạt</t>
        </is>
      </c>
      <c r="J680" s="16" t="n">
        <v>0.057</v>
      </c>
    </row>
    <row r="681">
      <c r="A681" s="16" t="n">
        <v>677</v>
      </c>
      <c r="B681" s="16" t="inlineStr">
        <is>
          <t>Backend</t>
        </is>
      </c>
      <c r="C681" s="17" t="inlineStr">
        <is>
          <t>ai-chatbox-service</t>
        </is>
      </c>
      <c r="D681" s="16" t="inlineStr">
        <is>
          <t>Unit</t>
        </is>
      </c>
      <c r="E681" s="17" t="inlineStr">
        <is>
          <t>InventoryHttpAdapterTest › ReleaseHold</t>
        </is>
      </c>
      <c r="F681" s="17" t="inlineStr">
        <is>
          <t>releaseHold</t>
        </is>
      </c>
      <c r="G681" s="17" t="inlineStr">
        <is>
          <t>gửi DELETE /v1/holds/{id} kèm token của khách</t>
        </is>
      </c>
      <c r="H681" s="17" t="inlineStr">
        <is>
          <t>gui_delete</t>
        </is>
      </c>
      <c r="I681" s="16" t="inlineStr">
        <is>
          <t>Đạt</t>
        </is>
      </c>
      <c r="J681" s="16" t="n">
        <v>0.013</v>
      </c>
    </row>
    <row r="682">
      <c r="A682" s="16" t="n">
        <v>678</v>
      </c>
      <c r="B682" s="16" t="inlineStr">
        <is>
          <t>Backend</t>
        </is>
      </c>
      <c r="C682" s="17" t="inlineStr">
        <is>
          <t>ai-chatbox-service</t>
        </is>
      </c>
      <c r="D682" s="16" t="inlineStr">
        <is>
          <t>Unit</t>
        </is>
      </c>
      <c r="E682" s="17" t="inlineStr">
        <is>
          <t>OrderingHttpAdapterBehaviorTest › FetchOrder</t>
        </is>
      </c>
      <c r="F682" s="17" t="inlineStr">
        <is>
          <t>fetchOrder</t>
        </is>
      </c>
      <c r="G682" s="17" t="inlineStr">
        <is>
          <t>gửi token của KHÁCH ở header Authorization tới đường của khách, không phải /internal</t>
        </is>
      </c>
      <c r="H682" s="17" t="inlineStr">
        <is>
          <t>di_bang_token_cua_khach</t>
        </is>
      </c>
      <c r="I682" s="16" t="inlineStr">
        <is>
          <t>Đạt</t>
        </is>
      </c>
      <c r="J682" s="16" t="n">
        <v>0.014</v>
      </c>
    </row>
    <row r="683">
      <c r="A683" s="16" t="n">
        <v>679</v>
      </c>
      <c r="B683" s="16" t="inlineStr">
        <is>
          <t>Backend</t>
        </is>
      </c>
      <c r="C683" s="17" t="inlineStr">
        <is>
          <t>ai-chatbox-service</t>
        </is>
      </c>
      <c r="D683" s="16" t="inlineStr">
        <is>
          <t>Unit</t>
        </is>
      </c>
      <c r="E683" s="17" t="inlineStr">
        <is>
          <t>OrderingHttpAdapterBehaviorTest › FetchOrder</t>
        </is>
      </c>
      <c r="F683" s="17" t="inlineStr">
        <is>
          <t>fetchOrder</t>
        </is>
      </c>
      <c r="G683" s="17" t="inlineStr">
        <is>
          <t>đơn không có items thì là danh sách rỗng</t>
        </is>
      </c>
      <c r="H683" s="17" t="inlineStr">
        <is>
          <t>khong_co_items</t>
        </is>
      </c>
      <c r="I683" s="16" t="inlineStr">
        <is>
          <t>Đạt</t>
        </is>
      </c>
      <c r="J683" s="16" t="n">
        <v>0.012</v>
      </c>
    </row>
    <row r="684">
      <c r="A684" s="16" t="n">
        <v>680</v>
      </c>
      <c r="B684" s="16" t="inlineStr">
        <is>
          <t>Backend</t>
        </is>
      </c>
      <c r="C684" s="17" t="inlineStr">
        <is>
          <t>ai-chatbox-service</t>
        </is>
      </c>
      <c r="D684" s="16" t="inlineStr">
        <is>
          <t>Unit</t>
        </is>
      </c>
      <c r="E684" s="17" t="inlineStr">
        <is>
          <t>OrderingHttpAdapterBehaviorTest › FetchOrder</t>
        </is>
      </c>
      <c r="F684" s="17" t="inlineStr">
        <is>
          <t>fetchOrder</t>
        </is>
      </c>
      <c r="G684" s="17" t="inlineStr">
        <is>
          <t>ánh xạ đơn, mô tả vé ngồi / vé đứng / thiếu tên loại vé, bỏ qua trường nhạy cảm</t>
        </is>
      </c>
      <c r="H684" s="17" t="inlineStr">
        <is>
          <t>anh_xa_don</t>
        </is>
      </c>
      <c r="I684" s="16" t="inlineStr">
        <is>
          <t>Đạt</t>
        </is>
      </c>
      <c r="J684" s="16" t="n">
        <v>0.028</v>
      </c>
    </row>
    <row r="685">
      <c r="A685" s="16" t="n">
        <v>681</v>
      </c>
      <c r="B685" s="16" t="inlineStr">
        <is>
          <t>Backend</t>
        </is>
      </c>
      <c r="C685" s="17" t="inlineStr">
        <is>
          <t>ai-chatbox-service</t>
        </is>
      </c>
      <c r="D685" s="16" t="inlineStr">
        <is>
          <t>Unit</t>
        </is>
      </c>
      <c r="E685" s="17" t="inlineStr">
        <is>
          <t>OrderingHttpAdapterBehaviorTest › FetchOrder</t>
        </is>
      </c>
      <c r="F685" s="17" t="inlineStr">
        <is>
          <t>fetchOrder</t>
        </is>
      </c>
      <c r="G685" s="17" t="inlineStr">
        <is>
          <t>mạng đứt hoặc JSON hỏng là RemoteCallException mang nguyên nhân gốc, không lộ token</t>
        </is>
      </c>
      <c r="H685" s="17" t="inlineStr">
        <is>
          <t>mang_dut_va_json_hong</t>
        </is>
      </c>
      <c r="I685" s="16" t="inlineStr">
        <is>
          <t>Đạt</t>
        </is>
      </c>
      <c r="J685" s="16" t="n">
        <v>0.021</v>
      </c>
    </row>
    <row r="686">
      <c r="A686" s="16" t="n">
        <v>682</v>
      </c>
      <c r="B686" s="16" t="inlineStr">
        <is>
          <t>Backend</t>
        </is>
      </c>
      <c r="C686" s="17" t="inlineStr">
        <is>
          <t>ai-chatbox-service</t>
        </is>
      </c>
      <c r="D686" s="16" t="inlineStr">
        <is>
          <t>Unit</t>
        </is>
      </c>
      <c r="E686" s="17" t="inlineStr">
        <is>
          <t>OrderingHttpAdapterBehaviorTest › FetchOrder</t>
        </is>
      </c>
      <c r="F686" s="17" t="inlineStr">
        <is>
          <t>fetchOrder</t>
        </is>
      </c>
      <c r="G686" s="17" t="inlineStr">
        <is>
          <t>404 và 403 đều thành OrderNotFoundException — không để khách dò mã đơn nào có thật</t>
        </is>
      </c>
      <c r="H686" s="17" t="inlineStr">
        <is>
          <t>khong_phan_biet_404_va_403</t>
        </is>
      </c>
      <c r="I686" s="16" t="inlineStr">
        <is>
          <t>Đạt</t>
        </is>
      </c>
      <c r="J686" s="16" t="n">
        <v>0.019</v>
      </c>
    </row>
    <row r="687">
      <c r="A687" s="16" t="n">
        <v>683</v>
      </c>
      <c r="B687" s="16" t="inlineStr">
        <is>
          <t>Backend</t>
        </is>
      </c>
      <c r="C687" s="17" t="inlineStr">
        <is>
          <t>ai-chatbox-service</t>
        </is>
      </c>
      <c r="D687" s="16" t="inlineStr">
        <is>
          <t>Unit</t>
        </is>
      </c>
      <c r="E687" s="17" t="inlineStr">
        <is>
          <t>OrderingHttpAdapterBehaviorTest › FetchOrder</t>
        </is>
      </c>
      <c r="F687" s="17" t="inlineStr">
        <is>
          <t>fetchOrder</t>
        </is>
      </c>
      <c r="G687" s="17" t="inlineStr">
        <is>
          <t>body rỗng ở 200 là RemoteCallException, không phải đơn null</t>
        </is>
      </c>
      <c r="H687" s="17" t="inlineStr">
        <is>
          <t>body_rong</t>
        </is>
      </c>
      <c r="I687" s="16" t="inlineStr">
        <is>
          <t>Đạt</t>
        </is>
      </c>
      <c r="J687" s="16" t="n">
        <v>0.008999999999999999</v>
      </c>
    </row>
    <row r="688">
      <c r="A688" s="16" t="n">
        <v>684</v>
      </c>
      <c r="B688" s="16" t="inlineStr">
        <is>
          <t>Backend</t>
        </is>
      </c>
      <c r="C688" s="17" t="inlineStr">
        <is>
          <t>ai-chatbox-service</t>
        </is>
      </c>
      <c r="D688" s="16" t="inlineStr">
        <is>
          <t>Unit</t>
        </is>
      </c>
      <c r="E688" s="17" t="inlineStr">
        <is>
          <t>OrderingHttpAdapterBehaviorTest › FetchOrder</t>
        </is>
      </c>
      <c r="F688" s="17" t="inlineStr">
        <is>
          <t>fetchOrder</t>
        </is>
      </c>
      <c r="G688" s="17" t="inlineStr">
        <is>
          <t>401 (token hết hạn giữa chừng) và 5xx là sự cố hạ tầng, không phải 'không có đơn'</t>
        </is>
      </c>
      <c r="H688" s="17" t="inlineStr">
        <is>
          <t>loi_401_va_5xx_la_su_co</t>
        </is>
      </c>
      <c r="I688" s="16" t="inlineStr">
        <is>
          <t>Đạt</t>
        </is>
      </c>
      <c r="J688" s="16" t="n">
        <v>0.042</v>
      </c>
    </row>
    <row r="689">
      <c r="A689" s="16" t="n">
        <v>685</v>
      </c>
      <c r="B689" s="16" t="inlineStr">
        <is>
          <t>Backend</t>
        </is>
      </c>
      <c r="C689" s="17" t="inlineStr">
        <is>
          <t>ai-chatbox-service</t>
        </is>
      </c>
      <c r="D689" s="16" t="inlineStr">
        <is>
          <t>Unit</t>
        </is>
      </c>
      <c r="E689" s="17" t="inlineStr">
        <is>
          <t>OrderingHttpAdapterBehaviorTest › ListMyOrders</t>
        </is>
      </c>
      <c r="F689" s="17" t="inlineStr">
        <is>
          <t>listMyOrders</t>
        </is>
      </c>
      <c r="G689" s="17" t="inlineStr">
        <is>
          <t>limit không dương được nâng lên 1</t>
        </is>
      </c>
      <c r="H689" s="17" t="inlineStr">
        <is>
          <t>limit_toi_thieu_1</t>
        </is>
      </c>
      <c r="I689" s="16" t="inlineStr">
        <is>
          <t>Đạt</t>
        </is>
      </c>
      <c r="J689" s="16" t="n">
        <v>0.018</v>
      </c>
    </row>
    <row r="690">
      <c r="A690" s="16" t="n">
        <v>686</v>
      </c>
      <c r="B690" s="16" t="inlineStr">
        <is>
          <t>Backend</t>
        </is>
      </c>
      <c r="C690" s="17" t="inlineStr">
        <is>
          <t>ai-chatbox-service</t>
        </is>
      </c>
      <c r="D690" s="16" t="inlineStr">
        <is>
          <t>Unit</t>
        </is>
      </c>
      <c r="E690" s="17" t="inlineStr">
        <is>
          <t>OrderingHttpAdapterBehaviorTest › ListMyOrders</t>
        </is>
      </c>
      <c r="F690" s="17" t="inlineStr">
        <is>
          <t>listMyOrders</t>
        </is>
      </c>
      <c r="G690" s="17" t="inlineStr">
        <is>
          <t>non-2xx và mạng đứt là RemoteCallException — khác với 'khách không có đơn'</t>
        </is>
      </c>
      <c r="H690" s="17" t="inlineStr">
        <is>
          <t>loi</t>
        </is>
      </c>
      <c r="I690" s="16" t="inlineStr">
        <is>
          <t>Đạt</t>
        </is>
      </c>
      <c r="J690" s="16" t="n">
        <v>0.048</v>
      </c>
    </row>
    <row r="691">
      <c r="A691" s="16" t="n">
        <v>687</v>
      </c>
      <c r="B691" s="16" t="inlineStr">
        <is>
          <t>Backend</t>
        </is>
      </c>
      <c r="C691" s="17" t="inlineStr">
        <is>
          <t>ai-chatbox-service</t>
        </is>
      </c>
      <c r="D691" s="16" t="inlineStr">
        <is>
          <t>Unit</t>
        </is>
      </c>
      <c r="E691" s="17" t="inlineStr">
        <is>
          <t>OrderingHttpAdapterBehaviorTest › ListMyOrders</t>
        </is>
      </c>
      <c r="F691" s="17" t="inlineStr">
        <is>
          <t>listMyOrders</t>
        </is>
      </c>
      <c r="G691" s="17" t="inlineStr">
        <is>
          <t>mảng rỗng và body rỗng đều là danh sách rỗng</t>
        </is>
      </c>
      <c r="H691" s="17" t="inlineStr">
        <is>
          <t>rong</t>
        </is>
      </c>
      <c r="I691" s="16" t="inlineStr">
        <is>
          <t>Đạt</t>
        </is>
      </c>
      <c r="J691" s="16" t="n">
        <v>0.025</v>
      </c>
    </row>
    <row r="692">
      <c r="A692" s="16" t="n">
        <v>688</v>
      </c>
      <c r="B692" s="16" t="inlineStr">
        <is>
          <t>Backend</t>
        </is>
      </c>
      <c r="C692" s="17" t="inlineStr">
        <is>
          <t>ai-chatbox-service</t>
        </is>
      </c>
      <c r="D692" s="16" t="inlineStr">
        <is>
          <t>Unit</t>
        </is>
      </c>
      <c r="E692" s="17" t="inlineStr">
        <is>
          <t>OrderingHttpAdapterBehaviorTest › ListMyOrders</t>
        </is>
      </c>
      <c r="F692" s="17" t="inlineStr">
        <is>
          <t>listMyOrders</t>
        </is>
      </c>
      <c r="G692" s="17" t="inlineStr">
        <is>
          <t>gọi /v1/me/orders với limit và offset=0, kèm token của khách</t>
        </is>
      </c>
      <c r="H692" s="17" t="inlineStr">
        <is>
          <t>goi_dung_duong</t>
        </is>
      </c>
      <c r="I692" s="16" t="inlineStr">
        <is>
          <t>Đạt</t>
        </is>
      </c>
      <c r="J692" s="16" t="n">
        <v>0.019</v>
      </c>
    </row>
    <row r="693">
      <c r="A693" s="16" t="n">
        <v>689</v>
      </c>
      <c r="B693" s="16" t="inlineStr">
        <is>
          <t>Backend</t>
        </is>
      </c>
      <c r="C693" s="17" t="inlineStr">
        <is>
          <t>ai-chatbox-service</t>
        </is>
      </c>
      <c r="D693" s="16" t="inlineStr">
        <is>
          <t>Unit</t>
        </is>
      </c>
      <c r="E693" s="17" t="inlineStr">
        <is>
          <t>OrderingHttpAdapterBehaviorTest › PlaceOrder</t>
        </is>
      </c>
      <c r="F693" s="17" t="inlineStr">
        <is>
          <t>placeOrder</t>
        </is>
      </c>
      <c r="G693" s="17" t="inlineStr">
        <is>
          <t>gửi holdId, token và Idempotency-Key; ánh xạ đơn vừa tạo, bỏ QR và mã tham chiếu</t>
        </is>
      </c>
      <c r="H693" s="17" t="inlineStr">
        <is>
          <t>gui_dung_va_anh_xa</t>
        </is>
      </c>
      <c r="I693" s="16" t="inlineStr">
        <is>
          <t>Đạt</t>
        </is>
      </c>
      <c r="J693" s="16" t="n">
        <v>0.017</v>
      </c>
    </row>
    <row r="694">
      <c r="A694" s="16" t="n">
        <v>690</v>
      </c>
      <c r="B694" s="16" t="inlineStr">
        <is>
          <t>Backend</t>
        </is>
      </c>
      <c r="C694" s="17" t="inlineStr">
        <is>
          <t>ai-chatbox-service</t>
        </is>
      </c>
      <c r="D694" s="16" t="inlineStr">
        <is>
          <t>Unit</t>
        </is>
      </c>
      <c r="E694" s="17" t="inlineStr">
        <is>
          <t>OrderingHttpAdapterBehaviorTest › PlaceOrder</t>
        </is>
      </c>
      <c r="F694" s="17" t="inlineStr">
        <is>
          <t>placeOrder</t>
        </is>
      </c>
      <c r="G694" s="17" t="inlineStr">
        <is>
          <t>5xx là RemoteCallException, không phải bị từ chối — khách nên thử lại thay vì chọn lại chỗ</t>
        </is>
      </c>
      <c r="H694" s="17" t="inlineStr">
        <is>
          <t>loi_5xx</t>
        </is>
      </c>
      <c r="I694" s="16" t="inlineStr">
        <is>
          <t>Đạt</t>
        </is>
      </c>
      <c r="J694" s="16" t="n">
        <v>0.033</v>
      </c>
    </row>
    <row r="695">
      <c r="A695" s="16" t="n">
        <v>691</v>
      </c>
      <c r="B695" s="16" t="inlineStr">
        <is>
          <t>Backend</t>
        </is>
      </c>
      <c r="C695" s="17" t="inlineStr">
        <is>
          <t>ai-chatbox-service</t>
        </is>
      </c>
      <c r="D695" s="16" t="inlineStr">
        <is>
          <t>Unit</t>
        </is>
      </c>
      <c r="E695" s="17" t="inlineStr">
        <is>
          <t>OrderingHttpAdapterBehaviorTest › PlaceOrder</t>
        </is>
      </c>
      <c r="F695" s="17" t="inlineStr">
        <is>
          <t>placeOrder</t>
        </is>
      </c>
      <c r="G695" s="17" t="inlineStr">
        <is>
          <t>4xx với mã lạ, body không phải JSON hoặc không có code thì rơi về câu chung — vẫn là 'từ chối'</t>
        </is>
      </c>
      <c r="H695" s="17" t="inlineStr">
        <is>
          <t>ma_la_roi_ve_cau_chung</t>
        </is>
      </c>
      <c r="I695" s="16" t="inlineStr">
        <is>
          <t>Đạt</t>
        </is>
      </c>
      <c r="J695" s="16" t="n">
        <v>0.049</v>
      </c>
    </row>
    <row r="696">
      <c r="A696" s="16" t="n">
        <v>692</v>
      </c>
      <c r="B696" s="16" t="inlineStr">
        <is>
          <t>Backend</t>
        </is>
      </c>
      <c r="C696" s="17" t="inlineStr">
        <is>
          <t>ai-chatbox-service</t>
        </is>
      </c>
      <c r="D696" s="16" t="inlineStr">
        <is>
          <t>Unit</t>
        </is>
      </c>
      <c r="E696" s="17" t="inlineStr">
        <is>
          <t>OrderingHttpAdapterBehaviorTest › PlaceOrder</t>
        </is>
      </c>
      <c r="F696" s="17" t="inlineStr">
        <is>
          <t>placeOrder</t>
        </is>
      </c>
      <c r="G696" s="17" t="inlineStr">
        <is>
          <t>mã lỗi nghiệp vụ 4xx được dịch thành lý do cho khách, theo bảng của ordering</t>
        </is>
      </c>
      <c r="H696" s="17" t="inlineStr">
        <is>
          <t>dich_ma_loi</t>
        </is>
      </c>
      <c r="I696" s="16" t="inlineStr">
        <is>
          <t>Đạt</t>
        </is>
      </c>
      <c r="J696" s="16" t="n">
        <v>0.055</v>
      </c>
    </row>
    <row r="697">
      <c r="A697" s="16" t="n">
        <v>693</v>
      </c>
      <c r="B697" s="16" t="inlineStr">
        <is>
          <t>Backend</t>
        </is>
      </c>
      <c r="C697" s="17" t="inlineStr">
        <is>
          <t>ai-chatbox-service</t>
        </is>
      </c>
      <c r="D697" s="16" t="inlineStr">
        <is>
          <t>Unit</t>
        </is>
      </c>
      <c r="E697" s="17" t="inlineStr">
        <is>
          <t>OrderingHttpAdapterBehaviorTest › PlaceOrder</t>
        </is>
      </c>
      <c r="F697" s="17" t="inlineStr">
        <is>
          <t>placeOrder</t>
        </is>
      </c>
      <c r="G697" s="17" t="inlineStr">
        <is>
          <t>body rỗng, mạng đứt và JSON hỏng đều là RemoteCallException</t>
        </is>
      </c>
      <c r="H697" s="17" t="inlineStr">
        <is>
          <t>body_rong_mang_dut</t>
        </is>
      </c>
      <c r="I697" s="16" t="inlineStr">
        <is>
          <t>Đạt</t>
        </is>
      </c>
      <c r="J697" s="16" t="n">
        <v>0.033</v>
      </c>
    </row>
    <row r="698">
      <c r="A698" s="16" t="n">
        <v>694</v>
      </c>
      <c r="B698" s="16" t="inlineStr">
        <is>
          <t>Backend</t>
        </is>
      </c>
      <c r="C698" s="17" t="inlineStr">
        <is>
          <t>ai-chatbox-service</t>
        </is>
      </c>
      <c r="D698" s="16" t="inlineStr">
        <is>
          <t>Unit</t>
        </is>
      </c>
      <c r="E698" s="17" t="inlineStr">
        <is>
          <t>OrderingHttpAdapterTest › FetchOrder</t>
        </is>
      </c>
      <c r="F698" s="17" t="inlineStr"/>
      <c r="G698" s="17" t="inlineStr">
        <is>
          <t>di bang token cua khach</t>
        </is>
      </c>
      <c r="H698" s="17" t="inlineStr">
        <is>
          <t>di_bang_token_cua_khach</t>
        </is>
      </c>
      <c r="I698" s="16" t="inlineStr">
        <is>
          <t>Đạt</t>
        </is>
      </c>
      <c r="J698" s="16" t="n">
        <v>0.02</v>
      </c>
    </row>
    <row r="699">
      <c r="A699" s="16" t="n">
        <v>695</v>
      </c>
      <c r="B699" s="16" t="inlineStr">
        <is>
          <t>Backend</t>
        </is>
      </c>
      <c r="C699" s="17" t="inlineStr">
        <is>
          <t>ai-chatbox-service</t>
        </is>
      </c>
      <c r="D699" s="16" t="inlineStr">
        <is>
          <t>Unit</t>
        </is>
      </c>
      <c r="E699" s="17" t="inlineStr">
        <is>
          <t>OrderingHttpAdapterTest › FetchOrder</t>
        </is>
      </c>
      <c r="F699" s="17" t="inlineStr"/>
      <c r="G699" s="17" t="inlineStr">
        <is>
          <t>khong co items</t>
        </is>
      </c>
      <c r="H699" s="17" t="inlineStr">
        <is>
          <t>khong_co_items</t>
        </is>
      </c>
      <c r="I699" s="16" t="inlineStr">
        <is>
          <t>Đạt</t>
        </is>
      </c>
      <c r="J699" s="16" t="n">
        <v>0.023</v>
      </c>
    </row>
    <row r="700">
      <c r="A700" s="16" t="n">
        <v>696</v>
      </c>
      <c r="B700" s="16" t="inlineStr">
        <is>
          <t>Backend</t>
        </is>
      </c>
      <c r="C700" s="17" t="inlineStr">
        <is>
          <t>ai-chatbox-service</t>
        </is>
      </c>
      <c r="D700" s="16" t="inlineStr">
        <is>
          <t>Unit</t>
        </is>
      </c>
      <c r="E700" s="17" t="inlineStr">
        <is>
          <t>OrderingHttpAdapterTest › FetchOrder</t>
        </is>
      </c>
      <c r="F700" s="17" t="inlineStr"/>
      <c r="G700" s="17" t="inlineStr">
        <is>
          <t>anh xa don</t>
        </is>
      </c>
      <c r="H700" s="17" t="inlineStr">
        <is>
          <t>anh_xa_don</t>
        </is>
      </c>
      <c r="I700" s="16" t="inlineStr">
        <is>
          <t>Đạt</t>
        </is>
      </c>
      <c r="J700" s="16" t="n">
        <v>0.041</v>
      </c>
    </row>
    <row r="701">
      <c r="A701" s="16" t="n">
        <v>697</v>
      </c>
      <c r="B701" s="16" t="inlineStr">
        <is>
          <t>Backend</t>
        </is>
      </c>
      <c r="C701" s="17" t="inlineStr">
        <is>
          <t>ai-chatbox-service</t>
        </is>
      </c>
      <c r="D701" s="16" t="inlineStr">
        <is>
          <t>Unit</t>
        </is>
      </c>
      <c r="E701" s="17" t="inlineStr">
        <is>
          <t>OrderingHttpAdapterTest › FetchOrder</t>
        </is>
      </c>
      <c r="F701" s="17" t="inlineStr"/>
      <c r="G701" s="17" t="inlineStr">
        <is>
          <t>mang dut va json hong</t>
        </is>
      </c>
      <c r="H701" s="17" t="inlineStr">
        <is>
          <t>mang_dut_va_json_hong</t>
        </is>
      </c>
      <c r="I701" s="16" t="inlineStr">
        <is>
          <t>Đạt</t>
        </is>
      </c>
      <c r="J701" s="16" t="n">
        <v>0.032</v>
      </c>
    </row>
    <row r="702">
      <c r="A702" s="16" t="n">
        <v>698</v>
      </c>
      <c r="B702" s="16" t="inlineStr">
        <is>
          <t>Backend</t>
        </is>
      </c>
      <c r="C702" s="17" t="inlineStr">
        <is>
          <t>ai-chatbox-service</t>
        </is>
      </c>
      <c r="D702" s="16" t="inlineStr">
        <is>
          <t>Unit</t>
        </is>
      </c>
      <c r="E702" s="17" t="inlineStr">
        <is>
          <t>OrderingHttpAdapterTest › FetchOrder</t>
        </is>
      </c>
      <c r="F702" s="17" t="inlineStr"/>
      <c r="G702" s="17" t="inlineStr">
        <is>
          <t>khong phan biet 404 va 403</t>
        </is>
      </c>
      <c r="H702" s="17" t="inlineStr">
        <is>
          <t>khong_phan_biet_404_va_403</t>
        </is>
      </c>
      <c r="I702" s="16" t="inlineStr">
        <is>
          <t>Đạt</t>
        </is>
      </c>
      <c r="J702" s="16" t="n">
        <v>0.027</v>
      </c>
    </row>
    <row r="703">
      <c r="A703" s="16" t="n">
        <v>699</v>
      </c>
      <c r="B703" s="16" t="inlineStr">
        <is>
          <t>Backend</t>
        </is>
      </c>
      <c r="C703" s="17" t="inlineStr">
        <is>
          <t>ai-chatbox-service</t>
        </is>
      </c>
      <c r="D703" s="16" t="inlineStr">
        <is>
          <t>Unit</t>
        </is>
      </c>
      <c r="E703" s="17" t="inlineStr">
        <is>
          <t>OrderingHttpAdapterTest › FetchOrder</t>
        </is>
      </c>
      <c r="F703" s="17" t="inlineStr"/>
      <c r="G703" s="17" t="inlineStr">
        <is>
          <t>body rong</t>
        </is>
      </c>
      <c r="H703" s="17" t="inlineStr">
        <is>
          <t>body_rong</t>
        </is>
      </c>
      <c r="I703" s="16" t="inlineStr">
        <is>
          <t>Đạt</t>
        </is>
      </c>
      <c r="J703" s="16" t="n">
        <v>0.011</v>
      </c>
    </row>
    <row r="704">
      <c r="A704" s="16" t="n">
        <v>700</v>
      </c>
      <c r="B704" s="16" t="inlineStr">
        <is>
          <t>Backend</t>
        </is>
      </c>
      <c r="C704" s="17" t="inlineStr">
        <is>
          <t>ai-chatbox-service</t>
        </is>
      </c>
      <c r="D704" s="16" t="inlineStr">
        <is>
          <t>Unit</t>
        </is>
      </c>
      <c r="E704" s="17" t="inlineStr">
        <is>
          <t>OrderingHttpAdapterTest › FetchOrder</t>
        </is>
      </c>
      <c r="F704" s="17" t="inlineStr"/>
      <c r="G704" s="17" t="inlineStr">
        <is>
          <t>loi 401 va 5xx la su co</t>
        </is>
      </c>
      <c r="H704" s="17" t="inlineStr">
        <is>
          <t>loi_401_va_5xx_la_su_co</t>
        </is>
      </c>
      <c r="I704" s="16" t="inlineStr">
        <is>
          <t>Đạt</t>
        </is>
      </c>
      <c r="J704" s="16" t="n">
        <v>0.047</v>
      </c>
    </row>
    <row r="705">
      <c r="A705" s="16" t="n">
        <v>701</v>
      </c>
      <c r="B705" s="16" t="inlineStr">
        <is>
          <t>Backend</t>
        </is>
      </c>
      <c r="C705" s="17" t="inlineStr">
        <is>
          <t>ai-chatbox-service</t>
        </is>
      </c>
      <c r="D705" s="16" t="inlineStr">
        <is>
          <t>Unit</t>
        </is>
      </c>
      <c r="E705" s="17" t="inlineStr">
        <is>
          <t>OrderingHttpAdapterTest › ListMyOrders</t>
        </is>
      </c>
      <c r="F705" s="17" t="inlineStr"/>
      <c r="G705" s="17" t="inlineStr">
        <is>
          <t>limit toi thieu 1</t>
        </is>
      </c>
      <c r="H705" s="17" t="inlineStr">
        <is>
          <t>limit_toi_thieu_1</t>
        </is>
      </c>
      <c r="I705" s="16" t="inlineStr">
        <is>
          <t>Đạt</t>
        </is>
      </c>
      <c r="J705" s="16" t="n">
        <v>0.031</v>
      </c>
    </row>
    <row r="706">
      <c r="A706" s="16" t="n">
        <v>702</v>
      </c>
      <c r="B706" s="16" t="inlineStr">
        <is>
          <t>Backend</t>
        </is>
      </c>
      <c r="C706" s="17" t="inlineStr">
        <is>
          <t>ai-chatbox-service</t>
        </is>
      </c>
      <c r="D706" s="16" t="inlineStr">
        <is>
          <t>Unit</t>
        </is>
      </c>
      <c r="E706" s="17" t="inlineStr">
        <is>
          <t>OrderingHttpAdapterTest › ListMyOrders</t>
        </is>
      </c>
      <c r="F706" s="17" t="inlineStr"/>
      <c r="G706" s="17" t="inlineStr">
        <is>
          <t>loi</t>
        </is>
      </c>
      <c r="H706" s="17" t="inlineStr">
        <is>
          <t>loi</t>
        </is>
      </c>
      <c r="I706" s="16" t="inlineStr">
        <is>
          <t>Đạt</t>
        </is>
      </c>
      <c r="J706" s="16" t="n">
        <v>0.097</v>
      </c>
    </row>
    <row r="707">
      <c r="A707" s="16" t="n">
        <v>703</v>
      </c>
      <c r="B707" s="16" t="inlineStr">
        <is>
          <t>Backend</t>
        </is>
      </c>
      <c r="C707" s="17" t="inlineStr">
        <is>
          <t>ai-chatbox-service</t>
        </is>
      </c>
      <c r="D707" s="16" t="inlineStr">
        <is>
          <t>Unit</t>
        </is>
      </c>
      <c r="E707" s="17" t="inlineStr">
        <is>
          <t>OrderingHttpAdapterTest › ListMyOrders</t>
        </is>
      </c>
      <c r="F707" s="17" t="inlineStr"/>
      <c r="G707" s="17" t="inlineStr">
        <is>
          <t>rong</t>
        </is>
      </c>
      <c r="H707" s="17" t="inlineStr">
        <is>
          <t>rong</t>
        </is>
      </c>
      <c r="I707" s="16" t="inlineStr">
        <is>
          <t>Đạt</t>
        </is>
      </c>
      <c r="J707" s="16" t="n">
        <v>0.047</v>
      </c>
    </row>
    <row r="708">
      <c r="A708" s="16" t="n">
        <v>704</v>
      </c>
      <c r="B708" s="16" t="inlineStr">
        <is>
          <t>Backend</t>
        </is>
      </c>
      <c r="C708" s="17" t="inlineStr">
        <is>
          <t>ai-chatbox-service</t>
        </is>
      </c>
      <c r="D708" s="16" t="inlineStr">
        <is>
          <t>Unit</t>
        </is>
      </c>
      <c r="E708" s="17" t="inlineStr">
        <is>
          <t>OrderingHttpAdapterTest › ListMyOrders</t>
        </is>
      </c>
      <c r="F708" s="17" t="inlineStr"/>
      <c r="G708" s="17" t="inlineStr">
        <is>
          <t>goi dung duong</t>
        </is>
      </c>
      <c r="H708" s="17" t="inlineStr">
        <is>
          <t>goi_dung_duong</t>
        </is>
      </c>
      <c r="I708" s="16" t="inlineStr">
        <is>
          <t>Đạt</t>
        </is>
      </c>
      <c r="J708" s="16" t="n">
        <v>0.024</v>
      </c>
    </row>
    <row r="709">
      <c r="A709" s="16" t="n">
        <v>705</v>
      </c>
      <c r="B709" s="16" t="inlineStr">
        <is>
          <t>Backend</t>
        </is>
      </c>
      <c r="C709" s="17" t="inlineStr">
        <is>
          <t>ai-chatbox-service</t>
        </is>
      </c>
      <c r="D709" s="16" t="inlineStr">
        <is>
          <t>Unit</t>
        </is>
      </c>
      <c r="E709" s="17" t="inlineStr">
        <is>
          <t>OrderingHttpAdapterTest › PlaceOrder</t>
        </is>
      </c>
      <c r="F709" s="17" t="inlineStr"/>
      <c r="G709" s="17" t="inlineStr">
        <is>
          <t>gui dung va anh xa</t>
        </is>
      </c>
      <c r="H709" s="17" t="inlineStr">
        <is>
          <t>gui_dung_va_anh_xa</t>
        </is>
      </c>
      <c r="I709" s="16" t="inlineStr">
        <is>
          <t>Đạt</t>
        </is>
      </c>
      <c r="J709" s="16" t="n">
        <v>0.032</v>
      </c>
    </row>
    <row r="710">
      <c r="A710" s="16" t="n">
        <v>706</v>
      </c>
      <c r="B710" s="16" t="inlineStr">
        <is>
          <t>Backend</t>
        </is>
      </c>
      <c r="C710" s="17" t="inlineStr">
        <is>
          <t>ai-chatbox-service</t>
        </is>
      </c>
      <c r="D710" s="16" t="inlineStr">
        <is>
          <t>Unit</t>
        </is>
      </c>
      <c r="E710" s="17" t="inlineStr">
        <is>
          <t>OrderingHttpAdapterTest › PlaceOrder</t>
        </is>
      </c>
      <c r="F710" s="17" t="inlineStr"/>
      <c r="G710" s="17" t="inlineStr">
        <is>
          <t>loi 5xx</t>
        </is>
      </c>
      <c r="H710" s="17" t="inlineStr">
        <is>
          <t>loi_5xx</t>
        </is>
      </c>
      <c r="I710" s="16" t="inlineStr">
        <is>
          <t>Đạt</t>
        </is>
      </c>
      <c r="J710" s="16" t="n">
        <v>0.054</v>
      </c>
    </row>
    <row r="711">
      <c r="A711" s="16" t="n">
        <v>707</v>
      </c>
      <c r="B711" s="16" t="inlineStr">
        <is>
          <t>Backend</t>
        </is>
      </c>
      <c r="C711" s="17" t="inlineStr">
        <is>
          <t>ai-chatbox-service</t>
        </is>
      </c>
      <c r="D711" s="16" t="inlineStr">
        <is>
          <t>Unit</t>
        </is>
      </c>
      <c r="E711" s="17" t="inlineStr">
        <is>
          <t>OrderingHttpAdapterTest › PlaceOrder</t>
        </is>
      </c>
      <c r="F711" s="17" t="inlineStr"/>
      <c r="G711" s="17" t="inlineStr">
        <is>
          <t>ma la roi ve cau chung</t>
        </is>
      </c>
      <c r="H711" s="17" t="inlineStr">
        <is>
          <t>ma_la_roi_ve_cau_chung</t>
        </is>
      </c>
      <c r="I711" s="16" t="inlineStr">
        <is>
          <t>Đạt</t>
        </is>
      </c>
      <c r="J711" s="16" t="n">
        <v>0.068</v>
      </c>
    </row>
    <row r="712">
      <c r="A712" s="16" t="n">
        <v>708</v>
      </c>
      <c r="B712" s="16" t="inlineStr">
        <is>
          <t>Backend</t>
        </is>
      </c>
      <c r="C712" s="17" t="inlineStr">
        <is>
          <t>ai-chatbox-service</t>
        </is>
      </c>
      <c r="D712" s="16" t="inlineStr">
        <is>
          <t>Unit</t>
        </is>
      </c>
      <c r="E712" s="17" t="inlineStr">
        <is>
          <t>OrderingHttpAdapterTest › PlaceOrder</t>
        </is>
      </c>
      <c r="F712" s="17" t="inlineStr"/>
      <c r="G712" s="17" t="inlineStr">
        <is>
          <t>dich ma loi</t>
        </is>
      </c>
      <c r="H712" s="17" t="inlineStr">
        <is>
          <t>dich_ma_loi</t>
        </is>
      </c>
      <c r="I712" s="16" t="inlineStr">
        <is>
          <t>Đạt</t>
        </is>
      </c>
      <c r="J712" s="16" t="n">
        <v>0.078</v>
      </c>
    </row>
    <row r="713">
      <c r="A713" s="16" t="n">
        <v>709</v>
      </c>
      <c r="B713" s="16" t="inlineStr">
        <is>
          <t>Backend</t>
        </is>
      </c>
      <c r="C713" s="17" t="inlineStr">
        <is>
          <t>ai-chatbox-service</t>
        </is>
      </c>
      <c r="D713" s="16" t="inlineStr">
        <is>
          <t>Unit</t>
        </is>
      </c>
      <c r="E713" s="17" t="inlineStr">
        <is>
          <t>OrderingHttpAdapterTest › PlaceOrder</t>
        </is>
      </c>
      <c r="F713" s="17" t="inlineStr"/>
      <c r="G713" s="17" t="inlineStr">
        <is>
          <t>body rong mang dut</t>
        </is>
      </c>
      <c r="H713" s="17" t="inlineStr">
        <is>
          <t>body_rong_mang_dut</t>
        </is>
      </c>
      <c r="I713" s="16" t="inlineStr">
        <is>
          <t>Đạt</t>
        </is>
      </c>
      <c r="J713" s="16" t="n">
        <v>0.053</v>
      </c>
    </row>
    <row r="714">
      <c r="A714" s="16" t="n">
        <v>710</v>
      </c>
      <c r="B714" s="16" t="inlineStr">
        <is>
          <t>Backend</t>
        </is>
      </c>
      <c r="C714" s="17" t="inlineStr">
        <is>
          <t>ai-chatbox-service</t>
        </is>
      </c>
      <c r="D714" s="16" t="inlineStr">
        <is>
          <t>Unit</t>
        </is>
      </c>
      <c r="E714" s="17" t="inlineStr">
        <is>
          <t>OrderingHttpAdapterTest</t>
        </is>
      </c>
      <c r="F714" s="17" t="inlineStr"/>
      <c r="G714" s="17" t="inlineStr">
        <is>
          <t>conflict ma khac van la tu choi co cau dich</t>
        </is>
      </c>
      <c r="H714" s="17" t="inlineStr">
        <is>
          <t>conflict_ma_khac_van_la_tu_choi_co_cau_dich</t>
        </is>
      </c>
      <c r="I714" s="16" t="inlineStr">
        <is>
          <t>Đạt</t>
        </is>
      </c>
      <c r="J714" s="16" t="n">
        <v>0.022</v>
      </c>
    </row>
    <row r="715">
      <c r="A715" s="16" t="n">
        <v>711</v>
      </c>
      <c r="B715" s="16" t="inlineStr">
        <is>
          <t>Backend</t>
        </is>
      </c>
      <c r="C715" s="17" t="inlineStr">
        <is>
          <t>ai-chatbox-service</t>
        </is>
      </c>
      <c r="D715" s="16" t="inlineStr">
        <is>
          <t>Unit</t>
        </is>
      </c>
      <c r="E715" s="17" t="inlineStr">
        <is>
          <t>OrderingHttpAdapterTest</t>
        </is>
      </c>
      <c r="F715" s="17" t="inlineStr"/>
      <c r="G715" s="17" t="inlineStr">
        <is>
          <t>conflict khong co body thi tu choi voi cau chung</t>
        </is>
      </c>
      <c r="H715" s="17" t="inlineStr">
        <is>
          <t>conflict_khong_co_body_thi_tu_choi_voi_cau_chung</t>
        </is>
      </c>
      <c r="I715" s="16" t="inlineStr">
        <is>
          <t>Đạt</t>
        </is>
      </c>
      <c r="J715" s="16" t="n">
        <v>0.004</v>
      </c>
    </row>
    <row r="716">
      <c r="A716" s="16" t="n">
        <v>712</v>
      </c>
      <c r="B716" s="16" t="inlineStr">
        <is>
          <t>Backend</t>
        </is>
      </c>
      <c r="C716" s="17" t="inlineStr">
        <is>
          <t>ai-chatbox-service</t>
        </is>
      </c>
      <c r="D716" s="16" t="inlineStr">
        <is>
          <t>Unit</t>
        </is>
      </c>
      <c r="E716" s="17" t="inlineStr">
        <is>
          <t>OrderingHttpAdapterTest</t>
        </is>
      </c>
      <c r="F716" s="17" t="inlineStr"/>
      <c r="G716" s="17" t="inlineStr">
        <is>
          <t>loi 5xx la su co</t>
        </is>
      </c>
      <c r="H716" s="17" t="inlineStr">
        <is>
          <t>loi_5xx_la_su_co</t>
        </is>
      </c>
      <c r="I716" s="16" t="inlineStr">
        <is>
          <t>Đạt</t>
        </is>
      </c>
      <c r="J716" s="16" t="n">
        <v>0.004</v>
      </c>
    </row>
    <row r="717">
      <c r="A717" s="16" t="n">
        <v>713</v>
      </c>
      <c r="B717" s="16" t="inlineStr">
        <is>
          <t>Backend</t>
        </is>
      </c>
      <c r="C717" s="17" t="inlineStr">
        <is>
          <t>ai-chatbox-service</t>
        </is>
      </c>
      <c r="D717" s="16" t="inlineStr">
        <is>
          <t>Unit</t>
        </is>
      </c>
      <c r="E717" s="17" t="inlineStr">
        <is>
          <t>OrderingHttpAdapterTest</t>
        </is>
      </c>
      <c r="F717" s="17" t="inlineStr"/>
      <c r="G717" s="17" t="inlineStr">
        <is>
          <t>thanh cong thi tra don</t>
        </is>
      </c>
      <c r="H717" s="17" t="inlineStr">
        <is>
          <t>thanh_cong_thi_tra_don</t>
        </is>
      </c>
      <c r="I717" s="16" t="inlineStr">
        <is>
          <t>Đạt</t>
        </is>
      </c>
      <c r="J717" s="16" t="n">
        <v>0.005</v>
      </c>
    </row>
    <row r="718">
      <c r="A718" s="16" t="n">
        <v>714</v>
      </c>
      <c r="B718" s="16" t="inlineStr">
        <is>
          <t>Backend</t>
        </is>
      </c>
      <c r="C718" s="17" t="inlineStr">
        <is>
          <t>ai-chatbox-service</t>
        </is>
      </c>
      <c r="D718" s="16" t="inlineStr">
        <is>
          <t>Unit</t>
        </is>
      </c>
      <c r="E718" s="17" t="inlineStr">
        <is>
          <t>OrderingHttpAdapterTest</t>
        </is>
      </c>
      <c r="F718" s="17" t="inlineStr"/>
      <c r="G718" s="17" t="inlineStr">
        <is>
          <t>request cung khoa dang chay la chua biet khong phai tu choi</t>
        </is>
      </c>
      <c r="H718" s="17" t="inlineStr">
        <is>
          <t>request_cung_khoa_dang_chay_la_chua_biet_khong_phai_tu_choi</t>
        </is>
      </c>
      <c r="I718" s="16" t="inlineStr">
        <is>
          <t>Đạt</t>
        </is>
      </c>
      <c r="J718" s="16" t="n">
        <v>0.005</v>
      </c>
    </row>
    <row r="719">
      <c r="A719" s="16" t="n">
        <v>715</v>
      </c>
      <c r="B719" s="16" t="inlineStr">
        <is>
          <t>Backend</t>
        </is>
      </c>
      <c r="C719" s="17" t="inlineStr">
        <is>
          <t>ai-chatbox-service</t>
        </is>
      </c>
      <c r="D719" s="16" t="inlineStr">
        <is>
          <t>Unit</t>
        </is>
      </c>
      <c r="E719" s="17" t="inlineStr">
        <is>
          <t>OrderingHttpAdapterTest</t>
        </is>
      </c>
      <c r="F719" s="17" t="inlineStr"/>
      <c r="G719" s="17" t="inlineStr">
        <is>
          <t>body khong phai json thi tu choi voi cau chung</t>
        </is>
      </c>
      <c r="H719" s="17" t="inlineStr">
        <is>
          <t>body_khong_phai_json_thi_tu_choi_voi_cau_chung</t>
        </is>
      </c>
      <c r="I719" s="16" t="inlineStr">
        <is>
          <t>Đạt</t>
        </is>
      </c>
      <c r="J719" s="16" t="n">
        <v>0.005</v>
      </c>
    </row>
    <row r="720">
      <c r="A720" s="16" t="n">
        <v>716</v>
      </c>
      <c r="B720" s="16" t="inlineStr">
        <is>
          <t>Backend</t>
        </is>
      </c>
      <c r="C720" s="17" t="inlineStr">
        <is>
          <t>ai-chatbox-service</t>
        </is>
      </c>
      <c r="D720" s="16" t="inlineStr">
        <is>
          <t>Unit</t>
        </is>
      </c>
      <c r="E720" s="17" t="inlineStr">
        <is>
          <t>AnthropicClientConfigTest</t>
        </is>
      </c>
      <c r="F720" s="17" t="inlineStr"/>
      <c r="G720" s="17" t="inlineStr">
        <is>
          <t>khai khong thi khong thu lai</t>
        </is>
      </c>
      <c r="H720" s="17" t="inlineStr">
        <is>
          <t>khai_khong_thi_khong_thu_lai</t>
        </is>
      </c>
      <c r="I720" s="16" t="inlineStr">
        <is>
          <t>Đạt</t>
        </is>
      </c>
      <c r="J720" s="16" t="n">
        <v>0.389</v>
      </c>
    </row>
    <row r="721">
      <c r="A721" s="16" t="n">
        <v>717</v>
      </c>
      <c r="B721" s="16" t="inlineStr">
        <is>
          <t>Backend</t>
        </is>
      </c>
      <c r="C721" s="17" t="inlineStr">
        <is>
          <t>ai-chatbox-service</t>
        </is>
      </c>
      <c r="D721" s="16" t="inlineStr">
        <is>
          <t>Unit</t>
        </is>
      </c>
      <c r="E721" s="17" t="inlineStr">
        <is>
          <t>AnthropicClientConfigTest</t>
        </is>
      </c>
      <c r="F721" s="17" t="inlineStr"/>
      <c r="G721" s="17" t="inlineStr">
        <is>
          <t>mac dinh thu lai mot lan</t>
        </is>
      </c>
      <c r="H721" s="17" t="inlineStr">
        <is>
          <t>mac_dinh_thu_lai_mot_lan</t>
        </is>
      </c>
      <c r="I721" s="16" t="inlineStr">
        <is>
          <t>Đạt</t>
        </is>
      </c>
      <c r="J721" s="16" t="n">
        <v>0.02</v>
      </c>
    </row>
    <row r="722">
      <c r="A722" s="16" t="n">
        <v>718</v>
      </c>
      <c r="B722" s="16" t="inlineStr">
        <is>
          <t>Backend</t>
        </is>
      </c>
      <c r="C722" s="17" t="inlineStr">
        <is>
          <t>ai-chatbox-service</t>
        </is>
      </c>
      <c r="D722" s="16" t="inlineStr">
        <is>
          <t>Unit</t>
        </is>
      </c>
      <c r="E722" s="17" t="inlineStr">
        <is>
          <t>AnthropicLlmAdapterBehaviorTest › ClientConfig</t>
        </is>
      </c>
      <c r="F722" s="17" t="inlineStr">
        <is>
          <t>AnthropicClientConfig</t>
        </is>
      </c>
      <c r="G722" s="17" t="inlineStr">
        <is>
          <t>thiếu khoá API thì không dựng client — service không khởi động được</t>
        </is>
      </c>
      <c r="H722" s="17" t="inlineStr">
        <is>
          <t>thieu_khoa_thi_khong_dung_client</t>
        </is>
      </c>
      <c r="I722" s="16" t="inlineStr">
        <is>
          <t>Đạt</t>
        </is>
      </c>
      <c r="J722" s="16" t="n">
        <v>0.003</v>
      </c>
    </row>
    <row r="723">
      <c r="A723" s="16" t="n">
        <v>719</v>
      </c>
      <c r="B723" s="16" t="inlineStr">
        <is>
          <t>Backend</t>
        </is>
      </c>
      <c r="C723" s="17" t="inlineStr">
        <is>
          <t>ai-chatbox-service</t>
        </is>
      </c>
      <c r="D723" s="16" t="inlineStr">
        <is>
          <t>Unit</t>
        </is>
      </c>
      <c r="E723" s="17" t="inlineStr">
        <is>
          <t>AnthropicLlmAdapterBehaviorTest › ClientConfig</t>
        </is>
      </c>
      <c r="F723" s="17" t="inlineStr">
        <is>
          <t>AnthropicClientConfig</t>
        </is>
      </c>
      <c r="G723" s="17" t="inlineStr">
        <is>
          <t>có khoá thì dựng được client</t>
        </is>
      </c>
      <c r="H723" s="17" t="inlineStr">
        <is>
          <t>co_khoa_thi_dung_duoc_client</t>
        </is>
      </c>
      <c r="I723" s="16" t="inlineStr">
        <is>
          <t>Đạt</t>
        </is>
      </c>
      <c r="J723" s="16" t="n">
        <v>0.003</v>
      </c>
    </row>
    <row r="724">
      <c r="A724" s="16" t="n">
        <v>720</v>
      </c>
      <c r="B724" s="16" t="inlineStr">
        <is>
          <t>Backend</t>
        </is>
      </c>
      <c r="C724" s="17" t="inlineStr">
        <is>
          <t>ai-chatbox-service</t>
        </is>
      </c>
      <c r="D724" s="16" t="inlineStr">
        <is>
          <t>Unit</t>
        </is>
      </c>
      <c r="E724" s="17" t="inlineStr">
        <is>
          <t>AnthropicLlmAdapterBehaviorTest › DocResponse</t>
        </is>
      </c>
      <c r="F724" s="17" t="inlineStr">
        <is>
          <t>đọc response</t>
        </is>
      </c>
      <c r="G724" s="17" t="inlineStr">
        <is>
          <t>khối suy luận có chữ ký được gửi lại NGUYÊN VẸN ở vòng sau</t>
        </is>
      </c>
      <c r="H724" s="17" t="inlineStr">
        <is>
          <t>khoi_suy_luan_duoc_gui_lai_nguyen_ven</t>
        </is>
      </c>
      <c r="I724" s="16" t="inlineStr">
        <is>
          <t>Đạt</t>
        </is>
      </c>
      <c r="J724" s="16" t="n">
        <v>0.147</v>
      </c>
    </row>
    <row r="725">
      <c r="A725" s="16" t="n">
        <v>721</v>
      </c>
      <c r="B725" s="16" t="inlineStr">
        <is>
          <t>Backend</t>
        </is>
      </c>
      <c r="C725" s="17" t="inlineStr">
        <is>
          <t>ai-chatbox-service</t>
        </is>
      </c>
      <c r="D725" s="16" t="inlineStr">
        <is>
          <t>Unit</t>
        </is>
      </c>
      <c r="E725" s="17" t="inlineStr">
        <is>
          <t>AnthropicLlmAdapterBehaviorTest › DocResponse</t>
        </is>
      </c>
      <c r="F725" s="17" t="inlineStr">
        <is>
          <t>đọc response</t>
        </is>
      </c>
      <c r="G725" s="17" t="inlineStr">
        <is>
          <t>chỉ có lời thì là Answer</t>
        </is>
      </c>
      <c r="H725" s="17" t="inlineStr">
        <is>
          <t>chi_co_loi_la_answer</t>
        </is>
      </c>
      <c r="I725" s="16" t="inlineStr">
        <is>
          <t>Đạt</t>
        </is>
      </c>
      <c r="J725" s="16" t="n">
        <v>0.008999999999999999</v>
      </c>
    </row>
    <row r="726">
      <c r="A726" s="16" t="n">
        <v>722</v>
      </c>
      <c r="B726" s="16" t="inlineStr">
        <is>
          <t>Backend</t>
        </is>
      </c>
      <c r="C726" s="17" t="inlineStr">
        <is>
          <t>ai-chatbox-service</t>
        </is>
      </c>
      <c r="D726" s="16" t="inlineStr">
        <is>
          <t>Unit</t>
        </is>
      </c>
      <c r="E726" s="17" t="inlineStr">
        <is>
          <t>AnthropicLlmAdapterBehaviorTest › DocResponse</t>
        </is>
      </c>
      <c r="F726" s="17" t="inlineStr">
        <is>
          <t>đọc response</t>
        </is>
      </c>
      <c r="G726" s="17" t="inlineStr">
        <is>
          <t>nhiều tool call song song đều được giữ, đúng thứ tự</t>
        </is>
      </c>
      <c r="H726" s="17" t="inlineStr">
        <is>
          <t>nhieu_tool_call_song_song</t>
        </is>
      </c>
      <c r="I726" s="16" t="inlineStr">
        <is>
          <t>Đạt</t>
        </is>
      </c>
      <c r="J726" s="16" t="n">
        <v>0.014</v>
      </c>
    </row>
    <row r="727">
      <c r="A727" s="16" t="n">
        <v>723</v>
      </c>
      <c r="B727" s="16" t="inlineStr">
        <is>
          <t>Backend</t>
        </is>
      </c>
      <c r="C727" s="17" t="inlineStr">
        <is>
          <t>ai-chatbox-service</t>
        </is>
      </c>
      <c r="D727" s="16" t="inlineStr">
        <is>
          <t>Unit</t>
        </is>
      </c>
      <c r="E727" s="17" t="inlineStr">
        <is>
          <t>AnthropicLlmAdapterBehaviorTest › DocResponse</t>
        </is>
      </c>
      <c r="F727" s="17" t="inlineStr">
        <is>
          <t>đọc response</t>
        </is>
      </c>
      <c r="G727" s="17" t="inlineStr">
        <is>
          <t>tham số tool không phải object thì thành Map rỗng, không ném</t>
        </is>
      </c>
      <c r="H727" s="17" t="inlineStr">
        <is>
          <t>tham_so_khong_phai_object_thanh_map_rong</t>
        </is>
      </c>
      <c r="I727" s="16" t="inlineStr">
        <is>
          <t>Đạt</t>
        </is>
      </c>
      <c r="J727" s="16" t="n">
        <v>0.01</v>
      </c>
    </row>
    <row r="728">
      <c r="A728" s="16" t="n">
        <v>724</v>
      </c>
      <c r="B728" s="16" t="inlineStr">
        <is>
          <t>Backend</t>
        </is>
      </c>
      <c r="C728" s="17" t="inlineStr">
        <is>
          <t>ai-chatbox-service</t>
        </is>
      </c>
      <c r="D728" s="16" t="inlineStr">
        <is>
          <t>Unit</t>
        </is>
      </c>
      <c r="E728" s="17" t="inlineStr">
        <is>
          <t>AnthropicLlmAdapterBehaviorTest › DocResponse</t>
        </is>
      </c>
      <c r="F728" s="17" t="inlineStr">
        <is>
          <t>đọc response</t>
        </is>
      </c>
      <c r="G728" s="17" t="inlineStr">
        <is>
          <t>tham số lồng nhau và kiểu số được giữ nguyên để tầng tool tự kiểm</t>
        </is>
      </c>
      <c r="H728" s="17" t="inlineStr">
        <is>
          <t>tham_so_long_nhau_duoc_giu</t>
        </is>
      </c>
      <c r="I728" s="16" t="inlineStr">
        <is>
          <t>Đạt</t>
        </is>
      </c>
      <c r="J728" s="16" t="n">
        <v>0.019</v>
      </c>
    </row>
    <row r="729">
      <c r="A729" s="16" t="n">
        <v>725</v>
      </c>
      <c r="B729" s="16" t="inlineStr">
        <is>
          <t>Backend</t>
        </is>
      </c>
      <c r="C729" s="17" t="inlineStr">
        <is>
          <t>ai-chatbox-service</t>
        </is>
      </c>
      <c r="D729" s="16" t="inlineStr">
        <is>
          <t>Unit</t>
        </is>
      </c>
      <c r="E729" s="17" t="inlineStr">
        <is>
          <t>AnthropicLlmAdapterBehaviorTest › DocResponse</t>
        </is>
      </c>
      <c r="F729" s="17" t="inlineStr">
        <is>
          <t>đọc response</t>
        </is>
      </c>
      <c r="G729" s="17" t="inlineStr">
        <is>
          <t>vừa có lời dẫn vừa có tool call thì KHÔNG phải câu trả lời cuối</t>
        </is>
      </c>
      <c r="H729" s="17" t="inlineStr">
        <is>
          <t>loi_dan_kem_tool_call_la_tool_request</t>
        </is>
      </c>
      <c r="I729" s="16" t="inlineStr">
        <is>
          <t>Đạt</t>
        </is>
      </c>
      <c r="J729" s="16" t="n">
        <v>0.012</v>
      </c>
    </row>
    <row r="730">
      <c r="A730" s="16" t="n">
        <v>726</v>
      </c>
      <c r="B730" s="16" t="inlineStr">
        <is>
          <t>Backend</t>
        </is>
      </c>
      <c r="C730" s="17" t="inlineStr">
        <is>
          <t>ai-chatbox-service</t>
        </is>
      </c>
      <c r="D730" s="16" t="inlineStr">
        <is>
          <t>Unit</t>
        </is>
      </c>
      <c r="E730" s="17" t="inlineStr">
        <is>
          <t>AnthropicLlmAdapterBehaviorTest › DocResponse</t>
        </is>
      </c>
      <c r="F730" s="17" t="inlineStr">
        <is>
          <t>đọc response</t>
        </is>
      </c>
      <c r="G730" s="17" t="inlineStr">
        <is>
          <t>lượt rỗng (không lời, không tool) là LlmUnavailableException, không phải câu trả lời trống</t>
        </is>
      </c>
      <c r="H730" s="17" t="inlineStr">
        <is>
          <t>luot_rong_la_loi</t>
        </is>
      </c>
      <c r="I730" s="16" t="inlineStr">
        <is>
          <t>Đạt</t>
        </is>
      </c>
      <c r="J730" s="16" t="n">
        <v>0.012</v>
      </c>
    </row>
    <row r="731">
      <c r="A731" s="16" t="n">
        <v>727</v>
      </c>
      <c r="B731" s="16" t="inlineStr">
        <is>
          <t>Backend</t>
        </is>
      </c>
      <c r="C731" s="17" t="inlineStr">
        <is>
          <t>ai-chatbox-service</t>
        </is>
      </c>
      <c r="D731" s="16" t="inlineStr">
        <is>
          <t>Unit</t>
        </is>
      </c>
      <c r="E731" s="17" t="inlineStr">
        <is>
          <t>AnthropicLlmAdapterBehaviorTest › DocResponse</t>
        </is>
      </c>
      <c r="F731" s="17" t="inlineStr">
        <is>
          <t>đọc response</t>
        </is>
      </c>
      <c r="G731" s="17" t="inlineStr">
        <is>
          <t>chỉ có khối suy luận mà chạm trần token: trả Answer rỗng để vòng ReAct thử lại</t>
        </is>
      </c>
      <c r="H731" s="17" t="inlineStr">
        <is>
          <t>chi_co_suy_luan_la_luot_rong</t>
        </is>
      </c>
      <c r="I731" s="16" t="inlineStr">
        <is>
          <t>Đạt</t>
        </is>
      </c>
      <c r="J731" s="16" t="n">
        <v>0.012</v>
      </c>
    </row>
    <row r="732">
      <c r="A732" s="16" t="n">
        <v>728</v>
      </c>
      <c r="B732" s="16" t="inlineStr">
        <is>
          <t>Backend</t>
        </is>
      </c>
      <c r="C732" s="17" t="inlineStr">
        <is>
          <t>ai-chatbox-service</t>
        </is>
      </c>
      <c r="D732" s="16" t="inlineStr">
        <is>
          <t>Unit</t>
        </is>
      </c>
      <c r="E732" s="17" t="inlineStr">
        <is>
          <t>AnthropicLlmAdapterBehaviorTest › DocResponse</t>
        </is>
      </c>
      <c r="F732" s="17" t="inlineStr">
        <is>
          <t>đọc response</t>
        </is>
      </c>
      <c r="G732" s="17" t="inlineStr">
        <is>
          <t>nhiều khối text được nối lại thành một câu trả lời</t>
        </is>
      </c>
      <c r="H732" s="17" t="inlineStr">
        <is>
          <t>nhieu_khoi_text_duoc_noi</t>
        </is>
      </c>
      <c r="I732" s="16" t="inlineStr">
        <is>
          <t>Đạt</t>
        </is>
      </c>
      <c r="J732" s="16" t="n">
        <v>0.012</v>
      </c>
    </row>
    <row r="733">
      <c r="A733" s="16" t="n">
        <v>729</v>
      </c>
      <c r="B733" s="16" t="inlineStr">
        <is>
          <t>Backend</t>
        </is>
      </c>
      <c r="C733" s="17" t="inlineStr">
        <is>
          <t>ai-chatbox-service</t>
        </is>
      </c>
      <c r="D733" s="16" t="inlineStr">
        <is>
          <t>Unit</t>
        </is>
      </c>
      <c r="E733" s="17" t="inlineStr">
        <is>
          <t>AnthropicLlmAdapterBehaviorTest › DungRequest</t>
        </is>
      </c>
      <c r="F733" s="17" t="inlineStr">
        <is>
          <t>dựng request</t>
        </is>
      </c>
      <c r="G733" s="17" t="inlineStr">
        <is>
          <t>prompt hệ thống được đánh dấu cache và là phần duy nhất của system</t>
        </is>
      </c>
      <c r="H733" s="17" t="inlineStr">
        <is>
          <t>prompt_he_thong_duoc_danh_dau_cache</t>
        </is>
      </c>
      <c r="I733" s="16" t="inlineStr">
        <is>
          <t>Đạt</t>
        </is>
      </c>
      <c r="J733" s="16" t="n">
        <v>0.012</v>
      </c>
    </row>
    <row r="734">
      <c r="A734" s="16" t="n">
        <v>730</v>
      </c>
      <c r="B734" s="16" t="inlineStr">
        <is>
          <t>Backend</t>
        </is>
      </c>
      <c r="C734" s="17" t="inlineStr">
        <is>
          <t>ai-chatbox-service</t>
        </is>
      </c>
      <c r="D734" s="16" t="inlineStr">
        <is>
          <t>Unit</t>
        </is>
      </c>
      <c r="E734" s="17" t="inlineStr">
        <is>
          <t>AnthropicLlmAdapterBehaviorTest › DungRequest</t>
        </is>
      </c>
      <c r="F734" s="17" t="inlineStr">
        <is>
          <t>dựng request</t>
        </is>
      </c>
      <c r="G734" s="17" t="inlineStr">
        <is>
          <t>lời của khách đi vào message vai user, không lẫn vào prompt hệ thống</t>
        </is>
      </c>
      <c r="H734" s="17" t="inlineStr">
        <is>
          <t>loi_cua_khach_khong_lan_vao_prompt_he_thong</t>
        </is>
      </c>
      <c r="I734" s="16" t="inlineStr">
        <is>
          <t>Đạt</t>
        </is>
      </c>
      <c r="J734" s="16" t="n">
        <v>0.012</v>
      </c>
    </row>
    <row r="735">
      <c r="A735" s="16" t="n">
        <v>731</v>
      </c>
      <c r="B735" s="16" t="inlineStr">
        <is>
          <t>Backend</t>
        </is>
      </c>
      <c r="C735" s="17" t="inlineStr">
        <is>
          <t>ai-chatbox-service</t>
        </is>
      </c>
      <c r="D735" s="16" t="inlineStr">
        <is>
          <t>Unit</t>
        </is>
      </c>
      <c r="E735" s="17" t="inlineStr">
        <is>
          <t>AnthropicLlmAdapterBehaviorTest › DungRequest</t>
        </is>
      </c>
      <c r="F735" s="17" t="inlineStr">
        <is>
          <t>dựng request</t>
        </is>
      </c>
      <c r="G735" s="17" t="inlineStr">
        <is>
          <t>khoá API đi bằng header x-api-key tới đúng đường /v1/messages, không nằm trong body</t>
        </is>
      </c>
      <c r="H735" s="17" t="inlineStr">
        <is>
          <t>khoa_api_di_bang_header</t>
        </is>
      </c>
      <c r="I735" s="16" t="inlineStr">
        <is>
          <t>Đạt</t>
        </is>
      </c>
      <c r="J735" s="16" t="n">
        <v>0.012</v>
      </c>
    </row>
    <row r="736">
      <c r="A736" s="16" t="n">
        <v>732</v>
      </c>
      <c r="B736" s="16" t="inlineStr">
        <is>
          <t>Backend</t>
        </is>
      </c>
      <c r="C736" s="17" t="inlineStr">
        <is>
          <t>ai-chatbox-service</t>
        </is>
      </c>
      <c r="D736" s="16" t="inlineStr">
        <is>
          <t>Unit</t>
        </is>
      </c>
      <c r="E736" s="17" t="inlineStr">
        <is>
          <t>AnthropicLlmAdapterBehaviorTest › DungRequest</t>
        </is>
      </c>
      <c r="F736" s="17" t="inlineStr">
        <is>
          <t>dựng request</t>
        </is>
      </c>
      <c r="G736" s="17" t="inlineStr">
        <is>
          <t>gửi đúng mô hình, trần token, suy luận thích ứng và effort viết thường</t>
        </is>
      </c>
      <c r="H736" s="17" t="inlineStr">
        <is>
          <t>tham_so_mo_hinh</t>
        </is>
      </c>
      <c r="I736" s="16" t="inlineStr">
        <is>
          <t>Đạt</t>
        </is>
      </c>
      <c r="J736" s="16" t="n">
        <v>0.011</v>
      </c>
    </row>
    <row r="737">
      <c r="A737" s="16" t="n">
        <v>733</v>
      </c>
      <c r="B737" s="16" t="inlineStr">
        <is>
          <t>Backend</t>
        </is>
      </c>
      <c r="C737" s="17" t="inlineStr">
        <is>
          <t>ai-chatbox-service</t>
        </is>
      </c>
      <c r="D737" s="16" t="inlineStr">
        <is>
          <t>Unit</t>
        </is>
      </c>
      <c r="E737" s="17" t="inlineStr">
        <is>
          <t>AnthropicLlmAdapterBehaviorTest › DungRequest</t>
        </is>
      </c>
      <c r="F737" s="17" t="inlineStr">
        <is>
          <t>dựng request</t>
        </is>
      </c>
      <c r="G737" s="17" t="inlineStr">
        <is>
          <t>tool được dựng thành JSON Schema: tham số bắt buộc nằm trong required, tuỳ chọn thì không</t>
        </is>
      </c>
      <c r="H737" s="17" t="inlineStr">
        <is>
          <t>tool_thanh_json_schema</t>
        </is>
      </c>
      <c r="I737" s="16" t="inlineStr">
        <is>
          <t>Đạt</t>
        </is>
      </c>
      <c r="J737" s="16" t="n">
        <v>0.074</v>
      </c>
    </row>
    <row r="738">
      <c r="A738" s="16" t="n">
        <v>734</v>
      </c>
      <c r="B738" s="16" t="inlineStr">
        <is>
          <t>Backend</t>
        </is>
      </c>
      <c r="C738" s="17" t="inlineStr">
        <is>
          <t>ai-chatbox-service</t>
        </is>
      </c>
      <c r="D738" s="16" t="inlineStr">
        <is>
          <t>Unit</t>
        </is>
      </c>
      <c r="E738" s="17" t="inlineStr">
        <is>
          <t>AnthropicLlmAdapterBehaviorTest › DungRequest</t>
        </is>
      </c>
      <c r="F738" s="17" t="inlineStr">
        <is>
          <t>dựng request</t>
        </is>
      </c>
      <c r="G738" s="17" t="inlineStr">
        <is>
          <t>hội thoại được dịch đúng vai: kết quả tool đi bằng vai user kèm cờ lỗi</t>
        </is>
      </c>
      <c r="H738" s="17" t="inlineStr">
        <is>
          <t>hoi_thoai_dich_dung_vai</t>
        </is>
      </c>
      <c r="I738" s="16" t="inlineStr">
        <is>
          <t>Đạt</t>
        </is>
      </c>
      <c r="J738" s="16" t="n">
        <v>0.01</v>
      </c>
    </row>
    <row r="739">
      <c r="A739" s="16" t="n">
        <v>735</v>
      </c>
      <c r="B739" s="16" t="inlineStr">
        <is>
          <t>Backend</t>
        </is>
      </c>
      <c r="C739" s="17" t="inlineStr">
        <is>
          <t>ai-chatbox-service</t>
        </is>
      </c>
      <c r="D739" s="16" t="inlineStr">
        <is>
          <t>Unit</t>
        </is>
      </c>
      <c r="E739" s="17" t="inlineStr">
        <is>
          <t>AnthropicLlmAdapterBehaviorTest › Properties</t>
        </is>
      </c>
      <c r="F739" s="17" t="inlineStr">
        <is>
          <t>AnthropicProperties</t>
        </is>
      </c>
      <c r="G739" s="17" t="inlineStr">
        <is>
          <t>giá trị thiếu hoặc không hợp lệ rơi về mặc định an toàn</t>
        </is>
      </c>
      <c r="H739" s="17" t="inlineStr">
        <is>
          <t>mac_dinh_an_toan</t>
        </is>
      </c>
      <c r="I739" s="16" t="inlineStr">
        <is>
          <t>Đạt</t>
        </is>
      </c>
      <c r="J739" s="16" t="n">
        <v>0.001</v>
      </c>
    </row>
    <row r="740">
      <c r="A740" s="16" t="n">
        <v>736</v>
      </c>
      <c r="B740" s="16" t="inlineStr">
        <is>
          <t>Backend</t>
        </is>
      </c>
      <c r="C740" s="17" t="inlineStr">
        <is>
          <t>ai-chatbox-service</t>
        </is>
      </c>
      <c r="D740" s="16" t="inlineStr">
        <is>
          <t>Unit</t>
        </is>
      </c>
      <c r="E740" s="17" t="inlineStr">
        <is>
          <t>AnthropicLlmAdapterBehaviorTest › Properties</t>
        </is>
      </c>
      <c r="F740" s="17" t="inlineStr">
        <is>
          <t>AnthropicProperties</t>
        </is>
      </c>
      <c r="G740" s="17" t="inlineStr">
        <is>
          <t>giá trị khai tường minh được giữ nguyên</t>
        </is>
      </c>
      <c r="H740" s="17" t="inlineStr">
        <is>
          <t>gia_tri_khai_duoc_giu</t>
        </is>
      </c>
      <c r="I740" s="16" t="inlineStr">
        <is>
          <t>Đạt</t>
        </is>
      </c>
      <c r="J740" s="16" t="n">
        <v>0.002</v>
      </c>
    </row>
    <row r="741">
      <c r="A741" s="16" t="n">
        <v>737</v>
      </c>
      <c r="B741" s="16" t="inlineStr">
        <is>
          <t>Backend</t>
        </is>
      </c>
      <c r="C741" s="17" t="inlineStr">
        <is>
          <t>ai-chatbox-service</t>
        </is>
      </c>
      <c r="D741" s="16" t="inlineStr">
        <is>
          <t>Unit</t>
        </is>
      </c>
      <c r="E741" s="17" t="inlineStr">
        <is>
          <t>AnthropicLlmAdapterBehaviorTest › XuLyLoi</t>
        </is>
      </c>
      <c r="F741" s="17" t="inlineStr">
        <is>
          <t>xử lý lỗi</t>
        </is>
      </c>
      <c r="G741" s="17" t="inlineStr">
        <is>
          <t>mạng đứt (connection refused) thành LlmUnavailableException, không lộ khoá</t>
        </is>
      </c>
      <c r="H741" s="17" t="inlineStr">
        <is>
          <t>mang_dut_thanh_llm_unavailable</t>
        </is>
      </c>
      <c r="I741" s="16" t="inlineStr">
        <is>
          <t>Đạt</t>
        </is>
      </c>
      <c r="J741" s="16" t="n">
        <v>0.725</v>
      </c>
    </row>
    <row r="742">
      <c r="A742" s="16" t="n">
        <v>738</v>
      </c>
      <c r="B742" s="16" t="inlineStr">
        <is>
          <t>Backend</t>
        </is>
      </c>
      <c r="C742" s="17" t="inlineStr">
        <is>
          <t>ai-chatbox-service</t>
        </is>
      </c>
      <c r="D742" s="16" t="inlineStr">
        <is>
          <t>Unit</t>
        </is>
      </c>
      <c r="E742" s="17" t="inlineStr">
        <is>
          <t>AnthropicLlmAdapterBehaviorTest › XuLyLoi</t>
        </is>
      </c>
      <c r="F742" s="17" t="inlineStr">
        <is>
          <t>xử lý lỗi</t>
        </is>
      </c>
      <c r="G742" s="17" t="inlineStr">
        <is>
          <t>thông báo lỗi và chuỗi nguyên nhân không lộ khoá API</t>
        </is>
      </c>
      <c r="H742" s="17" t="inlineStr">
        <is>
          <t>thong_bao_loi_khong_lo_khoa_api</t>
        </is>
      </c>
      <c r="I742" s="16" t="inlineStr">
        <is>
          <t>Đạt</t>
        </is>
      </c>
      <c r="J742" s="16" t="n">
        <v>0.058</v>
      </c>
    </row>
    <row r="743">
      <c r="A743" s="16" t="n">
        <v>739</v>
      </c>
      <c r="B743" s="16" t="inlineStr">
        <is>
          <t>Backend</t>
        </is>
      </c>
      <c r="C743" s="17" t="inlineStr">
        <is>
          <t>ai-chatbox-service</t>
        </is>
      </c>
      <c r="D743" s="16" t="inlineStr">
        <is>
          <t>Unit</t>
        </is>
      </c>
      <c r="E743" s="17" t="inlineStr">
        <is>
          <t>AnthropicLlmAdapterBehaviorTest › XuLyLoi</t>
        </is>
      </c>
      <c r="F743" s="17" t="inlineStr">
        <is>
          <t>xử lý lỗi</t>
        </is>
      </c>
      <c r="G743" s="17" t="inlineStr">
        <is>
          <t>JSON hỏng ở status 200 thành LlmUnavailableException</t>
        </is>
      </c>
      <c r="H743" s="17" t="inlineStr">
        <is>
          <t>json_hong_thanh_llm_unavailable</t>
        </is>
      </c>
      <c r="I743" s="16" t="inlineStr">
        <is>
          <t>Đạt</t>
        </is>
      </c>
      <c r="J743" s="16" t="n">
        <v>0.059</v>
      </c>
    </row>
    <row r="744">
      <c r="A744" s="16" t="n">
        <v>740</v>
      </c>
      <c r="B744" s="16" t="inlineStr">
        <is>
          <t>Backend</t>
        </is>
      </c>
      <c r="C744" s="17" t="inlineStr">
        <is>
          <t>ai-chatbox-service</t>
        </is>
      </c>
      <c r="D744" s="16" t="inlineStr">
        <is>
          <t>Unit</t>
        </is>
      </c>
      <c r="E744" s="17" t="inlineStr">
        <is>
          <t>AnthropicLlmAdapterBehaviorTest › XuLyLoi</t>
        </is>
      </c>
      <c r="F744" s="17" t="inlineStr">
        <is>
          <t>xử lý lỗi</t>
        </is>
      </c>
      <c r="G744" s="17" t="inlineStr">
        <is>
          <t>429, 5xx và quá tải thành LlmUnavailableException mang nguyên nhân gốc, và KHÔNG thử lại</t>
        </is>
      </c>
      <c r="H744" s="17" t="inlineStr">
        <is>
          <t>loi_dich_vu_thanh_llm_unavailable_va_khong_thu_lai</t>
        </is>
      </c>
      <c r="I744" s="16" t="inlineStr">
        <is>
          <t>Đạt</t>
        </is>
      </c>
      <c r="J744" s="16" t="n">
        <v>0.032</v>
      </c>
    </row>
    <row r="745">
      <c r="A745" s="16" t="n">
        <v>741</v>
      </c>
      <c r="B745" s="16" t="inlineStr">
        <is>
          <t>Backend</t>
        </is>
      </c>
      <c r="C745" s="17" t="inlineStr">
        <is>
          <t>ai-chatbox-service</t>
        </is>
      </c>
      <c r="D745" s="16" t="inlineStr">
        <is>
          <t>Unit</t>
        </is>
      </c>
      <c r="E745" s="17" t="inlineStr">
        <is>
          <t>AnthropicLlmAdapterBehaviorTest › XuLyLoi</t>
        </is>
      </c>
      <c r="F745" s="17" t="inlineStr">
        <is>
          <t>xử lý lỗi</t>
        </is>
      </c>
      <c r="G745" s="17" t="inlineStr">
        <is>
          <t>lỗi 4xx (khoá sai, request hỏng) cũng ra LlmUnavailableException chứ không lọt ra dạng thô</t>
        </is>
      </c>
      <c r="H745" s="17" t="inlineStr">
        <is>
          <t>loi_4xx_cung_thanh_llm_unavailable</t>
        </is>
      </c>
      <c r="I745" s="16" t="inlineStr">
        <is>
          <t>Đạt</t>
        </is>
      </c>
      <c r="J745" s="16" t="n">
        <v>0.043</v>
      </c>
    </row>
    <row r="746">
      <c r="A746" s="16" t="n">
        <v>742</v>
      </c>
      <c r="B746" s="16" t="inlineStr">
        <is>
          <t>Backend</t>
        </is>
      </c>
      <c r="C746" s="17" t="inlineStr">
        <is>
          <t>ai-chatbox-service</t>
        </is>
      </c>
      <c r="D746" s="16" t="inlineStr">
        <is>
          <t>Unit</t>
        </is>
      </c>
      <c r="E746" s="17" t="inlineStr">
        <is>
          <t>AnthropicLlmAdapterBehaviorTest › XuLyLoi</t>
        </is>
      </c>
      <c r="F746" s="17" t="inlineStr">
        <is>
          <t>xử lý lỗi</t>
        </is>
      </c>
      <c r="G746" s="17" t="inlineStr">
        <is>
          <t>quá hạn đọc thành LlmUnavailableException</t>
        </is>
      </c>
      <c r="H746" s="17" t="inlineStr">
        <is>
          <t>qua_han_doc_thanh_llm_unavailable</t>
        </is>
      </c>
      <c r="I746" s="16" t="inlineStr">
        <is>
          <t>Đạt</t>
        </is>
      </c>
      <c r="J746" s="16" t="n">
        <v>0.307</v>
      </c>
    </row>
    <row r="747">
      <c r="A747" s="16" t="n">
        <v>743</v>
      </c>
      <c r="B747" s="16" t="inlineStr">
        <is>
          <t>Backend</t>
        </is>
      </c>
      <c r="C747" s="17" t="inlineStr">
        <is>
          <t>ai-chatbox-service</t>
        </is>
      </c>
      <c r="D747" s="16" t="inlineStr">
        <is>
          <t>Unit</t>
        </is>
      </c>
      <c r="E747" s="17" t="inlineStr">
        <is>
          <t>AnthropicLlmAdapterBehaviorTest › XuLyLoi</t>
        </is>
      </c>
      <c r="F747" s="17" t="inlineStr">
        <is>
          <t>xử lý lỗi</t>
        </is>
      </c>
      <c r="G747" s="17" t="inlineStr">
        <is>
          <t>tool_use thiếu trường bắt buộc (không có id) thành LlmUnavailableException, không NPE</t>
        </is>
      </c>
      <c r="H747" s="17" t="inlineStr">
        <is>
          <t>tool_call_hong_thanh_llm_unavailable</t>
        </is>
      </c>
      <c r="I747" s="16" t="inlineStr">
        <is>
          <t>Đạt</t>
        </is>
      </c>
      <c r="J747" s="16" t="n">
        <v>0.08799999999999999</v>
      </c>
    </row>
    <row r="748">
      <c r="A748" s="16" t="n">
        <v>744</v>
      </c>
      <c r="B748" s="16" t="inlineStr">
        <is>
          <t>Backend</t>
        </is>
      </c>
      <c r="C748" s="17" t="inlineStr">
        <is>
          <t>ai-chatbox-service</t>
        </is>
      </c>
      <c r="D748" s="16" t="inlineStr">
        <is>
          <t>Unit</t>
        </is>
      </c>
      <c r="E748" s="17" t="inlineStr">
        <is>
          <t>AnthropicLlmAdapterTest › ClientConfig</t>
        </is>
      </c>
      <c r="F748" s="17" t="inlineStr"/>
      <c r="G748" s="17" t="inlineStr">
        <is>
          <t>thieu khoa thi khong dung client</t>
        </is>
      </c>
      <c r="H748" s="17" t="inlineStr">
        <is>
          <t>thieu_khoa_thi_khong_dung_client</t>
        </is>
      </c>
      <c r="I748" s="16" t="inlineStr">
        <is>
          <t>Đạt</t>
        </is>
      </c>
      <c r="J748" s="16" t="n">
        <v>0.004</v>
      </c>
    </row>
    <row r="749">
      <c r="A749" s="16" t="n">
        <v>745</v>
      </c>
      <c r="B749" s="16" t="inlineStr">
        <is>
          <t>Backend</t>
        </is>
      </c>
      <c r="C749" s="17" t="inlineStr">
        <is>
          <t>ai-chatbox-service</t>
        </is>
      </c>
      <c r="D749" s="16" t="inlineStr">
        <is>
          <t>Unit</t>
        </is>
      </c>
      <c r="E749" s="17" t="inlineStr">
        <is>
          <t>AnthropicLlmAdapterTest › ClientConfig</t>
        </is>
      </c>
      <c r="F749" s="17" t="inlineStr"/>
      <c r="G749" s="17" t="inlineStr">
        <is>
          <t>co khoa thi dung duoc client</t>
        </is>
      </c>
      <c r="H749" s="17" t="inlineStr">
        <is>
          <t>co_khoa_thi_dung_duoc_client</t>
        </is>
      </c>
      <c r="I749" s="16" t="inlineStr">
        <is>
          <t>Đạt</t>
        </is>
      </c>
      <c r="J749" s="16" t="n">
        <v>0.162</v>
      </c>
    </row>
    <row r="750">
      <c r="A750" s="16" t="n">
        <v>746</v>
      </c>
      <c r="B750" s="16" t="inlineStr">
        <is>
          <t>Backend</t>
        </is>
      </c>
      <c r="C750" s="17" t="inlineStr">
        <is>
          <t>ai-chatbox-service</t>
        </is>
      </c>
      <c r="D750" s="16" t="inlineStr">
        <is>
          <t>Unit</t>
        </is>
      </c>
      <c r="E750" s="17" t="inlineStr">
        <is>
          <t>AnthropicLlmAdapterTest › DocResponse</t>
        </is>
      </c>
      <c r="F750" s="17" t="inlineStr"/>
      <c r="G750" s="17" t="inlineStr">
        <is>
          <t>khoi suy luan duoc gui lai nguyen ven</t>
        </is>
      </c>
      <c r="H750" s="17" t="inlineStr">
        <is>
          <t>khoi_suy_luan_duoc_gui_lai_nguyen_ven</t>
        </is>
      </c>
      <c r="I750" s="16" t="inlineStr">
        <is>
          <t>Đạt</t>
        </is>
      </c>
      <c r="J750" s="16" t="n">
        <v>0.251</v>
      </c>
    </row>
    <row r="751">
      <c r="A751" s="16" t="n">
        <v>747</v>
      </c>
      <c r="B751" s="16" t="inlineStr">
        <is>
          <t>Backend</t>
        </is>
      </c>
      <c r="C751" s="17" t="inlineStr">
        <is>
          <t>ai-chatbox-service</t>
        </is>
      </c>
      <c r="D751" s="16" t="inlineStr">
        <is>
          <t>Unit</t>
        </is>
      </c>
      <c r="E751" s="17" t="inlineStr">
        <is>
          <t>AnthropicLlmAdapterTest › DocResponse</t>
        </is>
      </c>
      <c r="F751" s="17" t="inlineStr"/>
      <c r="G751" s="17" t="inlineStr">
        <is>
          <t>chi co loi la answer</t>
        </is>
      </c>
      <c r="H751" s="17" t="inlineStr">
        <is>
          <t>chi_co_loi_la_answer</t>
        </is>
      </c>
      <c r="I751" s="16" t="inlineStr">
        <is>
          <t>Đạt</t>
        </is>
      </c>
      <c r="J751" s="16" t="n">
        <v>0.015</v>
      </c>
    </row>
    <row r="752">
      <c r="A752" s="16" t="n">
        <v>748</v>
      </c>
      <c r="B752" s="16" t="inlineStr">
        <is>
          <t>Backend</t>
        </is>
      </c>
      <c r="C752" s="17" t="inlineStr">
        <is>
          <t>ai-chatbox-service</t>
        </is>
      </c>
      <c r="D752" s="16" t="inlineStr">
        <is>
          <t>Unit</t>
        </is>
      </c>
      <c r="E752" s="17" t="inlineStr">
        <is>
          <t>AnthropicLlmAdapterTest › DocResponse</t>
        </is>
      </c>
      <c r="F752" s="17" t="inlineStr"/>
      <c r="G752" s="17" t="inlineStr">
        <is>
          <t>nhieu tool call song song</t>
        </is>
      </c>
      <c r="H752" s="17" t="inlineStr">
        <is>
          <t>nhieu_tool_call_song_song</t>
        </is>
      </c>
      <c r="I752" s="16" t="inlineStr">
        <is>
          <t>Đạt</t>
        </is>
      </c>
      <c r="J752" s="16" t="n">
        <v>0.025</v>
      </c>
    </row>
    <row r="753">
      <c r="A753" s="16" t="n">
        <v>749</v>
      </c>
      <c r="B753" s="16" t="inlineStr">
        <is>
          <t>Backend</t>
        </is>
      </c>
      <c r="C753" s="17" t="inlineStr">
        <is>
          <t>ai-chatbox-service</t>
        </is>
      </c>
      <c r="D753" s="16" t="inlineStr">
        <is>
          <t>Unit</t>
        </is>
      </c>
      <c r="E753" s="17" t="inlineStr">
        <is>
          <t>AnthropicLlmAdapterTest › DocResponse</t>
        </is>
      </c>
      <c r="F753" s="17" t="inlineStr"/>
      <c r="G753" s="17" t="inlineStr">
        <is>
          <t>tham so khong phai object thanh map rong</t>
        </is>
      </c>
      <c r="H753" s="17" t="inlineStr">
        <is>
          <t>tham_so_khong_phai_object_thanh_map_rong</t>
        </is>
      </c>
      <c r="I753" s="16" t="inlineStr">
        <is>
          <t>Đạt</t>
        </is>
      </c>
      <c r="J753" s="16" t="n">
        <v>0.011</v>
      </c>
    </row>
    <row r="754">
      <c r="A754" s="16" t="n">
        <v>750</v>
      </c>
      <c r="B754" s="16" t="inlineStr">
        <is>
          <t>Backend</t>
        </is>
      </c>
      <c r="C754" s="17" t="inlineStr">
        <is>
          <t>ai-chatbox-service</t>
        </is>
      </c>
      <c r="D754" s="16" t="inlineStr">
        <is>
          <t>Unit</t>
        </is>
      </c>
      <c r="E754" s="17" t="inlineStr">
        <is>
          <t>AnthropicLlmAdapterTest › DocResponse</t>
        </is>
      </c>
      <c r="F754" s="17" t="inlineStr"/>
      <c r="G754" s="17" t="inlineStr">
        <is>
          <t>tham so long nhau duoc giu</t>
        </is>
      </c>
      <c r="H754" s="17" t="inlineStr">
        <is>
          <t>tham_so_long_nhau_duoc_giu</t>
        </is>
      </c>
      <c r="I754" s="16" t="inlineStr">
        <is>
          <t>Đạt</t>
        </is>
      </c>
      <c r="J754" s="16" t="n">
        <v>0.024</v>
      </c>
    </row>
    <row r="755">
      <c r="A755" s="16" t="n">
        <v>751</v>
      </c>
      <c r="B755" s="16" t="inlineStr">
        <is>
          <t>Backend</t>
        </is>
      </c>
      <c r="C755" s="17" t="inlineStr">
        <is>
          <t>ai-chatbox-service</t>
        </is>
      </c>
      <c r="D755" s="16" t="inlineStr">
        <is>
          <t>Unit</t>
        </is>
      </c>
      <c r="E755" s="17" t="inlineStr">
        <is>
          <t>AnthropicLlmAdapterTest › DocResponse</t>
        </is>
      </c>
      <c r="F755" s="17" t="inlineStr"/>
      <c r="G755" s="17" t="inlineStr">
        <is>
          <t>loi dan kem tool call la tool request</t>
        </is>
      </c>
      <c r="H755" s="17" t="inlineStr">
        <is>
          <t>loi_dan_kem_tool_call_la_tool_request</t>
        </is>
      </c>
      <c r="I755" s="16" t="inlineStr">
        <is>
          <t>Đạt</t>
        </is>
      </c>
      <c r="J755" s="16" t="n">
        <v>0.012</v>
      </c>
    </row>
    <row r="756">
      <c r="A756" s="16" t="n">
        <v>752</v>
      </c>
      <c r="B756" s="16" t="inlineStr">
        <is>
          <t>Backend</t>
        </is>
      </c>
      <c r="C756" s="17" t="inlineStr">
        <is>
          <t>ai-chatbox-service</t>
        </is>
      </c>
      <c r="D756" s="16" t="inlineStr">
        <is>
          <t>Unit</t>
        </is>
      </c>
      <c r="E756" s="17" t="inlineStr">
        <is>
          <t>AnthropicLlmAdapterTest › DocResponse</t>
        </is>
      </c>
      <c r="F756" s="17" t="inlineStr"/>
      <c r="G756" s="17" t="inlineStr">
        <is>
          <t>luot rong la loi</t>
        </is>
      </c>
      <c r="H756" s="17" t="inlineStr">
        <is>
          <t>luot_rong_la_loi</t>
        </is>
      </c>
      <c r="I756" s="16" t="inlineStr">
        <is>
          <t>Đạt</t>
        </is>
      </c>
      <c r="J756" s="16" t="n">
        <v>0.008999999999999999</v>
      </c>
    </row>
    <row r="757">
      <c r="A757" s="16" t="n">
        <v>753</v>
      </c>
      <c r="B757" s="16" t="inlineStr">
        <is>
          <t>Backend</t>
        </is>
      </c>
      <c r="C757" s="17" t="inlineStr">
        <is>
          <t>ai-chatbox-service</t>
        </is>
      </c>
      <c r="D757" s="16" t="inlineStr">
        <is>
          <t>Unit</t>
        </is>
      </c>
      <c r="E757" s="17" t="inlineStr">
        <is>
          <t>AnthropicLlmAdapterTest › DocResponse</t>
        </is>
      </c>
      <c r="F757" s="17" t="inlineStr"/>
      <c r="G757" s="17" t="inlineStr">
        <is>
          <t>chi co suy luan la luot rong</t>
        </is>
      </c>
      <c r="H757" s="17" t="inlineStr">
        <is>
          <t>chi_co_suy_luan_la_luot_rong</t>
        </is>
      </c>
      <c r="I757" s="16" t="inlineStr">
        <is>
          <t>Đạt</t>
        </is>
      </c>
      <c r="J757" s="16" t="n">
        <v>0.011</v>
      </c>
    </row>
    <row r="758">
      <c r="A758" s="16" t="n">
        <v>754</v>
      </c>
      <c r="B758" s="16" t="inlineStr">
        <is>
          <t>Backend</t>
        </is>
      </c>
      <c r="C758" s="17" t="inlineStr">
        <is>
          <t>ai-chatbox-service</t>
        </is>
      </c>
      <c r="D758" s="16" t="inlineStr">
        <is>
          <t>Unit</t>
        </is>
      </c>
      <c r="E758" s="17" t="inlineStr">
        <is>
          <t>AnthropicLlmAdapterTest › DocResponse</t>
        </is>
      </c>
      <c r="F758" s="17" t="inlineStr"/>
      <c r="G758" s="17" t="inlineStr">
        <is>
          <t>nhieu khoi text duoc noi</t>
        </is>
      </c>
      <c r="H758" s="17" t="inlineStr">
        <is>
          <t>nhieu_khoi_text_duoc_noi</t>
        </is>
      </c>
      <c r="I758" s="16" t="inlineStr">
        <is>
          <t>Đạt</t>
        </is>
      </c>
      <c r="J758" s="16" t="n">
        <v>0.013</v>
      </c>
    </row>
    <row r="759">
      <c r="A759" s="16" t="n">
        <v>755</v>
      </c>
      <c r="B759" s="16" t="inlineStr">
        <is>
          <t>Backend</t>
        </is>
      </c>
      <c r="C759" s="17" t="inlineStr">
        <is>
          <t>ai-chatbox-service</t>
        </is>
      </c>
      <c r="D759" s="16" t="inlineStr">
        <is>
          <t>Unit</t>
        </is>
      </c>
      <c r="E759" s="17" t="inlineStr">
        <is>
          <t>AnthropicLlmAdapterTest › DungRequest</t>
        </is>
      </c>
      <c r="F759" s="17" t="inlineStr"/>
      <c r="G759" s="17" t="inlineStr">
        <is>
          <t>prompt he thong duoc danh dau cache</t>
        </is>
      </c>
      <c r="H759" s="17" t="inlineStr">
        <is>
          <t>prompt_he_thong_duoc_danh_dau_cache</t>
        </is>
      </c>
      <c r="I759" s="16" t="inlineStr">
        <is>
          <t>Đạt</t>
        </is>
      </c>
      <c r="J759" s="16" t="n">
        <v>0.011</v>
      </c>
    </row>
    <row r="760">
      <c r="A760" s="16" t="n">
        <v>756</v>
      </c>
      <c r="B760" s="16" t="inlineStr">
        <is>
          <t>Backend</t>
        </is>
      </c>
      <c r="C760" s="17" t="inlineStr">
        <is>
          <t>ai-chatbox-service</t>
        </is>
      </c>
      <c r="D760" s="16" t="inlineStr">
        <is>
          <t>Unit</t>
        </is>
      </c>
      <c r="E760" s="17" t="inlineStr">
        <is>
          <t>AnthropicLlmAdapterTest › DungRequest</t>
        </is>
      </c>
      <c r="F760" s="17" t="inlineStr"/>
      <c r="G760" s="17" t="inlineStr">
        <is>
          <t>loi cua khach khong lan vao prompt he thong</t>
        </is>
      </c>
      <c r="H760" s="17" t="inlineStr">
        <is>
          <t>loi_cua_khach_khong_lan_vao_prompt_he_thong</t>
        </is>
      </c>
      <c r="I760" s="16" t="inlineStr">
        <is>
          <t>Đạt</t>
        </is>
      </c>
      <c r="J760" s="16" t="n">
        <v>0.017</v>
      </c>
    </row>
    <row r="761">
      <c r="A761" s="16" t="n">
        <v>757</v>
      </c>
      <c r="B761" s="16" t="inlineStr">
        <is>
          <t>Backend</t>
        </is>
      </c>
      <c r="C761" s="17" t="inlineStr">
        <is>
          <t>ai-chatbox-service</t>
        </is>
      </c>
      <c r="D761" s="16" t="inlineStr">
        <is>
          <t>Unit</t>
        </is>
      </c>
      <c r="E761" s="17" t="inlineStr">
        <is>
          <t>AnthropicLlmAdapterTest › DungRequest</t>
        </is>
      </c>
      <c r="F761" s="17" t="inlineStr"/>
      <c r="G761" s="17" t="inlineStr">
        <is>
          <t>khoa api di bang header</t>
        </is>
      </c>
      <c r="H761" s="17" t="inlineStr">
        <is>
          <t>khoa_api_di_bang_header</t>
        </is>
      </c>
      <c r="I761" s="16" t="inlineStr">
        <is>
          <t>Đạt</t>
        </is>
      </c>
      <c r="J761" s="16" t="n">
        <v>0.015</v>
      </c>
    </row>
    <row r="762">
      <c r="A762" s="16" t="n">
        <v>758</v>
      </c>
      <c r="B762" s="16" t="inlineStr">
        <is>
          <t>Backend</t>
        </is>
      </c>
      <c r="C762" s="17" t="inlineStr">
        <is>
          <t>ai-chatbox-service</t>
        </is>
      </c>
      <c r="D762" s="16" t="inlineStr">
        <is>
          <t>Unit</t>
        </is>
      </c>
      <c r="E762" s="17" t="inlineStr">
        <is>
          <t>AnthropicLlmAdapterTest › DungRequest</t>
        </is>
      </c>
      <c r="F762" s="17" t="inlineStr"/>
      <c r="G762" s="17" t="inlineStr">
        <is>
          <t>tham so mo hinh</t>
        </is>
      </c>
      <c r="H762" s="17" t="inlineStr">
        <is>
          <t>tham_so_mo_hinh</t>
        </is>
      </c>
      <c r="I762" s="16" t="inlineStr">
        <is>
          <t>Đạt</t>
        </is>
      </c>
      <c r="J762" s="16" t="n">
        <v>0.014</v>
      </c>
    </row>
    <row r="763">
      <c r="A763" s="16" t="n">
        <v>759</v>
      </c>
      <c r="B763" s="16" t="inlineStr">
        <is>
          <t>Backend</t>
        </is>
      </c>
      <c r="C763" s="17" t="inlineStr">
        <is>
          <t>ai-chatbox-service</t>
        </is>
      </c>
      <c r="D763" s="16" t="inlineStr">
        <is>
          <t>Unit</t>
        </is>
      </c>
      <c r="E763" s="17" t="inlineStr">
        <is>
          <t>AnthropicLlmAdapterTest › DungRequest</t>
        </is>
      </c>
      <c r="F763" s="17" t="inlineStr"/>
      <c r="G763" s="17" t="inlineStr">
        <is>
          <t>tool thanh json schema</t>
        </is>
      </c>
      <c r="H763" s="17" t="inlineStr">
        <is>
          <t>tool_thanh_json_schema</t>
        </is>
      </c>
      <c r="I763" s="16" t="inlineStr">
        <is>
          <t>Đạt</t>
        </is>
      </c>
      <c r="J763" s="16" t="n">
        <v>0.122</v>
      </c>
    </row>
    <row r="764">
      <c r="A764" s="16" t="n">
        <v>760</v>
      </c>
      <c r="B764" s="16" t="inlineStr">
        <is>
          <t>Backend</t>
        </is>
      </c>
      <c r="C764" s="17" t="inlineStr">
        <is>
          <t>ai-chatbox-service</t>
        </is>
      </c>
      <c r="D764" s="16" t="inlineStr">
        <is>
          <t>Unit</t>
        </is>
      </c>
      <c r="E764" s="17" t="inlineStr">
        <is>
          <t>AnthropicLlmAdapterTest › DungRequest</t>
        </is>
      </c>
      <c r="F764" s="17" t="inlineStr"/>
      <c r="G764" s="17" t="inlineStr">
        <is>
          <t>hoi thoai dich dung vai</t>
        </is>
      </c>
      <c r="H764" s="17" t="inlineStr">
        <is>
          <t>hoi_thoai_dich_dung_vai</t>
        </is>
      </c>
      <c r="I764" s="16" t="inlineStr">
        <is>
          <t>Đạt</t>
        </is>
      </c>
      <c r="J764" s="16" t="n">
        <v>0.018</v>
      </c>
    </row>
    <row r="765">
      <c r="A765" s="16" t="n">
        <v>761</v>
      </c>
      <c r="B765" s="16" t="inlineStr">
        <is>
          <t>Backend</t>
        </is>
      </c>
      <c r="C765" s="17" t="inlineStr">
        <is>
          <t>ai-chatbox-service</t>
        </is>
      </c>
      <c r="D765" s="16" t="inlineStr">
        <is>
          <t>Unit</t>
        </is>
      </c>
      <c r="E765" s="17" t="inlineStr">
        <is>
          <t>AnthropicLlmAdapterTest › Properties</t>
        </is>
      </c>
      <c r="F765" s="17" t="inlineStr"/>
      <c r="G765" s="17" t="inlineStr">
        <is>
          <t>mac dinh an toan</t>
        </is>
      </c>
      <c r="H765" s="17" t="inlineStr">
        <is>
          <t>mac_dinh_an_toan</t>
        </is>
      </c>
      <c r="I765" s="16" t="inlineStr">
        <is>
          <t>Đạt</t>
        </is>
      </c>
      <c r="J765" s="16" t="n">
        <v>0.002</v>
      </c>
    </row>
    <row r="766">
      <c r="A766" s="16" t="n">
        <v>762</v>
      </c>
      <c r="B766" s="16" t="inlineStr">
        <is>
          <t>Backend</t>
        </is>
      </c>
      <c r="C766" s="17" t="inlineStr">
        <is>
          <t>ai-chatbox-service</t>
        </is>
      </c>
      <c r="D766" s="16" t="inlineStr">
        <is>
          <t>Unit</t>
        </is>
      </c>
      <c r="E766" s="17" t="inlineStr">
        <is>
          <t>AnthropicLlmAdapterTest › Properties</t>
        </is>
      </c>
      <c r="F766" s="17" t="inlineStr"/>
      <c r="G766" s="17" t="inlineStr">
        <is>
          <t>gia tri khai duoc giu</t>
        </is>
      </c>
      <c r="H766" s="17" t="inlineStr">
        <is>
          <t>gia_tri_khai_duoc_giu</t>
        </is>
      </c>
      <c r="I766" s="16" t="inlineStr">
        <is>
          <t>Đạt</t>
        </is>
      </c>
      <c r="J766" s="16" t="n">
        <v>0.002</v>
      </c>
    </row>
    <row r="767">
      <c r="A767" s="16" t="n">
        <v>763</v>
      </c>
      <c r="B767" s="16" t="inlineStr">
        <is>
          <t>Backend</t>
        </is>
      </c>
      <c r="C767" s="17" t="inlineStr">
        <is>
          <t>ai-chatbox-service</t>
        </is>
      </c>
      <c r="D767" s="16" t="inlineStr">
        <is>
          <t>Unit</t>
        </is>
      </c>
      <c r="E767" s="17" t="inlineStr">
        <is>
          <t>AnthropicLlmAdapterTest › XuLyLoi</t>
        </is>
      </c>
      <c r="F767" s="17" t="inlineStr"/>
      <c r="G767" s="17" t="inlineStr">
        <is>
          <t>mang dut thanh llm unavailable</t>
        </is>
      </c>
      <c r="H767" s="17" t="inlineStr">
        <is>
          <t>mang_dut_thanh_llm_unavailable</t>
        </is>
      </c>
      <c r="I767" s="16" t="inlineStr">
        <is>
          <t>Đạt</t>
        </is>
      </c>
      <c r="J767" s="16" t="n">
        <v>1.004</v>
      </c>
    </row>
    <row r="768">
      <c r="A768" s="16" t="n">
        <v>764</v>
      </c>
      <c r="B768" s="16" t="inlineStr">
        <is>
          <t>Backend</t>
        </is>
      </c>
      <c r="C768" s="17" t="inlineStr">
        <is>
          <t>ai-chatbox-service</t>
        </is>
      </c>
      <c r="D768" s="16" t="inlineStr">
        <is>
          <t>Unit</t>
        </is>
      </c>
      <c r="E768" s="17" t="inlineStr">
        <is>
          <t>AnthropicLlmAdapterTest › XuLyLoi</t>
        </is>
      </c>
      <c r="F768" s="17" t="inlineStr"/>
      <c r="G768" s="17" t="inlineStr">
        <is>
          <t>thong bao loi khong lo khoa api</t>
        </is>
      </c>
      <c r="H768" s="17" t="inlineStr">
        <is>
          <t>thong_bao_loi_khong_lo_khoa_api</t>
        </is>
      </c>
      <c r="I768" s="16" t="inlineStr">
        <is>
          <t>Đạt</t>
        </is>
      </c>
      <c r="J768" s="16" t="n">
        <v>0.076</v>
      </c>
    </row>
    <row r="769">
      <c r="A769" s="16" t="n">
        <v>765</v>
      </c>
      <c r="B769" s="16" t="inlineStr">
        <is>
          <t>Backend</t>
        </is>
      </c>
      <c r="C769" s="17" t="inlineStr">
        <is>
          <t>ai-chatbox-service</t>
        </is>
      </c>
      <c r="D769" s="16" t="inlineStr">
        <is>
          <t>Unit</t>
        </is>
      </c>
      <c r="E769" s="17" t="inlineStr">
        <is>
          <t>AnthropicLlmAdapterTest › XuLyLoi</t>
        </is>
      </c>
      <c r="F769" s="17" t="inlineStr"/>
      <c r="G769" s="17" t="inlineStr">
        <is>
          <t>json hong thanh llm unavailable</t>
        </is>
      </c>
      <c r="H769" s="17" t="inlineStr">
        <is>
          <t>json_hong_thanh_llm_unavailable</t>
        </is>
      </c>
      <c r="I769" s="16" t="inlineStr">
        <is>
          <t>Đạt</t>
        </is>
      </c>
      <c r="J769" s="16" t="n">
        <v>0.08599999999999999</v>
      </c>
    </row>
    <row r="770">
      <c r="A770" s="16" t="n">
        <v>766</v>
      </c>
      <c r="B770" s="16" t="inlineStr">
        <is>
          <t>Backend</t>
        </is>
      </c>
      <c r="C770" s="17" t="inlineStr">
        <is>
          <t>ai-chatbox-service</t>
        </is>
      </c>
      <c r="D770" s="16" t="inlineStr">
        <is>
          <t>Unit</t>
        </is>
      </c>
      <c r="E770" s="17" t="inlineStr">
        <is>
          <t>AnthropicLlmAdapterTest › XuLyLoi</t>
        </is>
      </c>
      <c r="F770" s="17" t="inlineStr"/>
      <c r="G770" s="17" t="inlineStr">
        <is>
          <t>loi dich vu thanh llm unavailable va khong thu lai</t>
        </is>
      </c>
      <c r="H770" s="17" t="inlineStr">
        <is>
          <t>loi_dich_vu_thanh_llm_unavailable_va_khong_thu_lai</t>
        </is>
      </c>
      <c r="I770" s="16" t="inlineStr">
        <is>
          <t>Đạt</t>
        </is>
      </c>
      <c r="J770" s="16" t="n">
        <v>0.053</v>
      </c>
    </row>
    <row r="771">
      <c r="A771" s="16" t="n">
        <v>767</v>
      </c>
      <c r="B771" s="16" t="inlineStr">
        <is>
          <t>Backend</t>
        </is>
      </c>
      <c r="C771" s="17" t="inlineStr">
        <is>
          <t>ai-chatbox-service</t>
        </is>
      </c>
      <c r="D771" s="16" t="inlineStr">
        <is>
          <t>Unit</t>
        </is>
      </c>
      <c r="E771" s="17" t="inlineStr">
        <is>
          <t>AnthropicLlmAdapterTest › XuLyLoi</t>
        </is>
      </c>
      <c r="F771" s="17" t="inlineStr"/>
      <c r="G771" s="17" t="inlineStr">
        <is>
          <t>loi 4xx cung thanh llm unavailable</t>
        </is>
      </c>
      <c r="H771" s="17" t="inlineStr">
        <is>
          <t>loi_4xx_cung_thanh_llm_unavailable</t>
        </is>
      </c>
      <c r="I771" s="16" t="inlineStr">
        <is>
          <t>Đạt</t>
        </is>
      </c>
      <c r="J771" s="16" t="n">
        <v>0.06</v>
      </c>
    </row>
    <row r="772">
      <c r="A772" s="16" t="n">
        <v>768</v>
      </c>
      <c r="B772" s="16" t="inlineStr">
        <is>
          <t>Backend</t>
        </is>
      </c>
      <c r="C772" s="17" t="inlineStr">
        <is>
          <t>ai-chatbox-service</t>
        </is>
      </c>
      <c r="D772" s="16" t="inlineStr">
        <is>
          <t>Unit</t>
        </is>
      </c>
      <c r="E772" s="17" t="inlineStr">
        <is>
          <t>AnthropicLlmAdapterTest › XuLyLoi</t>
        </is>
      </c>
      <c r="F772" s="17" t="inlineStr"/>
      <c r="G772" s="17" t="inlineStr">
        <is>
          <t>qua han doc thanh llm unavailable</t>
        </is>
      </c>
      <c r="H772" s="17" t="inlineStr">
        <is>
          <t>qua_han_doc_thanh_llm_unavailable</t>
        </is>
      </c>
      <c r="I772" s="16" t="inlineStr">
        <is>
          <t>Đạt</t>
        </is>
      </c>
      <c r="J772" s="16" t="n">
        <v>0.311</v>
      </c>
    </row>
    <row r="773">
      <c r="A773" s="16" t="n">
        <v>769</v>
      </c>
      <c r="B773" s="16" t="inlineStr">
        <is>
          <t>Backend</t>
        </is>
      </c>
      <c r="C773" s="17" t="inlineStr">
        <is>
          <t>ai-chatbox-service</t>
        </is>
      </c>
      <c r="D773" s="16" t="inlineStr">
        <is>
          <t>Unit</t>
        </is>
      </c>
      <c r="E773" s="17" t="inlineStr">
        <is>
          <t>AnthropicLlmAdapterTest › XuLyLoi</t>
        </is>
      </c>
      <c r="F773" s="17" t="inlineStr"/>
      <c r="G773" s="17" t="inlineStr">
        <is>
          <t>tool call hong thanh llm unavailable</t>
        </is>
      </c>
      <c r="H773" s="17" t="inlineStr">
        <is>
          <t>tool_call_hong_thanh_llm_unavailable</t>
        </is>
      </c>
      <c r="I773" s="16" t="inlineStr">
        <is>
          <t>Đạt</t>
        </is>
      </c>
      <c r="J773" s="16" t="n">
        <v>0.233</v>
      </c>
    </row>
    <row r="774">
      <c r="A774" s="16" t="n">
        <v>770</v>
      </c>
      <c r="B774" s="16" t="inlineStr">
        <is>
          <t>Backend</t>
        </is>
      </c>
      <c r="C774" s="17" t="inlineStr">
        <is>
          <t>ai-chatbox-service</t>
        </is>
      </c>
      <c r="D774" s="16" t="inlineStr">
        <is>
          <t>Unit</t>
        </is>
      </c>
      <c r="E774" s="17" t="inlineStr">
        <is>
          <t>AnthropicLlmAdapterTest</t>
        </is>
      </c>
      <c r="F774" s="17" t="inlineStr"/>
      <c r="G774" s="17" t="inlineStr">
        <is>
          <t>cau bi cat vi max tokens tra rong</t>
        </is>
      </c>
      <c r="H774" s="17" t="inlineStr">
        <is>
          <t>cau_bi_cat_vi_max_tokens_tra_rong</t>
        </is>
      </c>
      <c r="I774" s="16" t="inlineStr">
        <is>
          <t>Đạt</t>
        </is>
      </c>
      <c r="J774" s="16" t="n">
        <v>0.02</v>
      </c>
    </row>
    <row r="775">
      <c r="A775" s="16" t="n">
        <v>771</v>
      </c>
      <c r="B775" s="16" t="inlineStr">
        <is>
          <t>Backend</t>
        </is>
      </c>
      <c r="C775" s="17" t="inlineStr">
        <is>
          <t>ai-chatbox-service</t>
        </is>
      </c>
      <c r="D775" s="16" t="inlineStr">
        <is>
          <t>Unit</t>
        </is>
      </c>
      <c r="E775" s="17" t="inlineStr">
        <is>
          <t>AnthropicLlmAdapterTest</t>
        </is>
      </c>
      <c r="F775" s="17" t="inlineStr"/>
      <c r="G775" s="17" t="inlineStr">
        <is>
          <t>tham so null bi bo</t>
        </is>
      </c>
      <c r="H775" s="17" t="inlineStr">
        <is>
          <t>tham_so_null_bi_bo</t>
        </is>
      </c>
      <c r="I775" s="16" t="inlineStr">
        <is>
          <t>Đạt</t>
        </is>
      </c>
      <c r="J775" s="16" t="n">
        <v>0.013</v>
      </c>
    </row>
    <row r="776">
      <c r="A776" s="16" t="n">
        <v>772</v>
      </c>
      <c r="B776" s="16" t="inlineStr">
        <is>
          <t>Backend</t>
        </is>
      </c>
      <c r="C776" s="17" t="inlineStr">
        <is>
          <t>ai-chatbox-service</t>
        </is>
      </c>
      <c r="D776" s="16" t="inlineStr">
        <is>
          <t>Unit</t>
        </is>
      </c>
      <c r="E776" s="17" t="inlineStr">
        <is>
          <t>AnthropicLlmAdapterTest</t>
        </is>
      </c>
      <c r="F776" s="17" t="inlineStr"/>
      <c r="G776" s="17" t="inlineStr">
        <is>
          <t>cau tra loi binh thuong giu nguyen</t>
        </is>
      </c>
      <c r="H776" s="17" t="inlineStr">
        <is>
          <t>cau_tra_loi_binh_thuong_giu_nguyen</t>
        </is>
      </c>
      <c r="I776" s="16" t="inlineStr">
        <is>
          <t>Đạt</t>
        </is>
      </c>
      <c r="J776" s="16" t="n">
        <v>0.013</v>
      </c>
    </row>
    <row r="777">
      <c r="A777" s="16" t="n">
        <v>773</v>
      </c>
      <c r="B777" s="16" t="inlineStr">
        <is>
          <t>Backend</t>
        </is>
      </c>
      <c r="C777" s="17" t="inlineStr">
        <is>
          <t>ai-chatbox-service</t>
        </is>
      </c>
      <c r="D777" s="16" t="inlineStr">
        <is>
          <t>Unit</t>
        </is>
      </c>
      <c r="E777" s="17" t="inlineStr">
        <is>
          <t>AnthropicLlmAdapterTest</t>
        </is>
      </c>
      <c r="F777" s="17" t="inlineStr"/>
      <c r="G777" s="17" t="inlineStr">
        <is>
          <t>goi tool cham tran van la ToolRequest</t>
        </is>
      </c>
      <c r="H777" s="17" t="inlineStr">
        <is>
          <t>goi_tool_cham_tran_van_la_ToolRequest</t>
        </is>
      </c>
      <c r="I777" s="16" t="inlineStr">
        <is>
          <t>Đạt</t>
        </is>
      </c>
      <c r="J777" s="16" t="n">
        <v>0.013</v>
      </c>
    </row>
    <row r="778">
      <c r="A778" s="16" t="n">
        <v>774</v>
      </c>
      <c r="B778" s="16" t="inlineStr">
        <is>
          <t>Backend</t>
        </is>
      </c>
      <c r="C778" s="17" t="inlineStr">
        <is>
          <t>ai-chatbox-service</t>
        </is>
      </c>
      <c r="D778" s="16" t="inlineStr">
        <is>
          <t>Unit</t>
        </is>
      </c>
      <c r="E778" s="17" t="inlineStr">
        <is>
          <t>LlmProviderSelectionTest</t>
        </is>
      </c>
      <c r="F778" s="17" t="inlineStr"/>
      <c r="G778" s="17" t="inlineStr">
        <is>
          <t>thieu han thi dung ollama</t>
        </is>
      </c>
      <c r="H778" s="17" t="inlineStr">
        <is>
          <t>thieu_han_thi_dung_ollama</t>
        </is>
      </c>
      <c r="I778" s="16" t="inlineStr">
        <is>
          <t>Đạt</t>
        </is>
      </c>
      <c r="J778" s="16" t="n">
        <v>0.05</v>
      </c>
    </row>
    <row r="779">
      <c r="A779" s="16" t="n">
        <v>775</v>
      </c>
      <c r="B779" s="16" t="inlineStr">
        <is>
          <t>Backend</t>
        </is>
      </c>
      <c r="C779" s="17" t="inlineStr">
        <is>
          <t>ai-chatbox-service</t>
        </is>
      </c>
      <c r="D779" s="16" t="inlineStr">
        <is>
          <t>Unit</t>
        </is>
      </c>
      <c r="E779" s="17" t="inlineStr">
        <is>
          <t>LlmProviderSelectionTest</t>
        </is>
      </c>
      <c r="F779" s="17" t="inlineStr"/>
      <c r="G779" s="17" t="inlineStr">
        <is>
          <t>rong thi dung ollama nhu khi thieu han</t>
        </is>
      </c>
      <c r="H779" s="17" t="inlineStr">
        <is>
          <t>rong_thi_dung_ollama_nhu_khi_thieu_han</t>
        </is>
      </c>
      <c r="I779" s="16" t="inlineStr">
        <is>
          <t>Đạt</t>
        </is>
      </c>
      <c r="J779" s="16" t="n">
        <v>0.036</v>
      </c>
    </row>
    <row r="780">
      <c r="A780" s="16" t="n">
        <v>776</v>
      </c>
      <c r="B780" s="16" t="inlineStr">
        <is>
          <t>Backend</t>
        </is>
      </c>
      <c r="C780" s="17" t="inlineStr">
        <is>
          <t>ai-chatbox-service</t>
        </is>
      </c>
      <c r="D780" s="16" t="inlineStr">
        <is>
          <t>Unit</t>
        </is>
      </c>
      <c r="E780" s="17" t="inlineStr">
        <is>
          <t>LlmProviderSelectionTest</t>
        </is>
      </c>
      <c r="F780" s="17" t="inlineStr"/>
      <c r="G780" s="17" t="inlineStr">
        <is>
          <t>anthropic thi dung anthropic</t>
        </is>
      </c>
      <c r="H780" s="17" t="inlineStr">
        <is>
          <t>anthropic_thi_dung_anthropic</t>
        </is>
      </c>
      <c r="I780" s="16" t="inlineStr">
        <is>
          <t>Đạt</t>
        </is>
      </c>
      <c r="J780" s="16" t="n">
        <v>0.041</v>
      </c>
    </row>
    <row r="781">
      <c r="A781" s="16" t="n">
        <v>777</v>
      </c>
      <c r="B781" s="16" t="inlineStr">
        <is>
          <t>Backend</t>
        </is>
      </c>
      <c r="C781" s="17" t="inlineStr">
        <is>
          <t>ai-chatbox-service</t>
        </is>
      </c>
      <c r="D781" s="16" t="inlineStr">
        <is>
          <t>Unit</t>
        </is>
      </c>
      <c r="E781" s="17" t="inlineStr">
        <is>
          <t>LlmProviderSelectionTest</t>
        </is>
      </c>
      <c r="F781" s="17" t="inlineStr"/>
      <c r="G781" s="17" t="inlineStr">
        <is>
          <t>local thi dung ollama</t>
        </is>
      </c>
      <c r="H781" s="17" t="inlineStr">
        <is>
          <t>local_thi_dung_ollama</t>
        </is>
      </c>
      <c r="I781" s="16" t="inlineStr">
        <is>
          <t>Đạt</t>
        </is>
      </c>
      <c r="J781" s="16" t="n">
        <v>0.038</v>
      </c>
    </row>
    <row r="782">
      <c r="A782" s="16" t="n">
        <v>778</v>
      </c>
      <c r="B782" s="16" t="inlineStr">
        <is>
          <t>Backend</t>
        </is>
      </c>
      <c r="C782" s="17" t="inlineStr">
        <is>
          <t>ai-chatbox-service</t>
        </is>
      </c>
      <c r="D782" s="16" t="inlineStr">
        <is>
          <t>Unit</t>
        </is>
      </c>
      <c r="E782" s="17" t="inlineStr">
        <is>
          <t>OllamaLlmAdapterBehaviorTest › DocResponse</t>
        </is>
      </c>
      <c r="F782" s="17" t="inlineStr">
        <is>
          <t>đọc response</t>
        </is>
      </c>
      <c r="G782" s="17" t="inlineStr">
        <is>
          <t>tool_calls là mảng rỗng thì coi như không có tool, đọc lời</t>
        </is>
      </c>
      <c r="H782" s="17" t="inlineStr">
        <is>
          <t>tool_calls_rong_doc_loi</t>
        </is>
      </c>
      <c r="I782" s="16" t="inlineStr">
        <is>
          <t>Đạt</t>
        </is>
      </c>
      <c r="J782" s="16" t="n">
        <v>0.013</v>
      </c>
    </row>
    <row r="783">
      <c r="A783" s="16" t="n">
        <v>779</v>
      </c>
      <c r="B783" s="16" t="inlineStr">
        <is>
          <t>Backend</t>
        </is>
      </c>
      <c r="C783" s="17" t="inlineStr">
        <is>
          <t>ai-chatbox-service</t>
        </is>
      </c>
      <c r="D783" s="16" t="inlineStr">
        <is>
          <t>Unit</t>
        </is>
      </c>
      <c r="E783" s="17" t="inlineStr">
        <is>
          <t>OllamaLlmAdapterBehaviorTest › DocResponse</t>
        </is>
      </c>
      <c r="F783" s="17" t="inlineStr">
        <is>
          <t>đọc response</t>
        </is>
      </c>
      <c r="G783" s="17" t="inlineStr">
        <is>
          <t>tool_calls được dịch thành ToolInvocation với id tự sinh, duy nhất cho từng lời gọi</t>
        </is>
      </c>
      <c r="H783" s="17" t="inlineStr">
        <is>
          <t>tool_calls_duoc_dich</t>
        </is>
      </c>
      <c r="I783" s="16" t="inlineStr">
        <is>
          <t>Đạt</t>
        </is>
      </c>
      <c r="J783" s="16" t="n">
        <v>0.015</v>
      </c>
    </row>
    <row r="784">
      <c r="A784" s="16" t="n">
        <v>780</v>
      </c>
      <c r="B784" s="16" t="inlineStr">
        <is>
          <t>Backend</t>
        </is>
      </c>
      <c r="C784" s="17" t="inlineStr">
        <is>
          <t>ai-chatbox-service</t>
        </is>
      </c>
      <c r="D784" s="16" t="inlineStr">
        <is>
          <t>Unit</t>
        </is>
      </c>
      <c r="E784" s="17" t="inlineStr">
        <is>
          <t>OllamaLlmAdapterBehaviorTest › DocResponse</t>
        </is>
      </c>
      <c r="F784" s="17" t="inlineStr">
        <is>
          <t>đọc response</t>
        </is>
      </c>
      <c r="G784" s="17" t="inlineStr">
        <is>
          <t>có lời, không tool thì là Answer</t>
        </is>
      </c>
      <c r="H784" s="17" t="inlineStr">
        <is>
          <t>co_loi_la_answer</t>
        </is>
      </c>
      <c r="I784" s="16" t="inlineStr">
        <is>
          <t>Đạt</t>
        </is>
      </c>
      <c r="J784" s="16" t="n">
        <v>0.012</v>
      </c>
    </row>
    <row r="785">
      <c r="A785" s="16" t="n">
        <v>781</v>
      </c>
      <c r="B785" s="16" t="inlineStr">
        <is>
          <t>Backend</t>
        </is>
      </c>
      <c r="C785" s="17" t="inlineStr">
        <is>
          <t>ai-chatbox-service</t>
        </is>
      </c>
      <c r="D785" s="16" t="inlineStr">
        <is>
          <t>Unit</t>
        </is>
      </c>
      <c r="E785" s="17" t="inlineStr">
        <is>
          <t>OllamaLlmAdapterBehaviorTest › DocResponse</t>
        </is>
      </c>
      <c r="F785" s="17" t="inlineStr">
        <is>
          <t>đọc response</t>
        </is>
      </c>
      <c r="G785" s="17" t="inlineStr">
        <is>
          <t>có cả lời lẫn tool_calls thì tool_calls thắng — chưa phải câu trả lời cuối</t>
        </is>
      </c>
      <c r="H785" s="17" t="inlineStr">
        <is>
          <t>tool_calls_thang_loi</t>
        </is>
      </c>
      <c r="I785" s="16" t="inlineStr">
        <is>
          <t>Đạt</t>
        </is>
      </c>
      <c r="J785" s="16" t="n">
        <v>0.016</v>
      </c>
    </row>
    <row r="786">
      <c r="A786" s="16" t="n">
        <v>782</v>
      </c>
      <c r="B786" s="16" t="inlineStr">
        <is>
          <t>Backend</t>
        </is>
      </c>
      <c r="C786" s="17" t="inlineStr">
        <is>
          <t>ai-chatbox-service</t>
        </is>
      </c>
      <c r="D786" s="16" t="inlineStr">
        <is>
          <t>Unit</t>
        </is>
      </c>
      <c r="E786" s="17" t="inlineStr">
        <is>
          <t>OllamaLlmAdapterBehaviorTest › DocResponse</t>
        </is>
      </c>
      <c r="F786" s="17" t="inlineStr">
        <is>
          <t>đọc response</t>
        </is>
      </c>
      <c r="G786" s="17" t="inlineStr">
        <is>
          <t>lượt rỗng hoặc chỉ toàn khoảng trắng là LlmUnavailableException, không phải bong bóng trắng</t>
        </is>
      </c>
      <c r="H786" s="17" t="inlineStr">
        <is>
          <t>luot_rong_la_loi</t>
        </is>
      </c>
      <c r="I786" s="16" t="inlineStr">
        <is>
          <t>Đạt</t>
        </is>
      </c>
      <c r="J786" s="16" t="n">
        <v>0.055</v>
      </c>
    </row>
    <row r="787">
      <c r="A787" s="16" t="n">
        <v>783</v>
      </c>
      <c r="B787" s="16" t="inlineStr">
        <is>
          <t>Backend</t>
        </is>
      </c>
      <c r="C787" s="17" t="inlineStr">
        <is>
          <t>ai-chatbox-service</t>
        </is>
      </c>
      <c r="D787" s="16" t="inlineStr">
        <is>
          <t>Unit</t>
        </is>
      </c>
      <c r="E787" s="17" t="inlineStr">
        <is>
          <t>OllamaLlmAdapterBehaviorTest › DocResponse</t>
        </is>
      </c>
      <c r="F787" s="17" t="inlineStr">
        <is>
          <t>đọc response</t>
        </is>
      </c>
      <c r="G787" s="17" t="inlineStr">
        <is>
          <t>mô hình 7B bỏ sót tham số: lời gọi vẫn qua với Map rỗng để tool tự báo lỗi</t>
        </is>
      </c>
      <c r="H787" s="17" t="inlineStr">
        <is>
          <t>thieu_tham_so_van_qua</t>
        </is>
      </c>
      <c r="I787" s="16" t="inlineStr">
        <is>
          <t>Đạt</t>
        </is>
      </c>
      <c r="J787" s="16" t="n">
        <v>0.013</v>
      </c>
    </row>
    <row r="788">
      <c r="A788" s="16" t="n">
        <v>784</v>
      </c>
      <c r="B788" s="16" t="inlineStr">
        <is>
          <t>Backend</t>
        </is>
      </c>
      <c r="C788" s="17" t="inlineStr">
        <is>
          <t>ai-chatbox-service</t>
        </is>
      </c>
      <c r="D788" s="16" t="inlineStr">
        <is>
          <t>Unit</t>
        </is>
      </c>
      <c r="E788" s="17" t="inlineStr">
        <is>
          <t>OllamaLlmAdapterBehaviorTest › DungRequest</t>
        </is>
      </c>
      <c r="F788" s="17" t="inlineStr">
        <is>
          <t>dựng request</t>
        </is>
      </c>
      <c r="G788" s="17" t="inlineStr">
        <is>
          <t>lượt gọi tool và kết quả tool được trải thành message assistant/tool, lỗi có tiền tố LỖI</t>
        </is>
      </c>
      <c r="H788" s="17" t="inlineStr">
        <is>
          <t>luot_goi_tool_va_ket_qua</t>
        </is>
      </c>
      <c r="I788" s="16" t="inlineStr">
        <is>
          <t>Đạt</t>
        </is>
      </c>
      <c r="J788" s="16" t="n">
        <v>0.018</v>
      </c>
    </row>
    <row r="789">
      <c r="A789" s="16" t="n">
        <v>785</v>
      </c>
      <c r="B789" s="16" t="inlineStr">
        <is>
          <t>Backend</t>
        </is>
      </c>
      <c r="C789" s="17" t="inlineStr">
        <is>
          <t>ai-chatbox-service</t>
        </is>
      </c>
      <c r="D789" s="16" t="inlineStr">
        <is>
          <t>Unit</t>
        </is>
      </c>
      <c r="E789" s="17" t="inlineStr">
        <is>
          <t>OllamaLlmAdapterBehaviorTest › DungRequest</t>
        </is>
      </c>
      <c r="F789" s="17" t="inlineStr">
        <is>
          <t>dựng request</t>
        </is>
      </c>
      <c r="G789" s="17" t="inlineStr">
        <is>
          <t>prompt hệ thống là message đầu tiên vai system; lời khách là message vai user riêng</t>
        </is>
      </c>
      <c r="H789" s="17" t="inlineStr">
        <is>
          <t>prompt_he_thong_va_loi_khach_tach_nhau</t>
        </is>
      </c>
      <c r="I789" s="16" t="inlineStr">
        <is>
          <t>Đạt</t>
        </is>
      </c>
      <c r="J789" s="16" t="n">
        <v>0.013</v>
      </c>
    </row>
    <row r="790">
      <c r="A790" s="16" t="n">
        <v>786</v>
      </c>
      <c r="B790" s="16" t="inlineStr">
        <is>
          <t>Backend</t>
        </is>
      </c>
      <c r="C790" s="17" t="inlineStr">
        <is>
          <t>ai-chatbox-service</t>
        </is>
      </c>
      <c r="D790" s="16" t="inlineStr">
        <is>
          <t>Unit</t>
        </is>
      </c>
      <c r="E790" s="17" t="inlineStr">
        <is>
          <t>OllamaLlmAdapterBehaviorTest › DungRequest</t>
        </is>
      </c>
      <c r="F790" s="17" t="inlineStr">
        <is>
          <t>dựng request</t>
        </is>
      </c>
      <c r="G790" s="17" t="inlineStr">
        <is>
          <t>tool thành schema kiểu OpenAI, tham số tuỳ chọn không nằm trong required</t>
        </is>
      </c>
      <c r="H790" s="17" t="inlineStr">
        <is>
          <t>tool_thanh_schema</t>
        </is>
      </c>
      <c r="I790" s="16" t="inlineStr">
        <is>
          <t>Đạt</t>
        </is>
      </c>
      <c r="J790" s="16" t="n">
        <v>0.014</v>
      </c>
    </row>
    <row r="791">
      <c r="A791" s="16" t="n">
        <v>787</v>
      </c>
      <c r="B791" s="16" t="inlineStr">
        <is>
          <t>Backend</t>
        </is>
      </c>
      <c r="C791" s="17" t="inlineStr">
        <is>
          <t>ai-chatbox-service</t>
        </is>
      </c>
      <c r="D791" s="16" t="inlineStr">
        <is>
          <t>Unit</t>
        </is>
      </c>
      <c r="E791" s="17" t="inlineStr">
        <is>
          <t>OllamaLlmAdapterBehaviorTest › DungRequest</t>
        </is>
      </c>
      <c r="F791" s="17" t="inlineStr">
        <is>
          <t>dựng request</t>
        </is>
      </c>
      <c r="G791" s="17" t="inlineStr">
        <is>
          <t>gửi tới /api/chat với mô hình, stream=false và trần num_predict</t>
        </is>
      </c>
      <c r="H791" s="17" t="inlineStr">
        <is>
          <t>tham_so_co_ban</t>
        </is>
      </c>
      <c r="I791" s="16" t="inlineStr">
        <is>
          <t>Đạt</t>
        </is>
      </c>
      <c r="J791" s="16" t="n">
        <v>0.013</v>
      </c>
    </row>
    <row r="792">
      <c r="A792" s="16" t="n">
        <v>788</v>
      </c>
      <c r="B792" s="16" t="inlineStr">
        <is>
          <t>Backend</t>
        </is>
      </c>
      <c r="C792" s="17" t="inlineStr">
        <is>
          <t>ai-chatbox-service</t>
        </is>
      </c>
      <c r="D792" s="16" t="inlineStr">
        <is>
          <t>Unit</t>
        </is>
      </c>
      <c r="E792" s="17" t="inlineStr">
        <is>
          <t>OllamaLlmAdapterBehaviorTest › Properties</t>
        </is>
      </c>
      <c r="F792" s="17" t="inlineStr">
        <is>
          <t>OllamaProperties</t>
        </is>
      </c>
      <c r="G792" s="17" t="inlineStr">
        <is>
          <t>giá trị thiếu hoặc không hợp lệ rơi về mặc định</t>
        </is>
      </c>
      <c r="H792" s="17" t="inlineStr">
        <is>
          <t>mac_dinh</t>
        </is>
      </c>
      <c r="I792" s="16" t="inlineStr">
        <is>
          <t>Đạt</t>
        </is>
      </c>
      <c r="J792" s="16" t="n">
        <v>0.001</v>
      </c>
    </row>
    <row r="793">
      <c r="A793" s="16" t="n">
        <v>789</v>
      </c>
      <c r="B793" s="16" t="inlineStr">
        <is>
          <t>Backend</t>
        </is>
      </c>
      <c r="C793" s="17" t="inlineStr">
        <is>
          <t>ai-chatbox-service</t>
        </is>
      </c>
      <c r="D793" s="16" t="inlineStr">
        <is>
          <t>Unit</t>
        </is>
      </c>
      <c r="E793" s="17" t="inlineStr">
        <is>
          <t>OllamaLlmAdapterBehaviorTest › Properties</t>
        </is>
      </c>
      <c r="F793" s="17" t="inlineStr">
        <is>
          <t>OllamaProperties</t>
        </is>
      </c>
      <c r="G793" s="17" t="inlineStr">
        <is>
          <t>announce() ghi nhật ký khởi động mà không ném</t>
        </is>
      </c>
      <c r="H793" s="17" t="inlineStr">
        <is>
          <t>announce_khong_nem</t>
        </is>
      </c>
      <c r="I793" s="16" t="inlineStr">
        <is>
          <t>Đạt</t>
        </is>
      </c>
      <c r="J793" s="16" t="n">
        <v>0.005</v>
      </c>
    </row>
    <row r="794">
      <c r="A794" s="16" t="n">
        <v>790</v>
      </c>
      <c r="B794" s="16" t="inlineStr">
        <is>
          <t>Backend</t>
        </is>
      </c>
      <c r="C794" s="17" t="inlineStr">
        <is>
          <t>ai-chatbox-service</t>
        </is>
      </c>
      <c r="D794" s="16" t="inlineStr">
        <is>
          <t>Unit</t>
        </is>
      </c>
      <c r="E794" s="17" t="inlineStr">
        <is>
          <t>OllamaLlmAdapterBehaviorTest › Properties</t>
        </is>
      </c>
      <c r="F794" s="17" t="inlineStr">
        <is>
          <t>OllamaProperties</t>
        </is>
      </c>
      <c r="G794" s="17" t="inlineStr">
        <is>
          <t>giá trị khai tường minh được giữ nguyên</t>
        </is>
      </c>
      <c r="H794" s="17" t="inlineStr">
        <is>
          <t>giu_gia_tri</t>
        </is>
      </c>
      <c r="I794" s="16" t="inlineStr">
        <is>
          <t>Đạt</t>
        </is>
      </c>
      <c r="J794" s="16" t="n">
        <v>0.002</v>
      </c>
    </row>
    <row r="795">
      <c r="A795" s="16" t="n">
        <v>791</v>
      </c>
      <c r="B795" s="16" t="inlineStr">
        <is>
          <t>Backend</t>
        </is>
      </c>
      <c r="C795" s="17" t="inlineStr">
        <is>
          <t>ai-chatbox-service</t>
        </is>
      </c>
      <c r="D795" s="16" t="inlineStr">
        <is>
          <t>Unit</t>
        </is>
      </c>
      <c r="E795" s="17" t="inlineStr">
        <is>
          <t>OllamaLlmAdapterBehaviorTest › Provider</t>
        </is>
      </c>
      <c r="F795" s="17" t="inlineStr">
        <is>
          <t>LlmProvider</t>
        </is>
      </c>
      <c r="G795" s="17" t="inlineStr">
        <is>
          <t>hằng số khoá cấu hình khớp với @ConditionalOnProperty</t>
        </is>
      </c>
      <c r="H795" s="17" t="inlineStr">
        <is>
          <t>khoa_cau_hinh</t>
        </is>
      </c>
      <c r="I795" s="16" t="inlineStr">
        <is>
          <t>Đạt</t>
        </is>
      </c>
      <c r="J795" s="16" t="n">
        <v>0.003</v>
      </c>
    </row>
    <row r="796">
      <c r="A796" s="16" t="n">
        <v>792</v>
      </c>
      <c r="B796" s="16" t="inlineStr">
        <is>
          <t>Backend</t>
        </is>
      </c>
      <c r="C796" s="17" t="inlineStr">
        <is>
          <t>ai-chatbox-service</t>
        </is>
      </c>
      <c r="D796" s="16" t="inlineStr">
        <is>
          <t>Unit</t>
        </is>
      </c>
      <c r="E796" s="17" t="inlineStr">
        <is>
          <t>OllamaLlmAdapterBehaviorTest › XuLyLoi</t>
        </is>
      </c>
      <c r="F796" s="17" t="inlineStr">
        <is>
          <t>xử lý lỗi</t>
        </is>
      </c>
      <c r="G796" s="17" t="inlineStr">
        <is>
          <t>JSON hỏng thành LlmUnavailableException</t>
        </is>
      </c>
      <c r="H796" s="17" t="inlineStr">
        <is>
          <t>json_hong</t>
        </is>
      </c>
      <c r="I796" s="16" t="inlineStr">
        <is>
          <t>Đạt</t>
        </is>
      </c>
      <c r="J796" s="16" t="n">
        <v>0.02</v>
      </c>
    </row>
    <row r="797">
      <c r="A797" s="16" t="n">
        <v>793</v>
      </c>
      <c r="B797" s="16" t="inlineStr">
        <is>
          <t>Backend</t>
        </is>
      </c>
      <c r="C797" s="17" t="inlineStr">
        <is>
          <t>ai-chatbox-service</t>
        </is>
      </c>
      <c r="D797" s="16" t="inlineStr">
        <is>
          <t>Unit</t>
        </is>
      </c>
      <c r="E797" s="17" t="inlineStr">
        <is>
          <t>OllamaLlmAdapterBehaviorTest › XuLyLoi</t>
        </is>
      </c>
      <c r="F797" s="17" t="inlineStr">
        <is>
          <t>xử lý lỗi</t>
        </is>
      </c>
      <c r="G797" s="17" t="inlineStr">
        <is>
          <t>không đi theo chuyển hướng 30x sang host khác — token và hội thoại không rò</t>
        </is>
      </c>
      <c r="H797" s="17" t="inlineStr">
        <is>
          <t>khong_theo_chuyen_huong</t>
        </is>
      </c>
      <c r="I797" s="16" t="inlineStr">
        <is>
          <t>Đạt</t>
        </is>
      </c>
      <c r="J797" s="16" t="n">
        <v>0.017</v>
      </c>
    </row>
    <row r="798">
      <c r="A798" s="16" t="n">
        <v>794</v>
      </c>
      <c r="B798" s="16" t="inlineStr">
        <is>
          <t>Backend</t>
        </is>
      </c>
      <c r="C798" s="17" t="inlineStr">
        <is>
          <t>ai-chatbox-service</t>
        </is>
      </c>
      <c r="D798" s="16" t="inlineStr">
        <is>
          <t>Unit</t>
        </is>
      </c>
      <c r="E798" s="17" t="inlineStr">
        <is>
          <t>OllamaLlmAdapterBehaviorTest › XuLyLoi</t>
        </is>
      </c>
      <c r="F798" s="17" t="inlineStr">
        <is>
          <t>xử lý lỗi</t>
        </is>
      </c>
      <c r="G798" s="17" t="inlineStr">
        <is>
          <t>body không có message thành LlmUnavailableException</t>
        </is>
      </c>
      <c r="H798" s="17" t="inlineStr">
        <is>
          <t>khong_co_message</t>
        </is>
      </c>
      <c r="I798" s="16" t="inlineStr">
        <is>
          <t>Đạt</t>
        </is>
      </c>
      <c r="J798" s="16" t="n">
        <v>0.012</v>
      </c>
    </row>
    <row r="799">
      <c r="A799" s="16" t="n">
        <v>795</v>
      </c>
      <c r="B799" s="16" t="inlineStr">
        <is>
          <t>Backend</t>
        </is>
      </c>
      <c r="C799" s="17" t="inlineStr">
        <is>
          <t>ai-chatbox-service</t>
        </is>
      </c>
      <c r="D799" s="16" t="inlineStr">
        <is>
          <t>Unit</t>
        </is>
      </c>
      <c r="E799" s="17" t="inlineStr">
        <is>
          <t>OllamaLlmAdapterBehaviorTest › XuLyLoi</t>
        </is>
      </c>
      <c r="F799" s="17" t="inlineStr">
        <is>
          <t>xử lý lỗi</t>
        </is>
      </c>
      <c r="G799" s="17" t="inlineStr">
        <is>
          <t>quá hạn đọc thành LlmUnavailableException</t>
        </is>
      </c>
      <c r="H799" s="17" t="inlineStr">
        <is>
          <t>qua_han_doc</t>
        </is>
      </c>
      <c r="I799" s="16" t="inlineStr">
        <is>
          <t>Đạt</t>
        </is>
      </c>
      <c r="J799" s="16" t="n">
        <v>0.311</v>
      </c>
    </row>
    <row r="800">
      <c r="A800" s="16" t="n">
        <v>796</v>
      </c>
      <c r="B800" s="16" t="inlineStr">
        <is>
          <t>Backend</t>
        </is>
      </c>
      <c r="C800" s="17" t="inlineStr">
        <is>
          <t>ai-chatbox-service</t>
        </is>
      </c>
      <c r="D800" s="16" t="inlineStr">
        <is>
          <t>Unit</t>
        </is>
      </c>
      <c r="E800" s="17" t="inlineStr">
        <is>
          <t>OllamaLlmAdapterBehaviorTest › XuLyLoi</t>
        </is>
      </c>
      <c r="F800" s="17" t="inlineStr">
        <is>
          <t>xử lý lỗi</t>
        </is>
      </c>
      <c r="G800" s="17" t="inlineStr">
        <is>
          <t>body rỗng thành LlmUnavailableException</t>
        </is>
      </c>
      <c r="H800" s="17" t="inlineStr">
        <is>
          <t>body_rong</t>
        </is>
      </c>
      <c r="I800" s="16" t="inlineStr">
        <is>
          <t>Đạt</t>
        </is>
      </c>
      <c r="J800" s="16" t="n">
        <v>0.008999999999999999</v>
      </c>
    </row>
    <row r="801">
      <c r="A801" s="16" t="n">
        <v>797</v>
      </c>
      <c r="B801" s="16" t="inlineStr">
        <is>
          <t>Backend</t>
        </is>
      </c>
      <c r="C801" s="17" t="inlineStr">
        <is>
          <t>ai-chatbox-service</t>
        </is>
      </c>
      <c r="D801" s="16" t="inlineStr">
        <is>
          <t>Unit</t>
        </is>
      </c>
      <c r="E801" s="17" t="inlineStr">
        <is>
          <t>OllamaLlmAdapterBehaviorTest › XuLyLoi</t>
        </is>
      </c>
      <c r="F801" s="17" t="inlineStr">
        <is>
          <t>xử lý lỗi</t>
        </is>
      </c>
      <c r="G801" s="17" t="inlineStr">
        <is>
          <t>Ollama chưa chạy (connection refused) thành LlmUnavailableException nêu địa chỉ</t>
        </is>
      </c>
      <c r="H801" s="17" t="inlineStr">
        <is>
          <t>chua_chay</t>
        </is>
      </c>
      <c r="I801" s="16" t="inlineStr">
        <is>
          <t>Đạt</t>
        </is>
      </c>
      <c r="J801" s="16" t="n">
        <v>0.011</v>
      </c>
    </row>
    <row r="802">
      <c r="A802" s="16" t="n">
        <v>798</v>
      </c>
      <c r="B802" s="16" t="inlineStr">
        <is>
          <t>Backend</t>
        </is>
      </c>
      <c r="C802" s="17" t="inlineStr">
        <is>
          <t>ai-chatbox-service</t>
        </is>
      </c>
      <c r="D802" s="16" t="inlineStr">
        <is>
          <t>Unit</t>
        </is>
      </c>
      <c r="E802" s="17" t="inlineStr">
        <is>
          <t>OllamaLlmAdapterBehaviorTest › XuLyLoi</t>
        </is>
      </c>
      <c r="F802" s="17" t="inlineStr">
        <is>
          <t>xử lý lỗi</t>
        </is>
      </c>
      <c r="G802" s="17" t="inlineStr">
        <is>
          <t>404 (chưa pull mô hình), 500 và 503 đều thành LlmUnavailableException mang nguyên nhân gốc</t>
        </is>
      </c>
      <c r="H802" s="17" t="inlineStr">
        <is>
          <t>ma_loi_http</t>
        </is>
      </c>
      <c r="I802" s="16" t="inlineStr">
        <is>
          <t>Đạt</t>
        </is>
      </c>
      <c r="J802" s="16" t="n">
        <v>0.047</v>
      </c>
    </row>
    <row r="803">
      <c r="A803" s="16" t="n">
        <v>799</v>
      </c>
      <c r="B803" s="16" t="inlineStr">
        <is>
          <t>Backend</t>
        </is>
      </c>
      <c r="C803" s="17" t="inlineStr">
        <is>
          <t>ai-chatbox-service</t>
        </is>
      </c>
      <c r="D803" s="16" t="inlineStr">
        <is>
          <t>Unit</t>
        </is>
      </c>
      <c r="E803" s="17" t="inlineStr">
        <is>
          <t>OllamaLlmAdapterTest › DocResponse</t>
        </is>
      </c>
      <c r="F803" s="17" t="inlineStr"/>
      <c r="G803" s="17" t="inlineStr">
        <is>
          <t>tool calls rong doc loi</t>
        </is>
      </c>
      <c r="H803" s="17" t="inlineStr">
        <is>
          <t>tool_calls_rong_doc_loi</t>
        </is>
      </c>
      <c r="I803" s="16" t="inlineStr">
        <is>
          <t>Đạt</t>
        </is>
      </c>
      <c r="J803" s="16" t="n">
        <v>0.041</v>
      </c>
    </row>
    <row r="804">
      <c r="A804" s="16" t="n">
        <v>800</v>
      </c>
      <c r="B804" s="16" t="inlineStr">
        <is>
          <t>Backend</t>
        </is>
      </c>
      <c r="C804" s="17" t="inlineStr">
        <is>
          <t>ai-chatbox-service</t>
        </is>
      </c>
      <c r="D804" s="16" t="inlineStr">
        <is>
          <t>Unit</t>
        </is>
      </c>
      <c r="E804" s="17" t="inlineStr">
        <is>
          <t>OllamaLlmAdapterTest › DocResponse</t>
        </is>
      </c>
      <c r="F804" s="17" t="inlineStr"/>
      <c r="G804" s="17" t="inlineStr">
        <is>
          <t>tool calls duoc dich</t>
        </is>
      </c>
      <c r="H804" s="17" t="inlineStr">
        <is>
          <t>tool_calls_duoc_dich</t>
        </is>
      </c>
      <c r="I804" s="16" t="inlineStr">
        <is>
          <t>Đạt</t>
        </is>
      </c>
      <c r="J804" s="16" t="n">
        <v>0.023</v>
      </c>
    </row>
    <row r="805">
      <c r="A805" s="16" t="n">
        <v>801</v>
      </c>
      <c r="B805" s="16" t="inlineStr">
        <is>
          <t>Backend</t>
        </is>
      </c>
      <c r="C805" s="17" t="inlineStr">
        <is>
          <t>ai-chatbox-service</t>
        </is>
      </c>
      <c r="D805" s="16" t="inlineStr">
        <is>
          <t>Unit</t>
        </is>
      </c>
      <c r="E805" s="17" t="inlineStr">
        <is>
          <t>OllamaLlmAdapterTest › DocResponse</t>
        </is>
      </c>
      <c r="F805" s="17" t="inlineStr"/>
      <c r="G805" s="17" t="inlineStr">
        <is>
          <t>co loi la answer</t>
        </is>
      </c>
      <c r="H805" s="17" t="inlineStr">
        <is>
          <t>co_loi_la_answer</t>
        </is>
      </c>
      <c r="I805" s="16" t="inlineStr">
        <is>
          <t>Đạt</t>
        </is>
      </c>
      <c r="J805" s="16" t="n">
        <v>0.02</v>
      </c>
    </row>
    <row r="806">
      <c r="A806" s="16" t="n">
        <v>802</v>
      </c>
      <c r="B806" s="16" t="inlineStr">
        <is>
          <t>Backend</t>
        </is>
      </c>
      <c r="C806" s="17" t="inlineStr">
        <is>
          <t>ai-chatbox-service</t>
        </is>
      </c>
      <c r="D806" s="16" t="inlineStr">
        <is>
          <t>Unit</t>
        </is>
      </c>
      <c r="E806" s="17" t="inlineStr">
        <is>
          <t>OllamaLlmAdapterTest › DocResponse</t>
        </is>
      </c>
      <c r="F806" s="17" t="inlineStr"/>
      <c r="G806" s="17" t="inlineStr">
        <is>
          <t>tool calls thang loi</t>
        </is>
      </c>
      <c r="H806" s="17" t="inlineStr">
        <is>
          <t>tool_calls_thang_loi</t>
        </is>
      </c>
      <c r="I806" s="16" t="inlineStr">
        <is>
          <t>Đạt</t>
        </is>
      </c>
      <c r="J806" s="16" t="n">
        <v>0.023</v>
      </c>
    </row>
    <row r="807">
      <c r="A807" s="16" t="n">
        <v>803</v>
      </c>
      <c r="B807" s="16" t="inlineStr">
        <is>
          <t>Backend</t>
        </is>
      </c>
      <c r="C807" s="17" t="inlineStr">
        <is>
          <t>ai-chatbox-service</t>
        </is>
      </c>
      <c r="D807" s="16" t="inlineStr">
        <is>
          <t>Unit</t>
        </is>
      </c>
      <c r="E807" s="17" t="inlineStr">
        <is>
          <t>OllamaLlmAdapterTest › DocResponse</t>
        </is>
      </c>
      <c r="F807" s="17" t="inlineStr"/>
      <c r="G807" s="17" t="inlineStr">
        <is>
          <t>luot rong la loi</t>
        </is>
      </c>
      <c r="H807" s="17" t="inlineStr">
        <is>
          <t>luot_rong_la_loi</t>
        </is>
      </c>
      <c r="I807" s="16" t="inlineStr">
        <is>
          <t>Đạt</t>
        </is>
      </c>
      <c r="J807" s="16" t="n">
        <v>0.061</v>
      </c>
    </row>
    <row r="808">
      <c r="A808" s="16" t="n">
        <v>804</v>
      </c>
      <c r="B808" s="16" t="inlineStr">
        <is>
          <t>Backend</t>
        </is>
      </c>
      <c r="C808" s="17" t="inlineStr">
        <is>
          <t>ai-chatbox-service</t>
        </is>
      </c>
      <c r="D808" s="16" t="inlineStr">
        <is>
          <t>Unit</t>
        </is>
      </c>
      <c r="E808" s="17" t="inlineStr">
        <is>
          <t>OllamaLlmAdapterTest › DocResponse</t>
        </is>
      </c>
      <c r="F808" s="17" t="inlineStr"/>
      <c r="G808" s="17" t="inlineStr">
        <is>
          <t>thieu tham so van qua</t>
        </is>
      </c>
      <c r="H808" s="17" t="inlineStr">
        <is>
          <t>thieu_tham_so_van_qua</t>
        </is>
      </c>
      <c r="I808" s="16" t="inlineStr">
        <is>
          <t>Đạt</t>
        </is>
      </c>
      <c r="J808" s="16" t="n">
        <v>0.026</v>
      </c>
    </row>
    <row r="809">
      <c r="A809" s="16" t="n">
        <v>805</v>
      </c>
      <c r="B809" s="16" t="inlineStr">
        <is>
          <t>Backend</t>
        </is>
      </c>
      <c r="C809" s="17" t="inlineStr">
        <is>
          <t>ai-chatbox-service</t>
        </is>
      </c>
      <c r="D809" s="16" t="inlineStr">
        <is>
          <t>Unit</t>
        </is>
      </c>
      <c r="E809" s="17" t="inlineStr">
        <is>
          <t>OllamaLlmAdapterTest › DungRequest</t>
        </is>
      </c>
      <c r="F809" s="17" t="inlineStr"/>
      <c r="G809" s="17" t="inlineStr">
        <is>
          <t>luot goi tool va ket qua</t>
        </is>
      </c>
      <c r="H809" s="17" t="inlineStr">
        <is>
          <t>luot_goi_tool_va_ket_qua</t>
        </is>
      </c>
      <c r="I809" s="16" t="inlineStr">
        <is>
          <t>Đạt</t>
        </is>
      </c>
      <c r="J809" s="16" t="n">
        <v>0.023</v>
      </c>
    </row>
    <row r="810">
      <c r="A810" s="16" t="n">
        <v>806</v>
      </c>
      <c r="B810" s="16" t="inlineStr">
        <is>
          <t>Backend</t>
        </is>
      </c>
      <c r="C810" s="17" t="inlineStr">
        <is>
          <t>ai-chatbox-service</t>
        </is>
      </c>
      <c r="D810" s="16" t="inlineStr">
        <is>
          <t>Unit</t>
        </is>
      </c>
      <c r="E810" s="17" t="inlineStr">
        <is>
          <t>OllamaLlmAdapterTest › DungRequest</t>
        </is>
      </c>
      <c r="F810" s="17" t="inlineStr"/>
      <c r="G810" s="17" t="inlineStr">
        <is>
          <t>prompt he thong va loi khach tach nhau</t>
        </is>
      </c>
      <c r="H810" s="17" t="inlineStr">
        <is>
          <t>prompt_he_thong_va_loi_khach_tach_nhau</t>
        </is>
      </c>
      <c r="I810" s="16" t="inlineStr">
        <is>
          <t>Đạt</t>
        </is>
      </c>
      <c r="J810" s="16" t="n">
        <v>0.026</v>
      </c>
    </row>
    <row r="811">
      <c r="A811" s="16" t="n">
        <v>807</v>
      </c>
      <c r="B811" s="16" t="inlineStr">
        <is>
          <t>Backend</t>
        </is>
      </c>
      <c r="C811" s="17" t="inlineStr">
        <is>
          <t>ai-chatbox-service</t>
        </is>
      </c>
      <c r="D811" s="16" t="inlineStr">
        <is>
          <t>Unit</t>
        </is>
      </c>
      <c r="E811" s="17" t="inlineStr">
        <is>
          <t>OllamaLlmAdapterTest › DungRequest</t>
        </is>
      </c>
      <c r="F811" s="17" t="inlineStr"/>
      <c r="G811" s="17" t="inlineStr">
        <is>
          <t>tool thanh schema</t>
        </is>
      </c>
      <c r="H811" s="17" t="inlineStr">
        <is>
          <t>tool_thanh_schema</t>
        </is>
      </c>
      <c r="I811" s="16" t="inlineStr">
        <is>
          <t>Đạt</t>
        </is>
      </c>
      <c r="J811" s="16" t="n">
        <v>0.027</v>
      </c>
    </row>
    <row r="812">
      <c r="A812" s="16" t="n">
        <v>808</v>
      </c>
      <c r="B812" s="16" t="inlineStr">
        <is>
          <t>Backend</t>
        </is>
      </c>
      <c r="C812" s="17" t="inlineStr">
        <is>
          <t>ai-chatbox-service</t>
        </is>
      </c>
      <c r="D812" s="16" t="inlineStr">
        <is>
          <t>Unit</t>
        </is>
      </c>
      <c r="E812" s="17" t="inlineStr">
        <is>
          <t>OllamaLlmAdapterTest › DungRequest</t>
        </is>
      </c>
      <c r="F812" s="17" t="inlineStr"/>
      <c r="G812" s="17" t="inlineStr">
        <is>
          <t>tham so co ban</t>
        </is>
      </c>
      <c r="H812" s="17" t="inlineStr">
        <is>
          <t>tham_so_co_ban</t>
        </is>
      </c>
      <c r="I812" s="16" t="inlineStr">
        <is>
          <t>Đạt</t>
        </is>
      </c>
      <c r="J812" s="16" t="n">
        <v>0.02</v>
      </c>
    </row>
    <row r="813">
      <c r="A813" s="16" t="n">
        <v>809</v>
      </c>
      <c r="B813" s="16" t="inlineStr">
        <is>
          <t>Backend</t>
        </is>
      </c>
      <c r="C813" s="17" t="inlineStr">
        <is>
          <t>ai-chatbox-service</t>
        </is>
      </c>
      <c r="D813" s="16" t="inlineStr">
        <is>
          <t>Unit</t>
        </is>
      </c>
      <c r="E813" s="17" t="inlineStr">
        <is>
          <t>OllamaLlmAdapterTest › Properties</t>
        </is>
      </c>
      <c r="F813" s="17" t="inlineStr"/>
      <c r="G813" s="17" t="inlineStr">
        <is>
          <t>mac dinh</t>
        </is>
      </c>
      <c r="H813" s="17" t="inlineStr">
        <is>
          <t>mac_dinh</t>
        </is>
      </c>
      <c r="I813" s="16" t="inlineStr">
        <is>
          <t>Đạt</t>
        </is>
      </c>
      <c r="J813" s="16" t="n">
        <v>0.003</v>
      </c>
    </row>
    <row r="814">
      <c r="A814" s="16" t="n">
        <v>810</v>
      </c>
      <c r="B814" s="16" t="inlineStr">
        <is>
          <t>Backend</t>
        </is>
      </c>
      <c r="C814" s="17" t="inlineStr">
        <is>
          <t>ai-chatbox-service</t>
        </is>
      </c>
      <c r="D814" s="16" t="inlineStr">
        <is>
          <t>Unit</t>
        </is>
      </c>
      <c r="E814" s="17" t="inlineStr">
        <is>
          <t>OllamaLlmAdapterTest › Properties</t>
        </is>
      </c>
      <c r="F814" s="17" t="inlineStr"/>
      <c r="G814" s="17" t="inlineStr">
        <is>
          <t>announce khong nem</t>
        </is>
      </c>
      <c r="H814" s="17" t="inlineStr">
        <is>
          <t>announce_khong_nem</t>
        </is>
      </c>
      <c r="I814" s="16" t="inlineStr">
        <is>
          <t>Đạt</t>
        </is>
      </c>
      <c r="J814" s="16" t="n">
        <v>0.01</v>
      </c>
    </row>
    <row r="815">
      <c r="A815" s="16" t="n">
        <v>811</v>
      </c>
      <c r="B815" s="16" t="inlineStr">
        <is>
          <t>Backend</t>
        </is>
      </c>
      <c r="C815" s="17" t="inlineStr">
        <is>
          <t>ai-chatbox-service</t>
        </is>
      </c>
      <c r="D815" s="16" t="inlineStr">
        <is>
          <t>Unit</t>
        </is>
      </c>
      <c r="E815" s="17" t="inlineStr">
        <is>
          <t>OllamaLlmAdapterTest › Properties</t>
        </is>
      </c>
      <c r="F815" s="17" t="inlineStr"/>
      <c r="G815" s="17" t="inlineStr">
        <is>
          <t>giu gia tri</t>
        </is>
      </c>
      <c r="H815" s="17" t="inlineStr">
        <is>
          <t>giu_gia_tri</t>
        </is>
      </c>
      <c r="I815" s="16" t="inlineStr">
        <is>
          <t>Đạt</t>
        </is>
      </c>
      <c r="J815" s="16" t="n">
        <v>0.002</v>
      </c>
    </row>
    <row r="816">
      <c r="A816" s="16" t="n">
        <v>812</v>
      </c>
      <c r="B816" s="16" t="inlineStr">
        <is>
          <t>Backend</t>
        </is>
      </c>
      <c r="C816" s="17" t="inlineStr">
        <is>
          <t>ai-chatbox-service</t>
        </is>
      </c>
      <c r="D816" s="16" t="inlineStr">
        <is>
          <t>Unit</t>
        </is>
      </c>
      <c r="E816" s="17" t="inlineStr">
        <is>
          <t>OllamaLlmAdapterTest › Provider</t>
        </is>
      </c>
      <c r="F816" s="17" t="inlineStr"/>
      <c r="G816" s="17" t="inlineStr">
        <is>
          <t>khoa cau hinh</t>
        </is>
      </c>
      <c r="H816" s="17" t="inlineStr">
        <is>
          <t>khoa_cau_hinh</t>
        </is>
      </c>
      <c r="I816" s="16" t="inlineStr">
        <is>
          <t>Đạt</t>
        </is>
      </c>
      <c r="J816" s="16" t="n">
        <v>0.005</v>
      </c>
    </row>
    <row r="817">
      <c r="A817" s="16" t="n">
        <v>813</v>
      </c>
      <c r="B817" s="16" t="inlineStr">
        <is>
          <t>Backend</t>
        </is>
      </c>
      <c r="C817" s="17" t="inlineStr">
        <is>
          <t>ai-chatbox-service</t>
        </is>
      </c>
      <c r="D817" s="16" t="inlineStr">
        <is>
          <t>Unit</t>
        </is>
      </c>
      <c r="E817" s="17" t="inlineStr">
        <is>
          <t>OllamaLlmAdapterTest › XuLyLoi</t>
        </is>
      </c>
      <c r="F817" s="17" t="inlineStr"/>
      <c r="G817" s="17" t="inlineStr">
        <is>
          <t>json hong</t>
        </is>
      </c>
      <c r="H817" s="17" t="inlineStr">
        <is>
          <t>json_hong</t>
        </is>
      </c>
      <c r="I817" s="16" t="inlineStr">
        <is>
          <t>Đạt</t>
        </is>
      </c>
      <c r="J817" s="16" t="n">
        <v>0.035</v>
      </c>
    </row>
    <row r="818">
      <c r="A818" s="16" t="n">
        <v>814</v>
      </c>
      <c r="B818" s="16" t="inlineStr">
        <is>
          <t>Backend</t>
        </is>
      </c>
      <c r="C818" s="17" t="inlineStr">
        <is>
          <t>ai-chatbox-service</t>
        </is>
      </c>
      <c r="D818" s="16" t="inlineStr">
        <is>
          <t>Unit</t>
        </is>
      </c>
      <c r="E818" s="17" t="inlineStr">
        <is>
          <t>OllamaLlmAdapterTest › XuLyLoi</t>
        </is>
      </c>
      <c r="F818" s="17" t="inlineStr"/>
      <c r="G818" s="17" t="inlineStr">
        <is>
          <t>khong theo chuyen huong</t>
        </is>
      </c>
      <c r="H818" s="17" t="inlineStr">
        <is>
          <t>khong_theo_chuyen_huong</t>
        </is>
      </c>
      <c r="I818" s="16" t="inlineStr">
        <is>
          <t>Đạt</t>
        </is>
      </c>
      <c r="J818" s="16" t="n">
        <v>0.024</v>
      </c>
    </row>
    <row r="819">
      <c r="A819" s="16" t="n">
        <v>815</v>
      </c>
      <c r="B819" s="16" t="inlineStr">
        <is>
          <t>Backend</t>
        </is>
      </c>
      <c r="C819" s="17" t="inlineStr">
        <is>
          <t>ai-chatbox-service</t>
        </is>
      </c>
      <c r="D819" s="16" t="inlineStr">
        <is>
          <t>Unit</t>
        </is>
      </c>
      <c r="E819" s="17" t="inlineStr">
        <is>
          <t>OllamaLlmAdapterTest › XuLyLoi</t>
        </is>
      </c>
      <c r="F819" s="17" t="inlineStr"/>
      <c r="G819" s="17" t="inlineStr">
        <is>
          <t>khong co message</t>
        </is>
      </c>
      <c r="H819" s="17" t="inlineStr">
        <is>
          <t>khong_co_message</t>
        </is>
      </c>
      <c r="I819" s="16" t="inlineStr">
        <is>
          <t>Đạt</t>
        </is>
      </c>
      <c r="J819" s="16" t="n">
        <v>0.021</v>
      </c>
    </row>
    <row r="820">
      <c r="A820" s="16" t="n">
        <v>816</v>
      </c>
      <c r="B820" s="16" t="inlineStr">
        <is>
          <t>Backend</t>
        </is>
      </c>
      <c r="C820" s="17" t="inlineStr">
        <is>
          <t>ai-chatbox-service</t>
        </is>
      </c>
      <c r="D820" s="16" t="inlineStr">
        <is>
          <t>Unit</t>
        </is>
      </c>
      <c r="E820" s="17" t="inlineStr">
        <is>
          <t>OllamaLlmAdapterTest › XuLyLoi</t>
        </is>
      </c>
      <c r="F820" s="17" t="inlineStr"/>
      <c r="G820" s="17" t="inlineStr">
        <is>
          <t>qua han doc</t>
        </is>
      </c>
      <c r="H820" s="17" t="inlineStr">
        <is>
          <t>qua_han_doc</t>
        </is>
      </c>
      <c r="I820" s="16" t="inlineStr">
        <is>
          <t>Đạt</t>
        </is>
      </c>
      <c r="J820" s="16" t="n">
        <v>0.319</v>
      </c>
    </row>
    <row r="821">
      <c r="A821" s="16" t="n">
        <v>817</v>
      </c>
      <c r="B821" s="16" t="inlineStr">
        <is>
          <t>Backend</t>
        </is>
      </c>
      <c r="C821" s="17" t="inlineStr">
        <is>
          <t>ai-chatbox-service</t>
        </is>
      </c>
      <c r="D821" s="16" t="inlineStr">
        <is>
          <t>Unit</t>
        </is>
      </c>
      <c r="E821" s="17" t="inlineStr">
        <is>
          <t>OllamaLlmAdapterTest › XuLyLoi</t>
        </is>
      </c>
      <c r="F821" s="17" t="inlineStr"/>
      <c r="G821" s="17" t="inlineStr">
        <is>
          <t>body rong</t>
        </is>
      </c>
      <c r="H821" s="17" t="inlineStr">
        <is>
          <t>body_rong</t>
        </is>
      </c>
      <c r="I821" s="16" t="inlineStr">
        <is>
          <t>Đạt</t>
        </is>
      </c>
      <c r="J821" s="16" t="n">
        <v>0.019</v>
      </c>
    </row>
    <row r="822">
      <c r="A822" s="16" t="n">
        <v>818</v>
      </c>
      <c r="B822" s="16" t="inlineStr">
        <is>
          <t>Backend</t>
        </is>
      </c>
      <c r="C822" s="17" t="inlineStr">
        <is>
          <t>ai-chatbox-service</t>
        </is>
      </c>
      <c r="D822" s="16" t="inlineStr">
        <is>
          <t>Unit</t>
        </is>
      </c>
      <c r="E822" s="17" t="inlineStr">
        <is>
          <t>OllamaLlmAdapterTest › XuLyLoi</t>
        </is>
      </c>
      <c r="F822" s="17" t="inlineStr"/>
      <c r="G822" s="17" t="inlineStr">
        <is>
          <t>chua chay</t>
        </is>
      </c>
      <c r="H822" s="17" t="inlineStr">
        <is>
          <t>chua_chay</t>
        </is>
      </c>
      <c r="I822" s="16" t="inlineStr">
        <is>
          <t>Đạt</t>
        </is>
      </c>
      <c r="J822" s="16" t="n">
        <v>0.02</v>
      </c>
    </row>
    <row r="823">
      <c r="A823" s="16" t="n">
        <v>819</v>
      </c>
      <c r="B823" s="16" t="inlineStr">
        <is>
          <t>Backend</t>
        </is>
      </c>
      <c r="C823" s="17" t="inlineStr">
        <is>
          <t>ai-chatbox-service</t>
        </is>
      </c>
      <c r="D823" s="16" t="inlineStr">
        <is>
          <t>Unit</t>
        </is>
      </c>
      <c r="E823" s="17" t="inlineStr">
        <is>
          <t>OllamaLlmAdapterTest › XuLyLoi</t>
        </is>
      </c>
      <c r="F823" s="17" t="inlineStr"/>
      <c r="G823" s="17" t="inlineStr">
        <is>
          <t>ma loi http</t>
        </is>
      </c>
      <c r="H823" s="17" t="inlineStr">
        <is>
          <t>ma_loi_http</t>
        </is>
      </c>
      <c r="I823" s="16" t="inlineStr">
        <is>
          <t>Đạt</t>
        </is>
      </c>
      <c r="J823" s="16" t="n">
        <v>0.098</v>
      </c>
    </row>
    <row r="824">
      <c r="A824" s="16" t="n">
        <v>820</v>
      </c>
      <c r="B824" s="16" t="inlineStr">
        <is>
          <t>Backend</t>
        </is>
      </c>
      <c r="C824" s="17" t="inlineStr">
        <is>
          <t>ai-chatbox-service</t>
        </is>
      </c>
      <c r="D824" s="16" t="inlineStr">
        <is>
          <t>Unit</t>
        </is>
      </c>
      <c r="E824" s="17" t="inlineStr">
        <is>
          <t>OllamaLlmAdapterTest</t>
        </is>
      </c>
      <c r="F824" s="17" t="inlineStr"/>
      <c r="G824" s="17" t="inlineStr">
        <is>
          <t>cham tran ngu canh van tra cau tra loi</t>
        </is>
      </c>
      <c r="H824" s="17" t="inlineStr">
        <is>
          <t>cham_tran_ngu_canh_van_tra_cau_tra_loi</t>
        </is>
      </c>
      <c r="I824" s="16" t="inlineStr">
        <is>
          <t>Đạt</t>
        </is>
      </c>
      <c r="J824" s="16" t="n">
        <v>0.017</v>
      </c>
    </row>
    <row r="825">
      <c r="A825" s="16" t="n">
        <v>821</v>
      </c>
      <c r="B825" s="16" t="inlineStr">
        <is>
          <t>Backend</t>
        </is>
      </c>
      <c r="C825" s="17" t="inlineStr">
        <is>
          <t>ai-chatbox-service</t>
        </is>
      </c>
      <c r="D825" s="16" t="inlineStr">
        <is>
          <t>Unit</t>
        </is>
      </c>
      <c r="E825" s="17" t="inlineStr">
        <is>
          <t>OllamaLlmAdapterTest</t>
        </is>
      </c>
      <c r="F825" s="17" t="inlineStr"/>
      <c r="G825" s="17" t="inlineStr">
        <is>
          <t>phan hoi hinh dang la thanh LlmUnavailable</t>
        </is>
      </c>
      <c r="H825" s="17" t="inlineStr">
        <is>
          <t>phan_hoi_hinh_dang_la_thanh_LlmUnavailable</t>
        </is>
      </c>
      <c r="I825" s="16" t="inlineStr">
        <is>
          <t>Đạt</t>
        </is>
      </c>
      <c r="J825" s="16" t="n">
        <v>0.015</v>
      </c>
    </row>
    <row r="826">
      <c r="A826" s="16" t="n">
        <v>822</v>
      </c>
      <c r="B826" s="16" t="inlineStr">
        <is>
          <t>Backend</t>
        </is>
      </c>
      <c r="C826" s="17" t="inlineStr">
        <is>
          <t>ai-chatbox-service</t>
        </is>
      </c>
      <c r="D826" s="16" t="inlineStr">
        <is>
          <t>Unit</t>
        </is>
      </c>
      <c r="E826" s="17" t="inlineStr">
        <is>
          <t>OllamaLlmAdapterTest</t>
        </is>
      </c>
      <c r="F826" s="17" t="inlineStr"/>
      <c r="G826" s="17" t="inlineStr">
        <is>
          <t>gui num ctx trong options</t>
        </is>
      </c>
      <c r="H826" s="17" t="inlineStr">
        <is>
          <t>gui_num_ctx_trong_options</t>
        </is>
      </c>
      <c r="I826" s="16" t="inlineStr">
        <is>
          <t>Đạt</t>
        </is>
      </c>
      <c r="J826" s="16" t="n">
        <v>0.018</v>
      </c>
    </row>
    <row r="827">
      <c r="A827" s="16" t="n">
        <v>823</v>
      </c>
      <c r="B827" s="16" t="inlineStr">
        <is>
          <t>Backend</t>
        </is>
      </c>
      <c r="C827" s="17" t="inlineStr">
        <is>
          <t>ai-chatbox-service</t>
        </is>
      </c>
      <c r="D827" s="16" t="inlineStr">
        <is>
          <t>Unit</t>
        </is>
      </c>
      <c r="E827" s="17" t="inlineStr">
        <is>
          <t>OllamaLlmAdapterTest</t>
        </is>
      </c>
      <c r="F827" s="17" t="inlineStr"/>
      <c r="G827" s="17" t="inlineStr">
        <is>
          <t>tham so null bi bo va so thuc thanh so nguyen</t>
        </is>
      </c>
      <c r="H827" s="17" t="inlineStr">
        <is>
          <t>tham_so_null_bi_bo_va_so_thuc_thanh_so_nguyen</t>
        </is>
      </c>
      <c r="I827" s="16" t="inlineStr">
        <is>
          <t>Đạt</t>
        </is>
      </c>
      <c r="J827" s="16" t="n">
        <v>0.017</v>
      </c>
    </row>
    <row r="828">
      <c r="A828" s="16" t="n">
        <v>824</v>
      </c>
      <c r="B828" s="16" t="inlineStr">
        <is>
          <t>Backend</t>
        </is>
      </c>
      <c r="C828" s="17" t="inlineStr">
        <is>
          <t>ai-chatbox-service</t>
        </is>
      </c>
      <c r="D828" s="16" t="inlineStr">
        <is>
          <t>Unit</t>
        </is>
      </c>
      <c r="E828" s="17" t="inlineStr">
        <is>
          <t>PgVectorStoreAdapterTest</t>
        </is>
      </c>
      <c r="F828" s="17" t="inlineStr"/>
      <c r="G828" s="17" t="inlineStr">
        <is>
          <t>iterative scan tu pgvector 0 8</t>
        </is>
      </c>
      <c r="H828" s="17" t="inlineStr">
        <is>
          <t>iterative_scan_tu_pgvector_0_8</t>
        </is>
      </c>
      <c r="I828" s="16" t="inlineStr">
        <is>
          <t>Đạt</t>
        </is>
      </c>
      <c r="J828" s="16" t="n">
        <v>0.003</v>
      </c>
    </row>
    <row r="829">
      <c r="A829" s="16" t="n">
        <v>825</v>
      </c>
      <c r="B829" s="16" t="inlineStr">
        <is>
          <t>Backend</t>
        </is>
      </c>
      <c r="C829" s="17" t="inlineStr">
        <is>
          <t>ai-chatbox-service</t>
        </is>
      </c>
      <c r="D829" s="16" t="inlineStr">
        <is>
          <t>Unit</t>
        </is>
      </c>
      <c r="E829" s="17" t="inlineStr">
        <is>
          <t>PgVectorStoreAdapterTest</t>
        </is>
      </c>
      <c r="F829" s="17" t="inlineStr"/>
      <c r="G829" s="17" t="inlineStr">
        <is>
          <t>ef search co san 40 va tran 1000</t>
        </is>
      </c>
      <c r="H829" s="17" t="inlineStr">
        <is>
          <t>ef_search_co_san_40_va_tran_1000</t>
        </is>
      </c>
      <c r="I829" s="16" t="inlineStr">
        <is>
          <t>Đạt</t>
        </is>
      </c>
      <c r="J829" s="16" t="n">
        <v>0.001</v>
      </c>
    </row>
    <row r="830">
      <c r="A830" s="16" t="n">
        <v>826</v>
      </c>
      <c r="B830" s="16" t="inlineStr">
        <is>
          <t>Backend</t>
        </is>
      </c>
      <c r="C830" s="17" t="inlineStr">
        <is>
          <t>ai-chatbox-service</t>
        </is>
      </c>
      <c r="D830" s="16" t="inlineStr">
        <is>
          <t>Unit</t>
        </is>
      </c>
      <c r="E830" s="17" t="inlineStr">
        <is>
          <t>ChatIdempotencyTest</t>
        </is>
      </c>
      <c r="F830" s="17" t="inlineStr"/>
      <c r="G830" s="17" t="inlineStr">
        <is>
          <t>cung phien khac noi dung khac chu ky</t>
        </is>
      </c>
      <c r="H830" s="17" t="inlineStr">
        <is>
          <t>cung_phien_khac_noi_dung_khac_chu_ky</t>
        </is>
      </c>
      <c r="I830" s="16" t="inlineStr">
        <is>
          <t>Đạt</t>
        </is>
      </c>
      <c r="J830" s="16" t="n">
        <v>0.205</v>
      </c>
    </row>
    <row r="831">
      <c r="A831" s="16" t="n">
        <v>827</v>
      </c>
      <c r="B831" s="16" t="inlineStr">
        <is>
          <t>Backend</t>
        </is>
      </c>
      <c r="C831" s="17" t="inlineStr">
        <is>
          <t>ai-chatbox-service</t>
        </is>
      </c>
      <c r="D831" s="16" t="inlineStr">
        <is>
          <t>Unit</t>
        </is>
      </c>
      <c r="E831" s="17" t="inlineStr">
        <is>
          <t>ChatIdempotencyTest</t>
        </is>
      </c>
      <c r="F831" s="17" t="inlineStr"/>
      <c r="G831" s="17" t="inlineStr">
        <is>
          <t>phien moi khac phien cu cung noi dung</t>
        </is>
      </c>
      <c r="H831" s="17" t="inlineStr">
        <is>
          <t>phien_moi_khac_phien_cu_cung_noi_dung</t>
        </is>
      </c>
      <c r="I831" s="16" t="inlineStr">
        <is>
          <t>Đạt</t>
        </is>
      </c>
      <c r="J831" s="16" t="n">
        <v>0.007</v>
      </c>
    </row>
    <row r="832">
      <c r="A832" s="16" t="n">
        <v>828</v>
      </c>
      <c r="B832" s="16" t="inlineStr">
        <is>
          <t>Backend</t>
        </is>
      </c>
      <c r="C832" s="17" t="inlineStr">
        <is>
          <t>ai-chatbox-service</t>
        </is>
      </c>
      <c r="D832" s="16" t="inlineStr">
        <is>
          <t>Unit</t>
        </is>
      </c>
      <c r="E832" s="17" t="inlineStr">
        <is>
          <t>ChatIdempotencyTest</t>
        </is>
      </c>
      <c r="F832" s="17" t="inlineStr"/>
      <c r="G832" s="17" t="inlineStr">
        <is>
          <t>hai lan gui cau dau tien cung chu ky</t>
        </is>
      </c>
      <c r="H832" s="17" t="inlineStr">
        <is>
          <t>hai_lan_gui_cau_dau_tien_cung_chu_ky</t>
        </is>
      </c>
      <c r="I832" s="16" t="inlineStr">
        <is>
          <t>Đạt</t>
        </is>
      </c>
      <c r="J832" s="16" t="n">
        <v>0.008999999999999999</v>
      </c>
    </row>
    <row r="833">
      <c r="A833" s="16" t="n">
        <v>829</v>
      </c>
      <c r="B833" s="16" t="inlineStr">
        <is>
          <t>Backend</t>
        </is>
      </c>
      <c r="C833" s="17" t="inlineStr">
        <is>
          <t>ai-chatbox-service</t>
        </is>
      </c>
      <c r="D833" s="16" t="inlineStr">
        <is>
          <t>API slice</t>
        </is>
      </c>
      <c r="E833" s="17" t="inlineStr">
        <is>
          <t>SupportChatControllerSliceTest › Ask</t>
        </is>
      </c>
      <c r="F833" s="17" t="inlineStr">
        <is>
          <t>POST /v1/chat/agent/support</t>
        </is>
      </c>
      <c r="G833" s="17" t="inlineStr">
        <is>
          <t>userId nhét trong body bị bỏ qua — không đọc được đơn của người khác bằng cách khai id</t>
        </is>
      </c>
      <c r="H833" s="17" t="inlineStr">
        <is>
          <t>body_khong_doi_danh_tinh</t>
        </is>
      </c>
      <c r="I833" s="16" t="inlineStr">
        <is>
          <t>Đạt</t>
        </is>
      </c>
      <c r="J833" s="16" t="n">
        <v>0.017</v>
      </c>
    </row>
    <row r="834">
      <c r="A834" s="16" t="n">
        <v>830</v>
      </c>
      <c r="B834" s="16" t="inlineStr">
        <is>
          <t>Backend</t>
        </is>
      </c>
      <c r="C834" s="17" t="inlineStr">
        <is>
          <t>ai-chatbox-service</t>
        </is>
      </c>
      <c r="D834" s="16" t="inlineStr">
        <is>
          <t>API slice</t>
        </is>
      </c>
      <c r="E834" s="17" t="inlineStr">
        <is>
          <t>SupportChatControllerSliceTest › Ask</t>
        </is>
      </c>
      <c r="F834" s="17" t="inlineStr">
        <is>
          <t>POST /v1/chat/agent/support</t>
        </is>
      </c>
      <c r="G834" s="17" t="inlineStr">
        <is>
          <t>người ẩn danh: 401, agent không chạy</t>
        </is>
      </c>
      <c r="H834" s="17" t="inlineStr">
        <is>
          <t>an_danh</t>
        </is>
      </c>
      <c r="I834" s="16" t="inlineStr">
        <is>
          <t>Đạt</t>
        </is>
      </c>
      <c r="J834" s="16" t="n">
        <v>0.016</v>
      </c>
    </row>
    <row r="835">
      <c r="A835" s="16" t="n">
        <v>831</v>
      </c>
      <c r="B835" s="16" t="inlineStr">
        <is>
          <t>Backend</t>
        </is>
      </c>
      <c r="C835" s="17" t="inlineStr">
        <is>
          <t>ai-chatbox-service</t>
        </is>
      </c>
      <c r="D835" s="16" t="inlineStr">
        <is>
          <t>API slice</t>
        </is>
      </c>
      <c r="E835" s="17" t="inlineStr">
        <is>
          <t>SupportChatControllerSliceTest › Ask</t>
        </is>
      </c>
      <c r="F835" s="17" t="inlineStr">
        <is>
          <t>POST /v1/chat/agent/support</t>
        </is>
      </c>
      <c r="G835" s="17" t="inlineStr">
        <is>
          <t>khách đã đăng nhập: agent chạy với userId LẤY TỪ JWT, trả câu trả lời và công cụ đã dùng</t>
        </is>
      </c>
      <c r="H835" s="17" t="inlineStr">
        <is>
          <t>khach_hoi</t>
        </is>
      </c>
      <c r="I835" s="16" t="inlineStr">
        <is>
          <t>Đạt</t>
        </is>
      </c>
      <c r="J835" s="16" t="n">
        <v>0.017</v>
      </c>
    </row>
    <row r="836">
      <c r="A836" s="16" t="n">
        <v>832</v>
      </c>
      <c r="B836" s="16" t="inlineStr">
        <is>
          <t>Backend</t>
        </is>
      </c>
      <c r="C836" s="17" t="inlineStr">
        <is>
          <t>ai-chatbox-service</t>
        </is>
      </c>
      <c r="D836" s="16" t="inlineStr">
        <is>
          <t>API slice</t>
        </is>
      </c>
      <c r="E836" s="17" t="inlineStr">
        <is>
          <t>SupportChatControllerSliceTest › Ask</t>
        </is>
      </c>
      <c r="F836" s="17" t="inlineStr">
        <is>
          <t>POST /v1/chat/agent/support</t>
        </is>
      </c>
      <c r="G836" s="17" t="inlineStr">
        <is>
          <t>không có sessionId: mở phiên mới (UUID ngẫu nhiên)</t>
        </is>
      </c>
      <c r="H836" s="17" t="inlineStr">
        <is>
          <t>mo_phien_moi</t>
        </is>
      </c>
      <c r="I836" s="16" t="inlineStr">
        <is>
          <t>Đạt</t>
        </is>
      </c>
      <c r="J836" s="16" t="n">
        <v>0.016</v>
      </c>
    </row>
    <row r="837">
      <c r="A837" s="16" t="n">
        <v>833</v>
      </c>
      <c r="B837" s="16" t="inlineStr">
        <is>
          <t>Backend</t>
        </is>
      </c>
      <c r="C837" s="17" t="inlineStr">
        <is>
          <t>ai-chatbox-service</t>
        </is>
      </c>
      <c r="D837" s="16" t="inlineStr">
        <is>
          <t>API slice</t>
        </is>
      </c>
      <c r="E837" s="17" t="inlineStr">
        <is>
          <t>SupportChatControllerSliceTest › Ask</t>
        </is>
      </c>
      <c r="F837" s="17" t="inlineStr">
        <is>
          <t>POST /v1/chat/agent/support</t>
        </is>
      </c>
      <c r="G837" s="17" t="inlineStr">
        <is>
          <t>message trống, toàn khoảng trắng, quá 2000 ký tự hoặc thiếu: 400, không giữ chỗ, không gọi agent</t>
        </is>
      </c>
      <c r="H837" s="17" t="inlineStr">
        <is>
          <t>message_khong_hop_le</t>
        </is>
      </c>
      <c r="I837" s="16" t="inlineStr">
        <is>
          <t>Đạt</t>
        </is>
      </c>
      <c r="J837" s="16" t="n">
        <v>0.082</v>
      </c>
    </row>
    <row r="838">
      <c r="A838" s="16" t="n">
        <v>834</v>
      </c>
      <c r="B838" s="16" t="inlineStr">
        <is>
          <t>Backend</t>
        </is>
      </c>
      <c r="C838" s="17" t="inlineStr">
        <is>
          <t>ai-chatbox-service</t>
        </is>
      </c>
      <c r="D838" s="16" t="inlineStr">
        <is>
          <t>API slice</t>
        </is>
      </c>
      <c r="E838" s="17" t="inlineStr">
        <is>
          <t>SupportChatControllerSliceTest › Ask</t>
        </is>
      </c>
      <c r="F838" s="17" t="inlineStr">
        <is>
          <t>POST /v1/chat/agent/support</t>
        </is>
      </c>
      <c r="G838" s="17" t="inlineStr">
        <is>
          <t>pool đầy (RejectedExecutionException): 503 ASSISTANT_BUSY và NHẢ chỗ đã giữ</t>
        </is>
      </c>
      <c r="H838" s="17" t="inlineStr">
        <is>
          <t>pool_day</t>
        </is>
      </c>
      <c r="I838" s="16" t="inlineStr">
        <is>
          <t>Đạt</t>
        </is>
      </c>
      <c r="J838" s="16" t="n">
        <v>0.02</v>
      </c>
    </row>
    <row r="839">
      <c r="A839" s="16" t="n">
        <v>835</v>
      </c>
      <c r="B839" s="16" t="inlineStr">
        <is>
          <t>Backend</t>
        </is>
      </c>
      <c r="C839" s="17" t="inlineStr">
        <is>
          <t>ai-chatbox-service</t>
        </is>
      </c>
      <c r="D839" s="16" t="inlineStr">
        <is>
          <t>API slice</t>
        </is>
      </c>
      <c r="E839" s="17" t="inlineStr">
        <is>
          <t>SupportChatControllerSliceTest › Ask</t>
        </is>
      </c>
      <c r="F839" s="17" t="inlineStr">
        <is>
          <t>POST /v1/chat/agent/support</t>
        </is>
      </c>
      <c r="G839" s="17" t="inlineStr">
        <is>
          <t>agent ném lỗi: chỗ vẫn được nhả để khách hỏi lại</t>
        </is>
      </c>
      <c r="H839" s="17" t="inlineStr">
        <is>
          <t>agent_loi_van_nha_cho</t>
        </is>
      </c>
      <c r="I839" s="16" t="inlineStr">
        <is>
          <t>Đạt</t>
        </is>
      </c>
      <c r="J839" s="16" t="n">
        <v>0.018</v>
      </c>
    </row>
    <row r="840">
      <c r="A840" s="16" t="n">
        <v>836</v>
      </c>
      <c r="B840" s="16" t="inlineStr">
        <is>
          <t>Backend</t>
        </is>
      </c>
      <c r="C840" s="17" t="inlineStr">
        <is>
          <t>ai-chatbox-service</t>
        </is>
      </c>
      <c r="D840" s="16" t="inlineStr">
        <is>
          <t>API slice</t>
        </is>
      </c>
      <c r="E840" s="17" t="inlineStr">
        <is>
          <t>SupportChatControllerSliceTest › Ask</t>
        </is>
      </c>
      <c r="F840" s="17" t="inlineStr">
        <is>
          <t>POST /v1/chat/agent/support</t>
        </is>
      </c>
      <c r="G840" s="17" t="inlineStr">
        <is>
          <t>đang có lượt chạy của chính người này: 503 ASSISTANT_BUSY ngay lập tức, agent không chạy</t>
        </is>
      </c>
      <c r="H840" s="17" t="inlineStr">
        <is>
          <t>mot_nguoi_mot_luot</t>
        </is>
      </c>
      <c r="I840" s="16" t="inlineStr">
        <is>
          <t>Đạt</t>
        </is>
      </c>
      <c r="J840" s="16" t="n">
        <v>0.016</v>
      </c>
    </row>
    <row r="841">
      <c r="A841" s="16" t="n">
        <v>837</v>
      </c>
      <c r="B841" s="16" t="inlineStr">
        <is>
          <t>Backend</t>
        </is>
      </c>
      <c r="C841" s="17" t="inlineStr">
        <is>
          <t>ai-chatbox-service</t>
        </is>
      </c>
      <c r="D841" s="16" t="inlineStr">
        <is>
          <t>API slice</t>
        </is>
      </c>
      <c r="E841" s="17" t="inlineStr">
        <is>
          <t>SupportChatControllerSliceTest › Idempotent</t>
        </is>
      </c>
      <c r="F841" s="17" t="inlineStr">
        <is>
          <t>Idempotency-Key</t>
        </is>
      </c>
      <c r="G841" s="17" t="inlineStr">
        <is>
          <t>lượt chạy xong: lưu câu trả lời theo (userId, khoá)</t>
        </is>
      </c>
      <c r="H841" s="17" t="inlineStr">
        <is>
          <t>luu_ket_qua</t>
        </is>
      </c>
      <c r="I841" s="16" t="inlineStr">
        <is>
          <t>Đạt</t>
        </is>
      </c>
      <c r="J841" s="16" t="n">
        <v>0.2</v>
      </c>
    </row>
    <row r="842">
      <c r="A842" s="16" t="n">
        <v>838</v>
      </c>
      <c r="B842" s="16" t="inlineStr">
        <is>
          <t>Backend</t>
        </is>
      </c>
      <c r="C842" s="17" t="inlineStr">
        <is>
          <t>ai-chatbox-service</t>
        </is>
      </c>
      <c r="D842" s="16" t="inlineStr">
        <is>
          <t>API slice</t>
        </is>
      </c>
      <c r="E842" s="17" t="inlineStr">
        <is>
          <t>SupportChatControllerSliceTest › Idempotent</t>
        </is>
      </c>
      <c r="F842" s="17" t="inlineStr">
        <is>
          <t>Idempotency-Key</t>
        </is>
      </c>
      <c r="G842" s="17" t="inlineStr">
        <is>
          <t>agent hỏng: nhả khoá, không lưu bản trả lời lỗi</t>
        </is>
      </c>
      <c r="H842" s="17" t="inlineStr">
        <is>
          <t>agent_hong_nha_khoa</t>
        </is>
      </c>
      <c r="I842" s="16" t="inlineStr">
        <is>
          <t>Đạt</t>
        </is>
      </c>
      <c r="J842" s="16" t="n">
        <v>0.017</v>
      </c>
    </row>
    <row r="843">
      <c r="A843" s="16" t="n">
        <v>839</v>
      </c>
      <c r="B843" s="16" t="inlineStr">
        <is>
          <t>Backend</t>
        </is>
      </c>
      <c r="C843" s="17" t="inlineStr">
        <is>
          <t>ai-chatbox-service</t>
        </is>
      </c>
      <c r="D843" s="16" t="inlineStr">
        <is>
          <t>API slice</t>
        </is>
      </c>
      <c r="E843" s="17" t="inlineStr">
        <is>
          <t>SupportChatControllerSliceTest › Idempotent</t>
        </is>
      </c>
      <c r="F843" s="17" t="inlineStr">
        <is>
          <t>Idempotency-Key</t>
        </is>
      </c>
      <c r="G843" s="17" t="inlineStr">
        <is>
          <t>bị từ chối ở cửa giữ chỗ: nhả khoá để thử lại được ngay</t>
        </is>
      </c>
      <c r="H843" s="17" t="inlineStr">
        <is>
          <t>tu_choi_thi_nha_khoa</t>
        </is>
      </c>
      <c r="I843" s="16" t="inlineStr">
        <is>
          <t>Đạt</t>
        </is>
      </c>
      <c r="J843" s="16" t="n">
        <v>0.029</v>
      </c>
    </row>
    <row r="844">
      <c r="A844" s="16" t="n">
        <v>840</v>
      </c>
      <c r="B844" s="16" t="inlineStr">
        <is>
          <t>Backend</t>
        </is>
      </c>
      <c r="C844" s="17" t="inlineStr">
        <is>
          <t>ai-chatbox-service</t>
        </is>
      </c>
      <c r="D844" s="16" t="inlineStr">
        <is>
          <t>API slice</t>
        </is>
      </c>
      <c r="E844" s="17" t="inlineStr">
        <is>
          <t>SupportChatControllerSliceTest › Idempotent</t>
        </is>
      </c>
      <c r="F844" s="17" t="inlineStr">
        <is>
          <t>Idempotency-Key</t>
        </is>
      </c>
      <c r="G844" s="17" t="inlineStr">
        <is>
          <t>khoá trống hoặc toàn khoảng trắng: coi như không có khoá</t>
        </is>
      </c>
      <c r="H844" s="17" t="inlineStr">
        <is>
          <t>khoa_trong</t>
        </is>
      </c>
      <c r="I844" s="16" t="inlineStr">
        <is>
          <t>Đạt</t>
        </is>
      </c>
      <c r="J844" s="16" t="n">
        <v>0.021</v>
      </c>
    </row>
    <row r="845">
      <c r="A845" s="16" t="n">
        <v>841</v>
      </c>
      <c r="B845" s="16" t="inlineStr">
        <is>
          <t>Backend</t>
        </is>
      </c>
      <c r="C845" s="17" t="inlineStr">
        <is>
          <t>ai-chatbox-service</t>
        </is>
      </c>
      <c r="D845" s="16" t="inlineStr">
        <is>
          <t>API slice</t>
        </is>
      </c>
      <c r="E845" s="17" t="inlineStr">
        <is>
          <t>SupportChatControllerSliceTest › Idempotent</t>
        </is>
      </c>
      <c r="F845" s="17" t="inlineStr">
        <is>
          <t>Idempotency-Key</t>
        </is>
      </c>
      <c r="G845" s="17" t="inlineStr">
        <is>
          <t>gửi lại cùng khoá: trả đúng bản đã lưu, không gọi agent, không giữ chỗ</t>
        </is>
      </c>
      <c r="H845" s="17" t="inlineStr">
        <is>
          <t>gui_lai_tra_ban_cu</t>
        </is>
      </c>
      <c r="I845" s="16" t="inlineStr">
        <is>
          <t>Đạt</t>
        </is>
      </c>
      <c r="J845" s="16" t="n">
        <v>0.024</v>
      </c>
    </row>
    <row r="846">
      <c r="A846" s="16" t="n">
        <v>842</v>
      </c>
      <c r="B846" s="16" t="inlineStr">
        <is>
          <t>Backend</t>
        </is>
      </c>
      <c r="C846" s="17" t="inlineStr">
        <is>
          <t>ai-chatbox-service</t>
        </is>
      </c>
      <c r="D846" s="16" t="inlineStr">
        <is>
          <t>API slice</t>
        </is>
      </c>
      <c r="E846" s="17" t="inlineStr">
        <is>
          <t>SupportChatControllerSliceTest › Idempotent</t>
        </is>
      </c>
      <c r="F846" s="17" t="inlineStr">
        <is>
          <t>Idempotency-Key</t>
        </is>
      </c>
      <c r="G846" s="17" t="inlineStr">
        <is>
          <t>cùng khoá nhưng nội dung khác: 409 IDEMPOTENCY_KEY_REUSED từ ChatIdempotency</t>
        </is>
      </c>
      <c r="H846" s="17" t="inlineStr">
        <is>
          <t>khoa_dung_lai</t>
        </is>
      </c>
      <c r="I846" s="16" t="inlineStr">
        <is>
          <t>Đạt</t>
        </is>
      </c>
      <c r="J846" s="16" t="n">
        <v>0.019</v>
      </c>
    </row>
    <row r="847">
      <c r="A847" s="16" t="n">
        <v>843</v>
      </c>
      <c r="B847" s="16" t="inlineStr">
        <is>
          <t>Backend</t>
        </is>
      </c>
      <c r="C847" s="17" t="inlineStr">
        <is>
          <t>ai-chatbox-service</t>
        </is>
      </c>
      <c r="D847" s="16" t="inlineStr">
        <is>
          <t>API slice</t>
        </is>
      </c>
      <c r="E847" s="17" t="inlineStr">
        <is>
          <t>SupportChatControllerSliceTest › Transcript</t>
        </is>
      </c>
      <c r="F847" s="17" t="inlineStr">
        <is>
          <t>GET /v1/chat/agent/sessions/{id}/messages</t>
        </is>
      </c>
      <c r="G847" s="17" t="inlineStr">
        <is>
          <t>phiên chưa từng tồn tại: 200 với hội thoại rỗng, không phải 500</t>
        </is>
      </c>
      <c r="H847" s="17" t="inlineStr">
        <is>
          <t>phien_khong_ton_tai</t>
        </is>
      </c>
      <c r="I847" s="16" t="inlineStr">
        <is>
          <t>Đạt</t>
        </is>
      </c>
      <c r="J847" s="16" t="n">
        <v>0.674</v>
      </c>
    </row>
    <row r="848">
      <c r="A848" s="16" t="n">
        <v>844</v>
      </c>
      <c r="B848" s="16" t="inlineStr">
        <is>
          <t>Backend</t>
        </is>
      </c>
      <c r="C848" s="17" t="inlineStr">
        <is>
          <t>ai-chatbox-service</t>
        </is>
      </c>
      <c r="D848" s="16" t="inlineStr">
        <is>
          <t>API slice</t>
        </is>
      </c>
      <c r="E848" s="17" t="inlineStr">
        <is>
          <t>SupportChatControllerSliceTest › Transcript</t>
        </is>
      </c>
      <c r="F848" s="17" t="inlineStr">
        <is>
          <t>GET /v1/chat/agent/sessions/{id}/messages</t>
        </is>
      </c>
      <c r="G848" s="17" t="inlineStr">
        <is>
          <t>người ẩn danh: 401</t>
        </is>
      </c>
      <c r="H848" s="17" t="inlineStr">
        <is>
          <t>an_danh</t>
        </is>
      </c>
      <c r="I848" s="16" t="inlineStr">
        <is>
          <t>Đạt</t>
        </is>
      </c>
      <c r="J848" s="16" t="n">
        <v>0.016</v>
      </c>
    </row>
    <row r="849">
      <c r="A849" s="16" t="n">
        <v>845</v>
      </c>
      <c r="B849" s="16" t="inlineStr">
        <is>
          <t>Backend</t>
        </is>
      </c>
      <c r="C849" s="17" t="inlineStr">
        <is>
          <t>ai-chatbox-service</t>
        </is>
      </c>
      <c r="D849" s="16" t="inlineStr">
        <is>
          <t>API slice</t>
        </is>
      </c>
      <c r="E849" s="17" t="inlineStr">
        <is>
          <t>SupportChatControllerSliceTest › Transcript</t>
        </is>
      </c>
      <c r="F849" s="17" t="inlineStr">
        <is>
          <t>GET /v1/chat/agent/sessions/{id}/messages</t>
        </is>
      </c>
      <c r="G849" s="17" t="inlineStr">
        <is>
          <t>khách khác đọc phiên không phải của mình: lỗi 4xx (không phải 500) và không lộ nội dung</t>
        </is>
      </c>
      <c r="H849" s="17" t="inlineStr">
        <is>
          <t>khach_khac_khong_doc_duoc</t>
        </is>
      </c>
      <c r="I849" s="16" t="inlineStr">
        <is>
          <t>Đạt</t>
        </is>
      </c>
      <c r="J849" s="16" t="n">
        <v>0.096</v>
      </c>
    </row>
    <row r="850">
      <c r="A850" s="16" t="n">
        <v>846</v>
      </c>
      <c r="B850" s="16" t="inlineStr">
        <is>
          <t>Backend</t>
        </is>
      </c>
      <c r="C850" s="17" t="inlineStr">
        <is>
          <t>ai-chatbox-service</t>
        </is>
      </c>
      <c r="D850" s="16" t="inlineStr">
        <is>
          <t>API slice</t>
        </is>
      </c>
      <c r="E850" s="17" t="inlineStr">
        <is>
          <t>SupportChatControllerSliceTest › Transcript</t>
        </is>
      </c>
      <c r="F850" s="17" t="inlineStr">
        <is>
          <t>GET /v1/chat/agent/sessions/{id}/messages</t>
        </is>
      </c>
      <c r="G850" s="17" t="inlineStr">
        <is>
          <t>id phiên không phải UUID: 400</t>
        </is>
      </c>
      <c r="H850" s="17" t="inlineStr">
        <is>
          <t>id_sai_kieu</t>
        </is>
      </c>
      <c r="I850" s="16" t="inlineStr">
        <is>
          <t>Đạt</t>
        </is>
      </c>
      <c r="J850" s="16" t="n">
        <v>0.025</v>
      </c>
    </row>
    <row r="851">
      <c r="A851" s="16" t="n">
        <v>847</v>
      </c>
      <c r="B851" s="16" t="inlineStr">
        <is>
          <t>Backend</t>
        </is>
      </c>
      <c r="C851" s="17" t="inlineStr">
        <is>
          <t>ai-chatbox-service</t>
        </is>
      </c>
      <c r="D851" s="16" t="inlineStr">
        <is>
          <t>API slice</t>
        </is>
      </c>
      <c r="E851" s="17" t="inlineStr">
        <is>
          <t>SupportChatControllerSliceTest › Transcript</t>
        </is>
      </c>
      <c r="F851" s="17" t="inlineStr">
        <is>
          <t>GET /v1/chat/agent/sessions/{id}/messages</t>
        </is>
      </c>
      <c r="G851" s="17" t="inlineStr">
        <is>
          <t>chủ phiên đọc được hội thoại của mình</t>
        </is>
      </c>
      <c r="H851" s="17" t="inlineStr">
        <is>
          <t>chu_phien_doc_duoc</t>
        </is>
      </c>
      <c r="I851" s="16" t="inlineStr">
        <is>
          <t>Đạt</t>
        </is>
      </c>
      <c r="J851" s="16" t="n">
        <v>0.037</v>
      </c>
    </row>
    <row r="852">
      <c r="A852" s="16" t="n">
        <v>848</v>
      </c>
      <c r="B852" s="16" t="inlineStr">
        <is>
          <t>Backend</t>
        </is>
      </c>
      <c r="C852" s="17" t="inlineStr">
        <is>
          <t>ai-chatbox-service</t>
        </is>
      </c>
      <c r="D852" s="16" t="inlineStr">
        <is>
          <t>API slice</t>
        </is>
      </c>
      <c r="E852" s="17" t="inlineStr">
        <is>
          <t>SupportChatControllerTest › Ask</t>
        </is>
      </c>
      <c r="F852" s="17" t="inlineStr"/>
      <c r="G852" s="17" t="inlineStr">
        <is>
          <t>body khong doi danh tinh</t>
        </is>
      </c>
      <c r="H852" s="17" t="inlineStr">
        <is>
          <t>body_khong_doi_danh_tinh</t>
        </is>
      </c>
      <c r="I852" s="16" t="inlineStr">
        <is>
          <t>Đạt</t>
        </is>
      </c>
      <c r="J852" s="16" t="n">
        <v>0.048</v>
      </c>
    </row>
    <row r="853">
      <c r="A853" s="16" t="n">
        <v>849</v>
      </c>
      <c r="B853" s="16" t="inlineStr">
        <is>
          <t>Backend</t>
        </is>
      </c>
      <c r="C853" s="17" t="inlineStr">
        <is>
          <t>ai-chatbox-service</t>
        </is>
      </c>
      <c r="D853" s="16" t="inlineStr">
        <is>
          <t>API slice</t>
        </is>
      </c>
      <c r="E853" s="17" t="inlineStr">
        <is>
          <t>SupportChatControllerTest › Ask</t>
        </is>
      </c>
      <c r="F853" s="17" t="inlineStr"/>
      <c r="G853" s="17" t="inlineStr">
        <is>
          <t>an danh</t>
        </is>
      </c>
      <c r="H853" s="17" t="inlineStr">
        <is>
          <t>an_danh</t>
        </is>
      </c>
      <c r="I853" s="16" t="inlineStr">
        <is>
          <t>Đạt</t>
        </is>
      </c>
      <c r="J853" s="16" t="n">
        <v>0.015</v>
      </c>
    </row>
    <row r="854">
      <c r="A854" s="16" t="n">
        <v>850</v>
      </c>
      <c r="B854" s="16" t="inlineStr">
        <is>
          <t>Backend</t>
        </is>
      </c>
      <c r="C854" s="17" t="inlineStr">
        <is>
          <t>ai-chatbox-service</t>
        </is>
      </c>
      <c r="D854" s="16" t="inlineStr">
        <is>
          <t>API slice</t>
        </is>
      </c>
      <c r="E854" s="17" t="inlineStr">
        <is>
          <t>SupportChatControllerTest › Ask</t>
        </is>
      </c>
      <c r="F854" s="17" t="inlineStr"/>
      <c r="G854" s="17" t="inlineStr">
        <is>
          <t>khach hoi</t>
        </is>
      </c>
      <c r="H854" s="17" t="inlineStr">
        <is>
          <t>khach_hoi</t>
        </is>
      </c>
      <c r="I854" s="16" t="inlineStr">
        <is>
          <t>Đạt</t>
        </is>
      </c>
      <c r="J854" s="16" t="n">
        <v>0.022</v>
      </c>
    </row>
    <row r="855">
      <c r="A855" s="16" t="n">
        <v>851</v>
      </c>
      <c r="B855" s="16" t="inlineStr">
        <is>
          <t>Backend</t>
        </is>
      </c>
      <c r="C855" s="17" t="inlineStr">
        <is>
          <t>ai-chatbox-service</t>
        </is>
      </c>
      <c r="D855" s="16" t="inlineStr">
        <is>
          <t>API slice</t>
        </is>
      </c>
      <c r="E855" s="17" t="inlineStr">
        <is>
          <t>SupportChatControllerTest › Ask</t>
        </is>
      </c>
      <c r="F855" s="17" t="inlineStr"/>
      <c r="G855" s="17" t="inlineStr">
        <is>
          <t>mo phien moi</t>
        </is>
      </c>
      <c r="H855" s="17" t="inlineStr">
        <is>
          <t>mo_phien_moi</t>
        </is>
      </c>
      <c r="I855" s="16" t="inlineStr">
        <is>
          <t>Đạt</t>
        </is>
      </c>
      <c r="J855" s="16" t="n">
        <v>0.019</v>
      </c>
    </row>
    <row r="856">
      <c r="A856" s="16" t="n">
        <v>852</v>
      </c>
      <c r="B856" s="16" t="inlineStr">
        <is>
          <t>Backend</t>
        </is>
      </c>
      <c r="C856" s="17" t="inlineStr">
        <is>
          <t>ai-chatbox-service</t>
        </is>
      </c>
      <c r="D856" s="16" t="inlineStr">
        <is>
          <t>API slice</t>
        </is>
      </c>
      <c r="E856" s="17" t="inlineStr">
        <is>
          <t>SupportChatControllerTest › Ask</t>
        </is>
      </c>
      <c r="F856" s="17" t="inlineStr"/>
      <c r="G856" s="17" t="inlineStr">
        <is>
          <t>message khong hop le</t>
        </is>
      </c>
      <c r="H856" s="17" t="inlineStr">
        <is>
          <t>message_khong_hop_le</t>
        </is>
      </c>
      <c r="I856" s="16" t="inlineStr">
        <is>
          <t>Đạt</t>
        </is>
      </c>
      <c r="J856" s="16" t="n">
        <v>0.08</v>
      </c>
    </row>
    <row r="857">
      <c r="A857" s="16" t="n">
        <v>853</v>
      </c>
      <c r="B857" s="16" t="inlineStr">
        <is>
          <t>Backend</t>
        </is>
      </c>
      <c r="C857" s="17" t="inlineStr">
        <is>
          <t>ai-chatbox-service</t>
        </is>
      </c>
      <c r="D857" s="16" t="inlineStr">
        <is>
          <t>API slice</t>
        </is>
      </c>
      <c r="E857" s="17" t="inlineStr">
        <is>
          <t>SupportChatControllerTest › Ask</t>
        </is>
      </c>
      <c r="F857" s="17" t="inlineStr"/>
      <c r="G857" s="17" t="inlineStr">
        <is>
          <t>pool day</t>
        </is>
      </c>
      <c r="H857" s="17" t="inlineStr">
        <is>
          <t>pool_day</t>
        </is>
      </c>
      <c r="I857" s="16" t="inlineStr">
        <is>
          <t>Đạt</t>
        </is>
      </c>
      <c r="J857" s="16" t="n">
        <v>0.022</v>
      </c>
    </row>
    <row r="858">
      <c r="A858" s="16" t="n">
        <v>854</v>
      </c>
      <c r="B858" s="16" t="inlineStr">
        <is>
          <t>Backend</t>
        </is>
      </c>
      <c r="C858" s="17" t="inlineStr">
        <is>
          <t>ai-chatbox-service</t>
        </is>
      </c>
      <c r="D858" s="16" t="inlineStr">
        <is>
          <t>API slice</t>
        </is>
      </c>
      <c r="E858" s="17" t="inlineStr">
        <is>
          <t>SupportChatControllerTest › Ask</t>
        </is>
      </c>
      <c r="F858" s="17" t="inlineStr"/>
      <c r="G858" s="17" t="inlineStr">
        <is>
          <t>agent loi van nha cho</t>
        </is>
      </c>
      <c r="H858" s="17" t="inlineStr">
        <is>
          <t>agent_loi_van_nha_cho</t>
        </is>
      </c>
      <c r="I858" s="16" t="inlineStr">
        <is>
          <t>Đạt</t>
        </is>
      </c>
      <c r="J858" s="16" t="n">
        <v>0.022</v>
      </c>
    </row>
    <row r="859">
      <c r="A859" s="16" t="n">
        <v>855</v>
      </c>
      <c r="B859" s="16" t="inlineStr">
        <is>
          <t>Backend</t>
        </is>
      </c>
      <c r="C859" s="17" t="inlineStr">
        <is>
          <t>ai-chatbox-service</t>
        </is>
      </c>
      <c r="D859" s="16" t="inlineStr">
        <is>
          <t>API slice</t>
        </is>
      </c>
      <c r="E859" s="17" t="inlineStr">
        <is>
          <t>SupportChatControllerTest › Ask</t>
        </is>
      </c>
      <c r="F859" s="17" t="inlineStr"/>
      <c r="G859" s="17" t="inlineStr">
        <is>
          <t>mot nguoi mot luot</t>
        </is>
      </c>
      <c r="H859" s="17" t="inlineStr">
        <is>
          <t>mot_nguoi_mot_luot</t>
        </is>
      </c>
      <c r="I859" s="16" t="inlineStr">
        <is>
          <t>Đạt</t>
        </is>
      </c>
      <c r="J859" s="16" t="n">
        <v>0.022</v>
      </c>
    </row>
    <row r="860">
      <c r="A860" s="16" t="n">
        <v>856</v>
      </c>
      <c r="B860" s="16" t="inlineStr">
        <is>
          <t>Backend</t>
        </is>
      </c>
      <c r="C860" s="17" t="inlineStr">
        <is>
          <t>ai-chatbox-service</t>
        </is>
      </c>
      <c r="D860" s="16" t="inlineStr">
        <is>
          <t>API slice</t>
        </is>
      </c>
      <c r="E860" s="17" t="inlineStr">
        <is>
          <t>SupportChatControllerTest › Idempotent</t>
        </is>
      </c>
      <c r="F860" s="17" t="inlineStr"/>
      <c r="G860" s="17" t="inlineStr">
        <is>
          <t>luu ket qua</t>
        </is>
      </c>
      <c r="H860" s="17" t="inlineStr">
        <is>
          <t>luu_ket_qua</t>
        </is>
      </c>
      <c r="I860" s="16" t="inlineStr">
        <is>
          <t>Đạt</t>
        </is>
      </c>
      <c r="J860" s="16" t="n">
        <v>0.292</v>
      </c>
    </row>
    <row r="861">
      <c r="A861" s="16" t="n">
        <v>857</v>
      </c>
      <c r="B861" s="16" t="inlineStr">
        <is>
          <t>Backend</t>
        </is>
      </c>
      <c r="C861" s="17" t="inlineStr">
        <is>
          <t>ai-chatbox-service</t>
        </is>
      </c>
      <c r="D861" s="16" t="inlineStr">
        <is>
          <t>API slice</t>
        </is>
      </c>
      <c r="E861" s="17" t="inlineStr">
        <is>
          <t>SupportChatControllerTest › Idempotent</t>
        </is>
      </c>
      <c r="F861" s="17" t="inlineStr"/>
      <c r="G861" s="17" t="inlineStr">
        <is>
          <t>agent hong nha khoa</t>
        </is>
      </c>
      <c r="H861" s="17" t="inlineStr">
        <is>
          <t>agent_hong_nha_khoa</t>
        </is>
      </c>
      <c r="I861" s="16" t="inlineStr">
        <is>
          <t>Đạt</t>
        </is>
      </c>
      <c r="J861" s="16" t="n">
        <v>0.02</v>
      </c>
    </row>
    <row r="862">
      <c r="A862" s="16" t="n">
        <v>858</v>
      </c>
      <c r="B862" s="16" t="inlineStr">
        <is>
          <t>Backend</t>
        </is>
      </c>
      <c r="C862" s="17" t="inlineStr">
        <is>
          <t>ai-chatbox-service</t>
        </is>
      </c>
      <c r="D862" s="16" t="inlineStr">
        <is>
          <t>API slice</t>
        </is>
      </c>
      <c r="E862" s="17" t="inlineStr">
        <is>
          <t>SupportChatControllerTest › Idempotent</t>
        </is>
      </c>
      <c r="F862" s="17" t="inlineStr"/>
      <c r="G862" s="17" t="inlineStr">
        <is>
          <t>tu choi thi nha khoa</t>
        </is>
      </c>
      <c r="H862" s="17" t="inlineStr">
        <is>
          <t>tu_choi_thi_nha_khoa</t>
        </is>
      </c>
      <c r="I862" s="16" t="inlineStr">
        <is>
          <t>Đạt</t>
        </is>
      </c>
      <c r="J862" s="16" t="n">
        <v>0.036</v>
      </c>
    </row>
    <row r="863">
      <c r="A863" s="16" t="n">
        <v>859</v>
      </c>
      <c r="B863" s="16" t="inlineStr">
        <is>
          <t>Backend</t>
        </is>
      </c>
      <c r="C863" s="17" t="inlineStr">
        <is>
          <t>ai-chatbox-service</t>
        </is>
      </c>
      <c r="D863" s="16" t="inlineStr">
        <is>
          <t>API slice</t>
        </is>
      </c>
      <c r="E863" s="17" t="inlineStr">
        <is>
          <t>SupportChatControllerTest › Idempotent</t>
        </is>
      </c>
      <c r="F863" s="17" t="inlineStr"/>
      <c r="G863" s="17" t="inlineStr">
        <is>
          <t>khoa trong</t>
        </is>
      </c>
      <c r="H863" s="17" t="inlineStr">
        <is>
          <t>khoa_trong</t>
        </is>
      </c>
      <c r="I863" s="16" t="inlineStr">
        <is>
          <t>Đạt</t>
        </is>
      </c>
      <c r="J863" s="16" t="n">
        <v>0.02</v>
      </c>
    </row>
    <row r="864">
      <c r="A864" s="16" t="n">
        <v>860</v>
      </c>
      <c r="B864" s="16" t="inlineStr">
        <is>
          <t>Backend</t>
        </is>
      </c>
      <c r="C864" s="17" t="inlineStr">
        <is>
          <t>ai-chatbox-service</t>
        </is>
      </c>
      <c r="D864" s="16" t="inlineStr">
        <is>
          <t>API slice</t>
        </is>
      </c>
      <c r="E864" s="17" t="inlineStr">
        <is>
          <t>SupportChatControllerTest › Idempotent</t>
        </is>
      </c>
      <c r="F864" s="17" t="inlineStr"/>
      <c r="G864" s="17" t="inlineStr">
        <is>
          <t>gui lai tra ban cu</t>
        </is>
      </c>
      <c r="H864" s="17" t="inlineStr">
        <is>
          <t>gui_lai_tra_ban_cu</t>
        </is>
      </c>
      <c r="I864" s="16" t="inlineStr">
        <is>
          <t>Đạt</t>
        </is>
      </c>
      <c r="J864" s="16" t="n">
        <v>0.023</v>
      </c>
    </row>
    <row r="865">
      <c r="A865" s="16" t="n">
        <v>861</v>
      </c>
      <c r="B865" s="16" t="inlineStr">
        <is>
          <t>Backend</t>
        </is>
      </c>
      <c r="C865" s="17" t="inlineStr">
        <is>
          <t>ai-chatbox-service</t>
        </is>
      </c>
      <c r="D865" s="16" t="inlineStr">
        <is>
          <t>API slice</t>
        </is>
      </c>
      <c r="E865" s="17" t="inlineStr">
        <is>
          <t>SupportChatControllerTest › Idempotent</t>
        </is>
      </c>
      <c r="F865" s="17" t="inlineStr"/>
      <c r="G865" s="17" t="inlineStr">
        <is>
          <t>khoa dung lai</t>
        </is>
      </c>
      <c r="H865" s="17" t="inlineStr">
        <is>
          <t>khoa_dung_lai</t>
        </is>
      </c>
      <c r="I865" s="16" t="inlineStr">
        <is>
          <t>Đạt</t>
        </is>
      </c>
      <c r="J865" s="16" t="n">
        <v>0.036</v>
      </c>
    </row>
    <row r="866">
      <c r="A866" s="16" t="n">
        <v>862</v>
      </c>
      <c r="B866" s="16" t="inlineStr">
        <is>
          <t>Backend</t>
        </is>
      </c>
      <c r="C866" s="17" t="inlineStr">
        <is>
          <t>ai-chatbox-service</t>
        </is>
      </c>
      <c r="D866" s="16" t="inlineStr">
        <is>
          <t>API slice</t>
        </is>
      </c>
      <c r="E866" s="17" t="inlineStr">
        <is>
          <t>SupportChatControllerTest › Transcript</t>
        </is>
      </c>
      <c r="F866" s="17" t="inlineStr"/>
      <c r="G866" s="17" t="inlineStr">
        <is>
          <t>phien khong ton tai</t>
        </is>
      </c>
      <c r="H866" s="17" t="inlineStr">
        <is>
          <t>phien_khong_ton_tai</t>
        </is>
      </c>
      <c r="I866" s="16" t="inlineStr">
        <is>
          <t>Đạt</t>
        </is>
      </c>
      <c r="J866" s="16" t="n">
        <v>1.024</v>
      </c>
    </row>
    <row r="867">
      <c r="A867" s="16" t="n">
        <v>863</v>
      </c>
      <c r="B867" s="16" t="inlineStr">
        <is>
          <t>Backend</t>
        </is>
      </c>
      <c r="C867" s="17" t="inlineStr">
        <is>
          <t>ai-chatbox-service</t>
        </is>
      </c>
      <c r="D867" s="16" t="inlineStr">
        <is>
          <t>API slice</t>
        </is>
      </c>
      <c r="E867" s="17" t="inlineStr">
        <is>
          <t>SupportChatControllerTest › Transcript</t>
        </is>
      </c>
      <c r="F867" s="17" t="inlineStr"/>
      <c r="G867" s="17" t="inlineStr">
        <is>
          <t>an danh</t>
        </is>
      </c>
      <c r="H867" s="17" t="inlineStr">
        <is>
          <t>an_danh</t>
        </is>
      </c>
      <c r="I867" s="16" t="inlineStr">
        <is>
          <t>Đạt</t>
        </is>
      </c>
      <c r="J867" s="16" t="n">
        <v>0.014</v>
      </c>
    </row>
    <row r="868">
      <c r="A868" s="16" t="n">
        <v>864</v>
      </c>
      <c r="B868" s="16" t="inlineStr">
        <is>
          <t>Backend</t>
        </is>
      </c>
      <c r="C868" s="17" t="inlineStr">
        <is>
          <t>ai-chatbox-service</t>
        </is>
      </c>
      <c r="D868" s="16" t="inlineStr">
        <is>
          <t>API slice</t>
        </is>
      </c>
      <c r="E868" s="17" t="inlineStr">
        <is>
          <t>SupportChatControllerTest › Transcript</t>
        </is>
      </c>
      <c r="F868" s="17" t="inlineStr"/>
      <c r="G868" s="17" t="inlineStr">
        <is>
          <t>khach khac khong doc duoc</t>
        </is>
      </c>
      <c r="H868" s="17" t="inlineStr">
        <is>
          <t>khach_khac_khong_doc_duoc</t>
        </is>
      </c>
      <c r="I868" s="16" t="inlineStr">
        <is>
          <t>Đạt</t>
        </is>
      </c>
      <c r="J868" s="16" t="n">
        <v>0.096</v>
      </c>
    </row>
    <row r="869">
      <c r="A869" s="16" t="n">
        <v>865</v>
      </c>
      <c r="B869" s="16" t="inlineStr">
        <is>
          <t>Backend</t>
        </is>
      </c>
      <c r="C869" s="17" t="inlineStr">
        <is>
          <t>ai-chatbox-service</t>
        </is>
      </c>
      <c r="D869" s="16" t="inlineStr">
        <is>
          <t>API slice</t>
        </is>
      </c>
      <c r="E869" s="17" t="inlineStr">
        <is>
          <t>SupportChatControllerTest › Transcript</t>
        </is>
      </c>
      <c r="F869" s="17" t="inlineStr"/>
      <c r="G869" s="17" t="inlineStr">
        <is>
          <t>id sai kieu</t>
        </is>
      </c>
      <c r="H869" s="17" t="inlineStr">
        <is>
          <t>id_sai_kieu</t>
        </is>
      </c>
      <c r="I869" s="16" t="inlineStr">
        <is>
          <t>Đạt</t>
        </is>
      </c>
      <c r="J869" s="16" t="n">
        <v>0.023</v>
      </c>
    </row>
    <row r="870">
      <c r="A870" s="16" t="n">
        <v>866</v>
      </c>
      <c r="B870" s="16" t="inlineStr">
        <is>
          <t>Backend</t>
        </is>
      </c>
      <c r="C870" s="17" t="inlineStr">
        <is>
          <t>ai-chatbox-service</t>
        </is>
      </c>
      <c r="D870" s="16" t="inlineStr">
        <is>
          <t>API slice</t>
        </is>
      </c>
      <c r="E870" s="17" t="inlineStr">
        <is>
          <t>SupportChatControllerTest › Transcript</t>
        </is>
      </c>
      <c r="F870" s="17" t="inlineStr"/>
      <c r="G870" s="17" t="inlineStr">
        <is>
          <t>chu phien doc duoc</t>
        </is>
      </c>
      <c r="H870" s="17" t="inlineStr">
        <is>
          <t>chu_phien_doc_duoc</t>
        </is>
      </c>
      <c r="I870" s="16" t="inlineStr">
        <is>
          <t>Đạt</t>
        </is>
      </c>
      <c r="J870" s="16" t="n">
        <v>0.031</v>
      </c>
    </row>
    <row r="871">
      <c r="A871" s="16" t="n">
        <v>867</v>
      </c>
      <c r="B871" s="16" t="inlineStr">
        <is>
          <t>Backend</t>
        </is>
      </c>
      <c r="C871" s="17" t="inlineStr">
        <is>
          <t>ai-chatbox-service</t>
        </is>
      </c>
      <c r="D871" s="16" t="inlineStr">
        <is>
          <t>API slice</t>
        </is>
      </c>
      <c r="E871" s="17" t="inlineStr">
        <is>
          <t>SupportChatControllerTest</t>
        </is>
      </c>
      <c r="F871" s="17" t="inlineStr"/>
      <c r="G871" s="17" t="inlineStr">
        <is>
          <t>gui lai cau dau tien tra dung ban da luu</t>
        </is>
      </c>
      <c r="H871" s="17" t="inlineStr">
        <is>
          <t>gui_lai_cau_dau_tien_tra_dung_ban_da_luu</t>
        </is>
      </c>
      <c r="I871" s="16" t="inlineStr">
        <is>
          <t>Đạt</t>
        </is>
      </c>
      <c r="J871" s="16" t="n">
        <v>0.151</v>
      </c>
    </row>
    <row r="872">
      <c r="A872" s="16" t="n">
        <v>868</v>
      </c>
      <c r="B872" s="16" t="inlineStr">
        <is>
          <t>Backend</t>
        </is>
      </c>
      <c r="C872" s="17" t="inlineStr">
        <is>
          <t>ai-chatbox-service</t>
        </is>
      </c>
      <c r="D872" s="16" t="inlineStr">
        <is>
          <t>API slice</t>
        </is>
      </c>
      <c r="E872" s="17" t="inlineStr">
        <is>
          <t>SupportChatControllerTest</t>
        </is>
      </c>
      <c r="F872" s="17" t="inlineStr"/>
      <c r="G872" s="17" t="inlineStr">
        <is>
          <t>luu cau tra loi hong thi nha khoa va tra 503</t>
        </is>
      </c>
      <c r="H872" s="17" t="inlineStr">
        <is>
          <t>luu_cau_tra_loi_hong_thi_nha_khoa_va_tra_503</t>
        </is>
      </c>
      <c r="I872" s="16" t="inlineStr">
        <is>
          <t>Đạt</t>
        </is>
      </c>
      <c r="J872" s="16" t="n">
        <v>0.005</v>
      </c>
    </row>
    <row r="873">
      <c r="A873" s="16" t="n">
        <v>869</v>
      </c>
      <c r="B873" s="16" t="inlineStr">
        <is>
          <t>Backend</t>
        </is>
      </c>
      <c r="C873" s="17" t="inlineStr">
        <is>
          <t>ai-chatbox-service</t>
        </is>
      </c>
      <c r="D873" s="16" t="inlineStr">
        <is>
          <t>API slice</t>
        </is>
      </c>
      <c r="E873" s="17" t="inlineStr">
        <is>
          <t>SupportChatControllerTest</t>
        </is>
      </c>
      <c r="F873" s="17" t="inlineStr"/>
      <c r="G873" s="17" t="inlineStr">
        <is>
          <t>cho hang doi qua han thi 503 va khong goi mo hinh</t>
        </is>
      </c>
      <c r="H873" s="17" t="inlineStr">
        <is>
          <t>cho_hang_doi_qua_han_thi_503_va_khong_goi_mo_hinh</t>
        </is>
      </c>
      <c r="I873" s="16" t="inlineStr">
        <is>
          <t>Đạt</t>
        </is>
      </c>
      <c r="J873" s="16" t="n">
        <v>0.005</v>
      </c>
    </row>
    <row r="874">
      <c r="A874" s="16" t="n">
        <v>870</v>
      </c>
      <c r="B874" s="16" t="inlineStr">
        <is>
          <t>Backend</t>
        </is>
      </c>
      <c r="C874" s="17" t="inlineStr">
        <is>
          <t>ai-chatbox-service</t>
        </is>
      </c>
      <c r="D874" s="16" t="inlineStr">
        <is>
          <t>API slice</t>
        </is>
      </c>
      <c r="E874" s="17" t="inlineStr">
        <is>
          <t>SupportChatControllerTest</t>
        </is>
      </c>
      <c r="F874" s="17" t="inlineStr"/>
      <c r="G874" s="17" t="inlineStr">
        <is>
          <t>luot hong thi nha khoa va giu nguyen loi</t>
        </is>
      </c>
      <c r="H874" s="17" t="inlineStr">
        <is>
          <t>luot_hong_thi_nha_khoa_va_giu_nguyen_loi</t>
        </is>
      </c>
      <c r="I874" s="16" t="inlineStr">
        <is>
          <t>Đạt</t>
        </is>
      </c>
      <c r="J874" s="16" t="n">
        <v>0.005</v>
      </c>
    </row>
    <row r="875">
      <c r="A875" s="16" t="n">
        <v>871</v>
      </c>
      <c r="B875" s="16" t="inlineStr">
        <is>
          <t>Backend</t>
        </is>
      </c>
      <c r="C875" s="17" t="inlineStr">
        <is>
          <t>ai-chatbox-service</t>
        </is>
      </c>
      <c r="D875" s="16" t="inlineStr">
        <is>
          <t>API slice</t>
        </is>
      </c>
      <c r="E875" s="17" t="inlineStr">
        <is>
          <t>SupportChatControllerTest</t>
        </is>
      </c>
      <c r="F875" s="17" t="inlineStr"/>
      <c r="G875" s="17" t="inlineStr">
        <is>
          <t>cung phien dang chay tra 409 ngay</t>
        </is>
      </c>
      <c r="H875" s="17" t="inlineStr">
        <is>
          <t>cung_phien_dang_chay_tra_409_ngay</t>
        </is>
      </c>
      <c r="I875" s="16" t="inlineStr">
        <is>
          <t>Đạt</t>
        </is>
      </c>
      <c r="J875" s="16" t="n">
        <v>0.007</v>
      </c>
    </row>
    <row r="876">
      <c r="A876" s="16" t="n">
        <v>872</v>
      </c>
      <c r="B876" s="16" t="inlineStr">
        <is>
          <t>Backend</t>
        </is>
      </c>
      <c r="C876" s="17" t="inlineStr">
        <is>
          <t>ai-chatbox-service</t>
        </is>
      </c>
      <c r="D876" s="16" t="inlineStr">
        <is>
          <t>API slice</t>
        </is>
      </c>
      <c r="E876" s="17" t="inlineStr">
        <is>
          <t>SupportChatControllerTest</t>
        </is>
      </c>
      <c r="F876" s="17" t="inlineStr"/>
      <c r="G876" s="17" t="inlineStr">
        <is>
          <t>khoa phien nha o moi duong ket thuc</t>
        </is>
      </c>
      <c r="H876" s="17" t="inlineStr">
        <is>
          <t>khoa_phien_nha_o_moi_duong_ket_thuc</t>
        </is>
      </c>
      <c r="I876" s="16" t="inlineStr">
        <is>
          <t>Đạt</t>
        </is>
      </c>
      <c r="J876" s="16" t="n">
        <v>0.004</v>
      </c>
    </row>
    <row r="877">
      <c r="A877" s="16" t="n">
        <v>873</v>
      </c>
      <c r="B877" s="16" t="inlineStr">
        <is>
          <t>Backend</t>
        </is>
      </c>
      <c r="C877" s="17" t="inlineStr">
        <is>
          <t>ai-chatbox-service</t>
        </is>
      </c>
      <c r="D877" s="16" t="inlineStr">
        <is>
          <t>API slice</t>
        </is>
      </c>
      <c r="E877" s="17" t="inlineStr">
        <is>
          <t>SupportDeskControllerTest › Actions</t>
        </is>
      </c>
      <c r="F877" s="17" t="inlineStr">
        <is>
          <t>Nhận, trả lời, đóng phiếu</t>
        </is>
      </c>
      <c r="G877" s="17" t="inlineStr">
        <is>
          <t>reply đúng 4000 ký tự là biên còn hợp lệ</t>
        </is>
      </c>
      <c r="H877" s="17" t="inlineStr">
        <is>
          <t>reply_dung_bien</t>
        </is>
      </c>
      <c r="I877" s="16" t="inlineStr">
        <is>
          <t>Đạt</t>
        </is>
      </c>
      <c r="J877" s="16" t="n">
        <v>0.135</v>
      </c>
    </row>
    <row r="878">
      <c r="A878" s="16" t="n">
        <v>874</v>
      </c>
      <c r="B878" s="16" t="inlineStr">
        <is>
          <t>Backend</t>
        </is>
      </c>
      <c r="C878" s="17" t="inlineStr">
        <is>
          <t>ai-chatbox-service</t>
        </is>
      </c>
      <c r="D878" s="16" t="inlineStr">
        <is>
          <t>API slice</t>
        </is>
      </c>
      <c r="E878" s="17" t="inlineStr">
        <is>
          <t>SupportDeskControllerTest › Actions</t>
        </is>
      </c>
      <c r="F878" s="17" t="inlineStr">
        <is>
          <t>Nhận, trả lời, đóng phiếu</t>
        </is>
      </c>
      <c r="G878" s="17" t="inlineStr">
        <is>
          <t>claim khi người khác nhận trước: 409 HANDOFF_ALREADY_TAKEN</t>
        </is>
      </c>
      <c r="H878" s="17" t="inlineStr">
        <is>
          <t>claim_da_co_nguoi_nhan</t>
        </is>
      </c>
      <c r="I878" s="16" t="inlineStr">
        <is>
          <t>Đạt</t>
        </is>
      </c>
      <c r="J878" s="16" t="n">
        <v>0.031</v>
      </c>
    </row>
    <row r="879">
      <c r="A879" s="16" t="n">
        <v>875</v>
      </c>
      <c r="B879" s="16" t="inlineStr">
        <is>
          <t>Backend</t>
        </is>
      </c>
      <c r="C879" s="17" t="inlineStr">
        <is>
          <t>ai-chatbox-service</t>
        </is>
      </c>
      <c r="D879" s="16" t="inlineStr">
        <is>
          <t>API slice</t>
        </is>
      </c>
      <c r="E879" s="17" t="inlineStr">
        <is>
          <t>SupportDeskControllerTest › Actions</t>
        </is>
      </c>
      <c r="F879" s="17" t="inlineStr">
        <is>
          <t>Nhận, trả lời, đóng phiếu</t>
        </is>
      </c>
      <c r="G879" s="17" t="inlineStr">
        <is>
          <t>reply trống, toàn khoảng trắng, quá 4000 ký tự hoặc thiếu trường: 400, không ghi gì</t>
        </is>
      </c>
      <c r="H879" s="17" t="inlineStr">
        <is>
          <t>reply_khong_hop_le</t>
        </is>
      </c>
      <c r="I879" s="16" t="inlineStr">
        <is>
          <t>Đạt</t>
        </is>
      </c>
      <c r="J879" s="16" t="n">
        <v>0.055</v>
      </c>
    </row>
    <row r="880">
      <c r="A880" s="16" t="n">
        <v>876</v>
      </c>
      <c r="B880" s="16" t="inlineStr">
        <is>
          <t>Backend</t>
        </is>
      </c>
      <c r="C880" s="17" t="inlineStr">
        <is>
          <t>ai-chatbox-service</t>
        </is>
      </c>
      <c r="D880" s="16" t="inlineStr">
        <is>
          <t>API slice</t>
        </is>
      </c>
      <c r="E880" s="17" t="inlineStr">
        <is>
          <t>SupportDeskControllerTest › Actions</t>
        </is>
      </c>
      <c r="F880" s="17" t="inlineStr">
        <is>
          <t>Nhận, trả lời, đóng phiếu</t>
        </is>
      </c>
      <c r="G880" s="17" t="inlineStr">
        <is>
          <t>reply: không tin agentId trong body — chỉ id từ JWT được dùng</t>
        </is>
      </c>
      <c r="H880" s="17" t="inlineStr">
        <is>
          <t>reply_bo_qua_agent_id_trong_body</t>
        </is>
      </c>
      <c r="I880" s="16" t="inlineStr">
        <is>
          <t>Đạt</t>
        </is>
      </c>
      <c r="J880" s="16" t="n">
        <v>0.022</v>
      </c>
    </row>
    <row r="881">
      <c r="A881" s="16" t="n">
        <v>877</v>
      </c>
      <c r="B881" s="16" t="inlineStr">
        <is>
          <t>Backend</t>
        </is>
      </c>
      <c r="C881" s="17" t="inlineStr">
        <is>
          <t>ai-chatbox-service</t>
        </is>
      </c>
      <c r="D881" s="16" t="inlineStr">
        <is>
          <t>API slice</t>
        </is>
      </c>
      <c r="E881" s="17" t="inlineStr">
        <is>
          <t>SupportDeskControllerTest › Actions</t>
        </is>
      </c>
      <c r="F881" s="17" t="inlineStr">
        <is>
          <t>Nhận, trả lời, đóng phiếu</t>
        </is>
      </c>
      <c r="G881" s="17" t="inlineStr">
        <is>
          <t>id phiếu không phải UUID: 400</t>
        </is>
      </c>
      <c r="H881" s="17" t="inlineStr">
        <is>
          <t>id_sai_kieu</t>
        </is>
      </c>
      <c r="I881" s="16" t="inlineStr">
        <is>
          <t>Đạt</t>
        </is>
      </c>
      <c r="J881" s="16" t="n">
        <v>0.024</v>
      </c>
    </row>
    <row r="882">
      <c r="A882" s="16" t="n">
        <v>878</v>
      </c>
      <c r="B882" s="16" t="inlineStr">
        <is>
          <t>Backend</t>
        </is>
      </c>
      <c r="C882" s="17" t="inlineStr">
        <is>
          <t>ai-chatbox-service</t>
        </is>
      </c>
      <c r="D882" s="16" t="inlineStr">
        <is>
          <t>API slice</t>
        </is>
      </c>
      <c r="E882" s="17" t="inlineStr">
        <is>
          <t>SupportDeskControllerTest › Actions</t>
        </is>
      </c>
      <c r="F882" s="17" t="inlineStr">
        <is>
          <t>Nhận, trả lời, đóng phiếu</t>
        </is>
      </c>
      <c r="G882" s="17" t="inlineStr">
        <is>
          <t>claim: id người trực lấy từ JWT, trả cả hội thoại</t>
        </is>
      </c>
      <c r="H882" s="17" t="inlineStr">
        <is>
          <t>claim</t>
        </is>
      </c>
      <c r="I882" s="16" t="inlineStr">
        <is>
          <t>Đạt</t>
        </is>
      </c>
      <c r="J882" s="16" t="n">
        <v>0.015</v>
      </c>
    </row>
    <row r="883">
      <c r="A883" s="16" t="n">
        <v>879</v>
      </c>
      <c r="B883" s="16" t="inlineStr">
        <is>
          <t>Backend</t>
        </is>
      </c>
      <c r="C883" s="17" t="inlineStr">
        <is>
          <t>ai-chatbox-service</t>
        </is>
      </c>
      <c r="D883" s="16" t="inlineStr">
        <is>
          <t>API slice</t>
        </is>
      </c>
      <c r="E883" s="17" t="inlineStr">
        <is>
          <t>SupportDeskControllerTest › Actions</t>
        </is>
      </c>
      <c r="F883" s="17" t="inlineStr">
        <is>
          <t>Nhận, trả lời, đóng phiếu</t>
        </is>
      </c>
      <c r="G883" s="17" t="inlineStr">
        <is>
          <t>reply: ghi bằng id người trực từ JWT rồi trả lại hội thoại</t>
        </is>
      </c>
      <c r="H883" s="17" t="inlineStr">
        <is>
          <t>reply</t>
        </is>
      </c>
      <c r="I883" s="16" t="inlineStr">
        <is>
          <t>Đạt</t>
        </is>
      </c>
      <c r="J883" s="16" t="n">
        <v>0.023</v>
      </c>
    </row>
    <row r="884">
      <c r="A884" s="16" t="n">
        <v>880</v>
      </c>
      <c r="B884" s="16" t="inlineStr">
        <is>
          <t>Backend</t>
        </is>
      </c>
      <c r="C884" s="17" t="inlineStr">
        <is>
          <t>ai-chatbox-service</t>
        </is>
      </c>
      <c r="D884" s="16" t="inlineStr">
        <is>
          <t>API slice</t>
        </is>
      </c>
      <c r="E884" s="17" t="inlineStr">
        <is>
          <t>SupportDeskControllerTest › Actions</t>
        </is>
      </c>
      <c r="F884" s="17" t="inlineStr">
        <is>
          <t>Nhận, trả lời, đóng phiếu</t>
        </is>
      </c>
      <c r="G884" s="17" t="inlineStr">
        <is>
          <t>reply vào phiếu chưa nhận: 409 HANDOFF_NOT_ASSIGNED</t>
        </is>
      </c>
      <c r="H884" s="17" t="inlineStr">
        <is>
          <t>reply_chua_nhan</t>
        </is>
      </c>
      <c r="I884" s="16" t="inlineStr">
        <is>
          <t>Đạt</t>
        </is>
      </c>
      <c r="J884" s="16" t="n">
        <v>0.022</v>
      </c>
    </row>
    <row r="885">
      <c r="A885" s="16" t="n">
        <v>881</v>
      </c>
      <c r="B885" s="16" t="inlineStr">
        <is>
          <t>Backend</t>
        </is>
      </c>
      <c r="C885" s="17" t="inlineStr">
        <is>
          <t>ai-chatbox-service</t>
        </is>
      </c>
      <c r="D885" s="16" t="inlineStr">
        <is>
          <t>API slice</t>
        </is>
      </c>
      <c r="E885" s="17" t="inlineStr">
        <is>
          <t>SupportDeskControllerTest › Actions</t>
        </is>
      </c>
      <c r="F885" s="17" t="inlineStr">
        <is>
          <t>Nhận, trả lời, đóng phiếu</t>
        </is>
      </c>
      <c r="G885" s="17" t="inlineStr">
        <is>
          <t>resolve: id người trực từ JWT; phiếu đã đóng thì 409</t>
        </is>
      </c>
      <c r="H885" s="17" t="inlineStr">
        <is>
          <t>resolve</t>
        </is>
      </c>
      <c r="I885" s="16" t="inlineStr">
        <is>
          <t>Đạt</t>
        </is>
      </c>
      <c r="J885" s="16" t="n">
        <v>0.028</v>
      </c>
    </row>
    <row r="886">
      <c r="A886" s="16" t="n">
        <v>882</v>
      </c>
      <c r="B886" s="16" t="inlineStr">
        <is>
          <t>Backend</t>
        </is>
      </c>
      <c r="C886" s="17" t="inlineStr">
        <is>
          <t>ai-chatbox-service</t>
        </is>
      </c>
      <c r="D886" s="16" t="inlineStr">
        <is>
          <t>API slice</t>
        </is>
      </c>
      <c r="E886" s="17" t="inlineStr">
        <is>
          <t>SupportDeskControllerTest › Actions</t>
        </is>
      </c>
      <c r="F886" s="17" t="inlineStr">
        <is>
          <t>Nhận, trả lời, đóng phiếu</t>
        </is>
      </c>
      <c r="G886" s="17" t="inlineStr">
        <is>
          <t>phiếu không tồn tại: 404 HANDOFF_NOT_FOUND</t>
        </is>
      </c>
      <c r="H886" s="17" t="inlineStr">
        <is>
          <t>khong_tim_thay</t>
        </is>
      </c>
      <c r="I886" s="16" t="inlineStr">
        <is>
          <t>Đạt</t>
        </is>
      </c>
      <c r="J886" s="16" t="n">
        <v>0.015</v>
      </c>
    </row>
    <row r="887">
      <c r="A887" s="16" t="n">
        <v>883</v>
      </c>
      <c r="B887" s="16" t="inlineStr">
        <is>
          <t>Backend</t>
        </is>
      </c>
      <c r="C887" s="17" t="inlineStr">
        <is>
          <t>ai-chatbox-service</t>
        </is>
      </c>
      <c r="D887" s="16" t="inlineStr">
        <is>
          <t>API slice</t>
        </is>
      </c>
      <c r="E887" s="17" t="inlineStr">
        <is>
          <t>SupportDeskControllerTest › Authorization</t>
        </is>
      </c>
      <c r="F887" s="17" t="inlineStr">
        <is>
          <t>Ai được vào bàn hỗ trợ</t>
        </is>
      </c>
      <c r="G887" s="17" t="inlineStr">
        <is>
          <t>người ẩn danh: 401 ở mọi endpoint, không chạm use case</t>
        </is>
      </c>
      <c r="H887" s="17" t="inlineStr">
        <is>
          <t>an_danh</t>
        </is>
      </c>
      <c r="I887" s="16" t="inlineStr">
        <is>
          <t>Đạt</t>
        </is>
      </c>
      <c r="J887" s="16" t="n">
        <v>0.01</v>
      </c>
    </row>
    <row r="888">
      <c r="A888" s="16" t="n">
        <v>884</v>
      </c>
      <c r="B888" s="16" t="inlineStr">
        <is>
          <t>Backend</t>
        </is>
      </c>
      <c r="C888" s="17" t="inlineStr">
        <is>
          <t>ai-chatbox-service</t>
        </is>
      </c>
      <c r="D888" s="16" t="inlineStr">
        <is>
          <t>API slice</t>
        </is>
      </c>
      <c r="E888" s="17" t="inlineStr">
        <is>
          <t>SupportDeskControllerTest › Authorization</t>
        </is>
      </c>
      <c r="F888" s="17" t="inlineStr">
        <is>
          <t>Ai được vào bàn hỗ trợ</t>
        </is>
      </c>
      <c r="G888" s="17" t="inlineStr">
        <is>
          <t>khách hàng: 403 ở mọi endpoint — không đọc, nhận hay đóng được phiếu của ai</t>
        </is>
      </c>
      <c r="H888" s="17" t="inlineStr">
        <is>
          <t>khach_hang</t>
        </is>
      </c>
      <c r="I888" s="16" t="inlineStr">
        <is>
          <t>Đạt</t>
        </is>
      </c>
      <c r="J888" s="16" t="n">
        <v>0.024</v>
      </c>
    </row>
    <row r="889">
      <c r="A889" s="16" t="n">
        <v>885</v>
      </c>
      <c r="B889" s="16" t="inlineStr">
        <is>
          <t>Backend</t>
        </is>
      </c>
      <c r="C889" s="17" t="inlineStr">
        <is>
          <t>ai-chatbox-service</t>
        </is>
      </c>
      <c r="D889" s="16" t="inlineStr">
        <is>
          <t>API slice</t>
        </is>
      </c>
      <c r="E889" s="17" t="inlineStr">
        <is>
          <t>SupportDeskControllerTest › Authorization</t>
        </is>
      </c>
      <c r="F889" s="17" t="inlineStr">
        <is>
          <t>Ai được vào bàn hỗ trợ</t>
        </is>
      </c>
      <c r="G889" s="17" t="inlineStr">
        <is>
          <t>token hỏng: 401</t>
        </is>
      </c>
      <c r="H889" s="17" t="inlineStr">
        <is>
          <t>token_hong</t>
        </is>
      </c>
      <c r="I889" s="16" t="inlineStr">
        <is>
          <t>Đạt</t>
        </is>
      </c>
      <c r="J889" s="16" t="n">
        <v>0.012</v>
      </c>
    </row>
    <row r="890">
      <c r="A890" s="16" t="n">
        <v>886</v>
      </c>
      <c r="B890" s="16" t="inlineStr">
        <is>
          <t>Backend</t>
        </is>
      </c>
      <c r="C890" s="17" t="inlineStr">
        <is>
          <t>ai-chatbox-service</t>
        </is>
      </c>
      <c r="D890" s="16" t="inlineStr">
        <is>
          <t>API slice</t>
        </is>
      </c>
      <c r="E890" s="17" t="inlineStr">
        <is>
          <t>SupportDeskControllerTest › Authorization</t>
        </is>
      </c>
      <c r="F890" s="17" t="inlineStr">
        <is>
          <t>Ai được vào bàn hỗ trợ</t>
        </is>
      </c>
      <c r="G890" s="17" t="inlineStr">
        <is>
          <t>ORG_OWNER, ORG_ADMIN, EVENT_MANAGER, CHECKIN_STAFF: 403 — ban tổ chức không đọc chat của khách</t>
        </is>
      </c>
      <c r="H890" s="17" t="inlineStr">
        <is>
          <t>thanh_vien_to_chuc</t>
        </is>
      </c>
      <c r="I890" s="16" t="inlineStr">
        <is>
          <t>Đạt</t>
        </is>
      </c>
      <c r="J890" s="16" t="n">
        <v>0.08599999999999999</v>
      </c>
    </row>
    <row r="891">
      <c r="A891" s="16" t="n">
        <v>887</v>
      </c>
      <c r="B891" s="16" t="inlineStr">
        <is>
          <t>Backend</t>
        </is>
      </c>
      <c r="C891" s="17" t="inlineStr">
        <is>
          <t>ai-chatbox-service</t>
        </is>
      </c>
      <c r="D891" s="16" t="inlineStr">
        <is>
          <t>API slice</t>
        </is>
      </c>
      <c r="E891" s="17" t="inlineStr">
        <is>
          <t>SupportDeskControllerTest › Authorization</t>
        </is>
      </c>
      <c r="F891" s="17" t="inlineStr">
        <is>
          <t>Ai được vào bàn hỗ trợ</t>
        </is>
      </c>
      <c r="G891" s="17" t="inlineStr">
        <is>
          <t>403 mang thân RFC 7807 với mã FORBIDDEN</t>
        </is>
      </c>
      <c r="H891" s="17" t="inlineStr">
        <is>
          <t>than_403</t>
        </is>
      </c>
      <c r="I891" s="16" t="inlineStr">
        <is>
          <t>Đạt</t>
        </is>
      </c>
      <c r="J891" s="16" t="n">
        <v>0.01</v>
      </c>
    </row>
    <row r="892">
      <c r="A892" s="16" t="n">
        <v>888</v>
      </c>
      <c r="B892" s="16" t="inlineStr">
        <is>
          <t>Backend</t>
        </is>
      </c>
      <c r="C892" s="17" t="inlineStr">
        <is>
          <t>ai-chatbox-service</t>
        </is>
      </c>
      <c r="D892" s="16" t="inlineStr">
        <is>
          <t>API slice</t>
        </is>
      </c>
      <c r="E892" s="17" t="inlineStr">
        <is>
          <t>SupportDeskControllerTest › Queue</t>
        </is>
      </c>
      <c r="F892" s="17" t="inlineStr">
        <is>
          <t>Hàng đợi</t>
        </is>
      </c>
      <c r="G892" s="17" t="inlineStr">
        <is>
          <t>có status hoặc q: chuyển sang tra cứu (search)</t>
        </is>
      </c>
      <c r="H892" s="17" t="inlineStr">
        <is>
          <t>tra_cuu</t>
        </is>
      </c>
      <c r="I892" s="16" t="inlineStr">
        <is>
          <t>Đạt</t>
        </is>
      </c>
      <c r="J892" s="16" t="n">
        <v>0.041</v>
      </c>
    </row>
    <row r="893">
      <c r="A893" s="16" t="n">
        <v>889</v>
      </c>
      <c r="B893" s="16" t="inlineStr">
        <is>
          <t>Backend</t>
        </is>
      </c>
      <c r="C893" s="17" t="inlineStr">
        <is>
          <t>ai-chatbox-service</t>
        </is>
      </c>
      <c r="D893" s="16" t="inlineStr">
        <is>
          <t>API slice</t>
        </is>
      </c>
      <c r="E893" s="17" t="inlineStr">
        <is>
          <t>SupportDeskControllerTest › Queue</t>
        </is>
      </c>
      <c r="F893" s="17" t="inlineStr">
        <is>
          <t>Hàng đợi</t>
        </is>
      </c>
      <c r="G893" s="17" t="inlineStr">
        <is>
          <t>size bị kẹp [1,100]; page âm thành 0; offset = page * size đã kẹp</t>
        </is>
      </c>
      <c r="H893" s="17" t="inlineStr">
        <is>
          <t>phan_trang</t>
        </is>
      </c>
      <c r="I893" s="16" t="inlineStr">
        <is>
          <t>Đạt</t>
        </is>
      </c>
      <c r="J893" s="16" t="n">
        <v>0.016</v>
      </c>
    </row>
    <row r="894">
      <c r="A894" s="16" t="n">
        <v>890</v>
      </c>
      <c r="B894" s="16" t="inlineStr">
        <is>
          <t>Backend</t>
        </is>
      </c>
      <c r="C894" s="17" t="inlineStr">
        <is>
          <t>ai-chatbox-service</t>
        </is>
      </c>
      <c r="D894" s="16" t="inlineStr">
        <is>
          <t>API slice</t>
        </is>
      </c>
      <c r="E894" s="17" t="inlineStr">
        <is>
          <t>SupportDeskControllerTest › Queue</t>
        </is>
      </c>
      <c r="F894" s="17" t="inlineStr">
        <is>
          <t>Hàng đợi</t>
        </is>
      </c>
      <c r="G894" s="17" t="inlineStr">
        <is>
          <t>không tham số lọc: đường hàng đợi mặc định (queue), cỡ trang 50, trang 0</t>
        </is>
      </c>
      <c r="H894" s="17" t="inlineStr">
        <is>
          <t>mac_dinh</t>
        </is>
      </c>
      <c r="I894" s="16" t="inlineStr">
        <is>
          <t>Đạt</t>
        </is>
      </c>
      <c r="J894" s="16" t="n">
        <v>0.016</v>
      </c>
    </row>
    <row r="895">
      <c r="A895" s="16" t="n">
        <v>891</v>
      </c>
      <c r="B895" s="16" t="inlineStr">
        <is>
          <t>Backend</t>
        </is>
      </c>
      <c r="C895" s="17" t="inlineStr">
        <is>
          <t>ai-chatbox-service</t>
        </is>
      </c>
      <c r="D895" s="16" t="inlineStr">
        <is>
          <t>API slice</t>
        </is>
      </c>
      <c r="E895" s="17" t="inlineStr">
        <is>
          <t>SupportDeskControllerTest › Queue</t>
        </is>
      </c>
      <c r="F895" s="17" t="inlineStr">
        <is>
          <t>Hàng đợi</t>
        </is>
      </c>
      <c r="G895" s="17" t="inlineStr">
        <is>
          <t>size không phải số: 400, không phải 500</t>
        </is>
      </c>
      <c r="H895" s="17" t="inlineStr">
        <is>
          <t>size_sai_kieu</t>
        </is>
      </c>
      <c r="I895" s="16" t="inlineStr">
        <is>
          <t>Đạt</t>
        </is>
      </c>
      <c r="J895" s="16" t="n">
        <v>0.008</v>
      </c>
    </row>
    <row r="896">
      <c r="A896" s="16" t="n">
        <v>892</v>
      </c>
      <c r="B896" s="16" t="inlineStr">
        <is>
          <t>Backend</t>
        </is>
      </c>
      <c r="C896" s="17" t="inlineStr">
        <is>
          <t>ai-chatbox-service</t>
        </is>
      </c>
      <c r="D896" s="16" t="inlineStr">
        <is>
          <t>API slice</t>
        </is>
      </c>
      <c r="E896" s="17" t="inlineStr">
        <is>
          <t>SupportDeskControllerTest › Queue</t>
        </is>
      </c>
      <c r="F896" s="17" t="inlineStr">
        <is>
          <t>Hàng đợi</t>
        </is>
      </c>
      <c r="G896" s="17" t="inlineStr">
        <is>
          <t>intent dài quá 40 ký tự hoặc q dài quá 200: 400, không chạm use case</t>
        </is>
      </c>
      <c r="H896" s="17" t="inlineStr">
        <is>
          <t>tham_so_qua_dai</t>
        </is>
      </c>
      <c r="I896" s="16" t="inlineStr">
        <is>
          <t>Đạt</t>
        </is>
      </c>
      <c r="J896" s="16" t="n">
        <v>0.022</v>
      </c>
    </row>
    <row r="897">
      <c r="A897" s="16" t="n">
        <v>893</v>
      </c>
      <c r="B897" s="16" t="inlineStr">
        <is>
          <t>Backend</t>
        </is>
      </c>
      <c r="C897" s="17" t="inlineStr">
        <is>
          <t>ai-chatbox-service</t>
        </is>
      </c>
      <c r="D897" s="16" t="inlineStr">
        <is>
          <t>API slice</t>
        </is>
      </c>
      <c r="E897" s="17" t="inlineStr">
        <is>
          <t>SupportDeskControllerTest › Queue</t>
        </is>
      </c>
      <c r="F897" s="17" t="inlineStr">
        <is>
          <t>Hàng đợi</t>
        </is>
      </c>
      <c r="G897" s="17" t="inlineStr">
        <is>
          <t>mine=true: lọc theo chính người trực lấy từ JWT</t>
        </is>
      </c>
      <c r="H897" s="17" t="inlineStr">
        <is>
          <t>phieu_cua_toi</t>
        </is>
      </c>
      <c r="I897" s="16" t="inlineStr">
        <is>
          <t>Đạt</t>
        </is>
      </c>
      <c r="J897" s="16" t="n">
        <v>0.008999999999999999</v>
      </c>
    </row>
    <row r="898">
      <c r="A898" s="16" t="n">
        <v>894</v>
      </c>
      <c r="B898" s="16" t="inlineStr">
        <is>
          <t>Backend</t>
        </is>
      </c>
      <c r="C898" s="17" t="inlineStr">
        <is>
          <t>ai-chatbox-service</t>
        </is>
      </c>
      <c r="D898" s="16" t="inlineStr">
        <is>
          <t>API slice</t>
        </is>
      </c>
      <c r="E898" s="17" t="inlineStr">
        <is>
          <t>SupportKnowledgeControllerTest › Authorization</t>
        </is>
      </c>
      <c r="F898" s="17" t="inlineStr">
        <is>
          <t>Ai được sửa kho tri thức</t>
        </is>
      </c>
      <c r="G898" s="17" t="inlineStr">
        <is>
          <t>mọi vai trò tổ chức (kể cả chủ sở hữu): 403</t>
        </is>
      </c>
      <c r="H898" s="17" t="inlineStr">
        <is>
          <t>vai_tro_to_chuc</t>
        </is>
      </c>
      <c r="I898" s="16" t="inlineStr">
        <is>
          <t>Đạt</t>
        </is>
      </c>
      <c r="J898" s="16" t="n">
        <v>0.119</v>
      </c>
    </row>
    <row r="899">
      <c r="A899" s="16" t="n">
        <v>895</v>
      </c>
      <c r="B899" s="16" t="inlineStr">
        <is>
          <t>Backend</t>
        </is>
      </c>
      <c r="C899" s="17" t="inlineStr">
        <is>
          <t>ai-chatbox-service</t>
        </is>
      </c>
      <c r="D899" s="16" t="inlineStr">
        <is>
          <t>API slice</t>
        </is>
      </c>
      <c r="E899" s="17" t="inlineStr">
        <is>
          <t>SupportKnowledgeControllerTest › Authorization</t>
        </is>
      </c>
      <c r="F899" s="17" t="inlineStr">
        <is>
          <t>Ai được sửa kho tri thức</t>
        </is>
      </c>
      <c r="G899" s="17" t="inlineStr">
        <is>
          <t>người ẩn danh: 401 ở mọi endpoint</t>
        </is>
      </c>
      <c r="H899" s="17" t="inlineStr">
        <is>
          <t>an_danh</t>
        </is>
      </c>
      <c r="I899" s="16" t="inlineStr">
        <is>
          <t>Đạt</t>
        </is>
      </c>
      <c r="J899" s="16" t="n">
        <v>0.016</v>
      </c>
    </row>
    <row r="900">
      <c r="A900" s="16" t="n">
        <v>896</v>
      </c>
      <c r="B900" s="16" t="inlineStr">
        <is>
          <t>Backend</t>
        </is>
      </c>
      <c r="C900" s="17" t="inlineStr">
        <is>
          <t>ai-chatbox-service</t>
        </is>
      </c>
      <c r="D900" s="16" t="inlineStr">
        <is>
          <t>API slice</t>
        </is>
      </c>
      <c r="E900" s="17" t="inlineStr">
        <is>
          <t>SupportKnowledgeControllerTest › Authorization</t>
        </is>
      </c>
      <c r="F900" s="17" t="inlineStr">
        <is>
          <t>Ai được sửa kho tri thức</t>
        </is>
      </c>
      <c r="G900" s="17" t="inlineStr">
        <is>
          <t>khách hàng: 403 ở mọi endpoint, kho không bị đụng tới</t>
        </is>
      </c>
      <c r="H900" s="17" t="inlineStr">
        <is>
          <t>khach_hang</t>
        </is>
      </c>
      <c r="I900" s="16" t="inlineStr">
        <is>
          <t>Đạt</t>
        </is>
      </c>
      <c r="J900" s="16" t="n">
        <v>0.036</v>
      </c>
    </row>
    <row r="901">
      <c r="A901" s="16" t="n">
        <v>897</v>
      </c>
      <c r="B901" s="16" t="inlineStr">
        <is>
          <t>Backend</t>
        </is>
      </c>
      <c r="C901" s="17" t="inlineStr">
        <is>
          <t>ai-chatbox-service</t>
        </is>
      </c>
      <c r="D901" s="16" t="inlineStr">
        <is>
          <t>API slice</t>
        </is>
      </c>
      <c r="E901" s="17" t="inlineStr">
        <is>
          <t>SupportKnowledgeControllerTest › Chunks</t>
        </is>
      </c>
      <c r="F901" s="17" t="inlineStr">
        <is>
          <t>Đoạn tri thức</t>
        </is>
      </c>
      <c r="G901" s="17" t="inlineStr">
        <is>
          <t>preview: trả các đoạn lấy ra kèm cờ used; q trống hoặc quá 2000 ký tự thì 400</t>
        </is>
      </c>
      <c r="H901" s="17" t="inlineStr">
        <is>
          <t>preview</t>
        </is>
      </c>
      <c r="I901" s="16" t="inlineStr">
        <is>
          <t>Đạt</t>
        </is>
      </c>
      <c r="J901" s="16" t="n">
        <v>0.055</v>
      </c>
    </row>
    <row r="902">
      <c r="A902" s="16" t="n">
        <v>898</v>
      </c>
      <c r="B902" s="16" t="inlineStr">
        <is>
          <t>Backend</t>
        </is>
      </c>
      <c r="C902" s="17" t="inlineStr">
        <is>
          <t>ai-chatbox-service</t>
        </is>
      </c>
      <c r="D902" s="16" t="inlineStr">
        <is>
          <t>API slice</t>
        </is>
      </c>
      <c r="E902" s="17" t="inlineStr">
        <is>
          <t>SupportKnowledgeControllerTest › Chunks</t>
        </is>
      </c>
      <c r="F902" s="17" t="inlineStr">
        <is>
          <t>Đoạn tri thức</t>
        </is>
      </c>
      <c r="G902" s="17" t="inlineStr">
        <is>
          <t>thêm đoạn: trả id mới cùng nội dung vừa gửi</t>
        </is>
      </c>
      <c r="H902" s="17" t="inlineStr">
        <is>
          <t>them_doan</t>
        </is>
      </c>
      <c r="I902" s="16" t="inlineStr">
        <is>
          <t>Đạt</t>
        </is>
      </c>
      <c r="J902" s="16" t="n">
        <v>0.041</v>
      </c>
    </row>
    <row r="903">
      <c r="A903" s="16" t="n">
        <v>899</v>
      </c>
      <c r="B903" s="16" t="inlineStr">
        <is>
          <t>Backend</t>
        </is>
      </c>
      <c r="C903" s="17" t="inlineStr">
        <is>
          <t>ai-chatbox-service</t>
        </is>
      </c>
      <c r="D903" s="16" t="inlineStr">
        <is>
          <t>API slice</t>
        </is>
      </c>
      <c r="E903" s="17" t="inlineStr">
        <is>
          <t>SupportKnowledgeControllerTest › Chunks</t>
        </is>
      </c>
      <c r="F903" s="17" t="inlineStr">
        <is>
          <t>Đoạn tri thức</t>
        </is>
      </c>
      <c r="G903" s="17" t="inlineStr">
        <is>
          <t>liệt kê: cỡ trang kẹp [1,100], page âm thành 0, lọc theo eventId</t>
        </is>
      </c>
      <c r="H903" s="17" t="inlineStr">
        <is>
          <t>liet_ke</t>
        </is>
      </c>
      <c r="I903" s="16" t="inlineStr">
        <is>
          <t>Đạt</t>
        </is>
      </c>
      <c r="J903" s="16" t="n">
        <v>0.026</v>
      </c>
    </row>
    <row r="904">
      <c r="A904" s="16" t="n">
        <v>900</v>
      </c>
      <c r="B904" s="16" t="inlineStr">
        <is>
          <t>Backend</t>
        </is>
      </c>
      <c r="C904" s="17" t="inlineStr">
        <is>
          <t>ai-chatbox-service</t>
        </is>
      </c>
      <c r="D904" s="16" t="inlineStr">
        <is>
          <t>API slice</t>
        </is>
      </c>
      <c r="E904" s="17" t="inlineStr">
        <is>
          <t>SupportKnowledgeControllerTest › Chunks</t>
        </is>
      </c>
      <c r="F904" s="17" t="inlineStr">
        <is>
          <t>Đoạn tri thức</t>
        </is>
      </c>
      <c r="G904" s="17" t="inlineStr">
        <is>
          <t>xoá đoạn: gọi deleteChunk với đúng id; id sai kiểu thì 400</t>
        </is>
      </c>
      <c r="H904" s="17" t="inlineStr">
        <is>
          <t>xoa_doan</t>
        </is>
      </c>
      <c r="I904" s="16" t="inlineStr">
        <is>
          <t>Đạt</t>
        </is>
      </c>
      <c r="J904" s="16" t="n">
        <v>0.019</v>
      </c>
    </row>
    <row r="905">
      <c r="A905" s="16" t="n">
        <v>901</v>
      </c>
      <c r="B905" s="16" t="inlineStr">
        <is>
          <t>Backend</t>
        </is>
      </c>
      <c r="C905" s="17" t="inlineStr">
        <is>
          <t>ai-chatbox-service</t>
        </is>
      </c>
      <c r="D905" s="16" t="inlineStr">
        <is>
          <t>API slice</t>
        </is>
      </c>
      <c r="E905" s="17" t="inlineStr">
        <is>
          <t>SupportKnowledgeControllerTest › Chunks</t>
        </is>
      </c>
      <c r="F905" s="17" t="inlineStr">
        <is>
          <t>Đoạn tri thức</t>
        </is>
      </c>
      <c r="G905" s="17" t="inlineStr">
        <is>
          <t>thiếu/trống/quá dài: 400 kèm meta.fields, không gọi use case (title 200, content 8000)</t>
        </is>
      </c>
      <c r="H905" s="17" t="inlineStr">
        <is>
          <t>khong_hop_le</t>
        </is>
      </c>
      <c r="I905" s="16" t="inlineStr">
        <is>
          <t>Đạt</t>
        </is>
      </c>
      <c r="J905" s="16" t="n">
        <v>0.043</v>
      </c>
    </row>
    <row r="906">
      <c r="A906" s="16" t="n">
        <v>902</v>
      </c>
      <c r="B906" s="16" t="inlineStr">
        <is>
          <t>Backend</t>
        </is>
      </c>
      <c r="C906" s="17" t="inlineStr">
        <is>
          <t>ai-chatbox-service</t>
        </is>
      </c>
      <c r="D906" s="16" t="inlineStr">
        <is>
          <t>API slice</t>
        </is>
      </c>
      <c r="E906" s="17" t="inlineStr">
        <is>
          <t>SupportKnowledgeControllerTest › Chunks</t>
        </is>
      </c>
      <c r="F906" s="17" t="inlineStr">
        <is>
          <t>Đoạn tri thức</t>
        </is>
      </c>
      <c r="G906" s="17" t="inlineStr">
        <is>
          <t>tri thức chung (không có eventId): eventId null</t>
        </is>
      </c>
      <c r="H906" s="17" t="inlineStr">
        <is>
          <t>tri_thuc_chung</t>
        </is>
      </c>
      <c r="I906" s="16" t="inlineStr">
        <is>
          <t>Đạt</t>
        </is>
      </c>
      <c r="J906" s="16" t="n">
        <v>0.014</v>
      </c>
    </row>
    <row r="907">
      <c r="A907" s="16" t="n">
        <v>903</v>
      </c>
      <c r="B907" s="16" t="inlineStr">
        <is>
          <t>Backend</t>
        </is>
      </c>
      <c r="C907" s="17" t="inlineStr">
        <is>
          <t>ai-chatbox-service</t>
        </is>
      </c>
      <c r="D907" s="16" t="inlineStr">
        <is>
          <t>API slice</t>
        </is>
      </c>
      <c r="E907" s="17" t="inlineStr">
        <is>
          <t>SupportKnowledgeControllerTest › Rules</t>
        </is>
      </c>
      <c r="F907" s="17" t="inlineStr">
        <is>
          <t>Quy định sự kiện</t>
        </is>
      </c>
      <c r="G907" s="17" t="inlineStr">
        <is>
          <t>thiếu refundAllowed/published: mặc định false — không vô tình cho hoàn vé hay công bố bản nháp</t>
        </is>
      </c>
      <c r="H907" s="17" t="inlineStr">
        <is>
          <t>mac_dinh_an_toan</t>
        </is>
      </c>
      <c r="I907" s="16" t="inlineStr">
        <is>
          <t>Đạt</t>
        </is>
      </c>
      <c r="J907" s="16" t="n">
        <v>0.05</v>
      </c>
    </row>
    <row r="908">
      <c r="A908" s="16" t="n">
        <v>904</v>
      </c>
      <c r="B908" s="16" t="inlineStr">
        <is>
          <t>Backend</t>
        </is>
      </c>
      <c r="C908" s="17" t="inlineStr">
        <is>
          <t>ai-chatbox-service</t>
        </is>
      </c>
      <c r="D908" s="16" t="inlineStr">
        <is>
          <t>API slice</t>
        </is>
      </c>
      <c r="E908" s="17" t="inlineStr">
        <is>
          <t>SupportKnowledgeControllerTest › Rules</t>
        </is>
      </c>
      <c r="F908" s="17" t="inlineStr">
        <is>
          <t>Quy định sự kiện</t>
        </is>
      </c>
      <c r="G908" s="17" t="inlineStr">
        <is>
          <t>biên 0 và 8760 giờ hợp lệ</t>
        </is>
      </c>
      <c r="H908" s="17" t="inlineStr">
        <is>
          <t>bien_hop_le</t>
        </is>
      </c>
      <c r="I908" s="16" t="inlineStr">
        <is>
          <t>Đạt</t>
        </is>
      </c>
      <c r="J908" s="16" t="n">
        <v>0.015</v>
      </c>
    </row>
    <row r="909">
      <c r="A909" s="16" t="n">
        <v>905</v>
      </c>
      <c r="B909" s="16" t="inlineStr">
        <is>
          <t>Backend</t>
        </is>
      </c>
      <c r="C909" s="17" t="inlineStr">
        <is>
          <t>ai-chatbox-service</t>
        </is>
      </c>
      <c r="D909" s="16" t="inlineStr">
        <is>
          <t>API slice</t>
        </is>
      </c>
      <c r="E909" s="17" t="inlineStr">
        <is>
          <t>SupportKnowledgeControllerTest › Rules</t>
        </is>
      </c>
      <c r="F909" s="17" t="inlineStr">
        <is>
          <t>Quy định sự kiện</t>
        </is>
      </c>
      <c r="G909" s="17" t="inlineStr">
        <is>
          <t>ghi đè quy định: chuyển nguyên các giá trị thô xuống use case</t>
        </is>
      </c>
      <c r="H909" s="17" t="inlineStr">
        <is>
          <t>upsert</t>
        </is>
      </c>
      <c r="I909" s="16" t="inlineStr">
        <is>
          <t>Đạt</t>
        </is>
      </c>
      <c r="J909" s="16" t="n">
        <v>0.013</v>
      </c>
    </row>
    <row r="910">
      <c r="A910" s="16" t="n">
        <v>906</v>
      </c>
      <c r="B910" s="16" t="inlineStr">
        <is>
          <t>Backend</t>
        </is>
      </c>
      <c r="C910" s="17" t="inlineStr">
        <is>
          <t>ai-chatbox-service</t>
        </is>
      </c>
      <c r="D910" s="16" t="inlineStr">
        <is>
          <t>API slice</t>
        </is>
      </c>
      <c r="E910" s="17" t="inlineStr">
        <is>
          <t>SupportKnowledgeControllerTest › Rules</t>
        </is>
      </c>
      <c r="F910" s="17" t="inlineStr">
        <is>
          <t>Quy định sự kiện</t>
        </is>
      </c>
      <c r="G910" s="17" t="inlineStr">
        <is>
          <t>đọc quy định (kể cả bản nháp)</t>
        </is>
      </c>
      <c r="H910" s="17" t="inlineStr">
        <is>
          <t>doc</t>
        </is>
      </c>
      <c r="I910" s="16" t="inlineStr">
        <is>
          <t>Đạt</t>
        </is>
      </c>
      <c r="J910" s="16" t="n">
        <v>0.011</v>
      </c>
    </row>
    <row r="911">
      <c r="A911" s="16" t="n">
        <v>907</v>
      </c>
      <c r="B911" s="16" t="inlineStr">
        <is>
          <t>Backend</t>
        </is>
      </c>
      <c r="C911" s="17" t="inlineStr">
        <is>
          <t>ai-chatbox-service</t>
        </is>
      </c>
      <c r="D911" s="16" t="inlineStr">
        <is>
          <t>API slice</t>
        </is>
      </c>
      <c r="E911" s="17" t="inlineStr">
        <is>
          <t>SupportKnowledgeControllerTest › Rules</t>
        </is>
      </c>
      <c r="F911" s="17" t="inlineStr">
        <is>
          <t>Quy định sự kiện</t>
        </is>
      </c>
      <c r="G911" s="17" t="inlineStr">
        <is>
          <t>refundWindowHours ngoài [0, 8760] hoặc thân không hợp lệ: 400</t>
        </is>
      </c>
      <c r="H911" s="17" t="inlineStr">
        <is>
          <t>khong_hop_le</t>
        </is>
      </c>
      <c r="I911" s="16" t="inlineStr">
        <is>
          <t>Đạt</t>
        </is>
      </c>
      <c r="J911" s="16" t="n">
        <v>0.051</v>
      </c>
    </row>
    <row r="912">
      <c r="A912" s="16" t="n">
        <v>908</v>
      </c>
      <c r="B912" s="16" t="inlineStr">
        <is>
          <t>Backend</t>
        </is>
      </c>
      <c r="C912" s="17" t="inlineStr">
        <is>
          <t>ai-chatbox-service</t>
        </is>
      </c>
      <c r="D912" s="16" t="inlineStr">
        <is>
          <t>Unit</t>
        </is>
      </c>
      <c r="E912" s="17" t="inlineStr">
        <is>
          <t>SupportDeskHandoverTest</t>
        </is>
      </c>
      <c r="F912" s="17" t="inlineStr"/>
      <c r="G912" s="17" t="inlineStr">
        <is>
          <t>chuyen phieu cho nguoi khac</t>
        </is>
      </c>
      <c r="H912" s="17" t="inlineStr">
        <is>
          <t>chuyen_phieu_cho_nguoi_khac</t>
        </is>
      </c>
      <c r="I912" s="16" t="inlineStr">
        <is>
          <t>Đạt</t>
        </is>
      </c>
      <c r="J912" s="16" t="n">
        <v>0.008</v>
      </c>
    </row>
    <row r="913">
      <c r="A913" s="16" t="n">
        <v>909</v>
      </c>
      <c r="B913" s="16" t="inlineStr">
        <is>
          <t>Backend</t>
        </is>
      </c>
      <c r="C913" s="17" t="inlineStr">
        <is>
          <t>ai-chatbox-service</t>
        </is>
      </c>
      <c r="D913" s="16" t="inlineStr">
        <is>
          <t>Unit</t>
        </is>
      </c>
      <c r="E913" s="17" t="inlineStr">
        <is>
          <t>SupportDeskHandoverTest</t>
        </is>
      </c>
      <c r="F913" s="17" t="inlineStr"/>
      <c r="G913" s="17" t="inlineStr">
        <is>
          <t>thua race khi nha tra 409 state changed</t>
        </is>
      </c>
      <c r="H913" s="17" t="inlineStr">
        <is>
          <t>thua_race_khi_nha_tra_409_state_changed</t>
        </is>
      </c>
      <c r="I913" s="16" t="inlineStr">
        <is>
          <t>Đạt</t>
        </is>
      </c>
      <c r="J913" s="16" t="n">
        <v>0.005</v>
      </c>
    </row>
    <row r="914">
      <c r="A914" s="16" t="n">
        <v>910</v>
      </c>
      <c r="B914" s="16" t="inlineStr">
        <is>
          <t>Backend</t>
        </is>
      </c>
      <c r="C914" s="17" t="inlineStr">
        <is>
          <t>ai-chatbox-service</t>
        </is>
      </c>
      <c r="D914" s="16" t="inlineStr">
        <is>
          <t>Unit</t>
        </is>
      </c>
      <c r="E914" s="17" t="inlineStr">
        <is>
          <t>SupportDeskHandoverTest</t>
        </is>
      </c>
      <c r="F914" s="17" t="inlineStr"/>
      <c r="G914" s="17" t="inlineStr">
        <is>
          <t>nha phieu dang cho la idempotent va body tuy chon</t>
        </is>
      </c>
      <c r="H914" s="17" t="inlineStr">
        <is>
          <t>nha_phieu_dang_cho_la_idempotent_va_body_tuy_chon</t>
        </is>
      </c>
      <c r="I914" s="16" t="inlineStr">
        <is>
          <t>Đạt</t>
        </is>
      </c>
      <c r="J914" s="16" t="n">
        <v>0.002</v>
      </c>
    </row>
    <row r="915">
      <c r="A915" s="16" t="n">
        <v>911</v>
      </c>
      <c r="B915" s="16" t="inlineStr">
        <is>
          <t>Backend</t>
        </is>
      </c>
      <c r="C915" s="17" t="inlineStr">
        <is>
          <t>ai-chatbox-service</t>
        </is>
      </c>
      <c r="D915" s="16" t="inlineStr">
        <is>
          <t>Unit</t>
        </is>
      </c>
      <c r="E915" s="17" t="inlineStr">
        <is>
          <t>SupportDeskHandoverTest</t>
        </is>
      </c>
      <c r="F915" s="17" t="inlineStr"/>
      <c r="G915" s="17" t="inlineStr">
        <is>
          <t>chuyen cho tai khoan khong ton tai tra 422</t>
        </is>
      </c>
      <c r="H915" s="17" t="inlineStr">
        <is>
          <t>chuyen_cho_tai_khoan_khong_ton_tai_tra_422</t>
        </is>
      </c>
      <c r="I915" s="16" t="inlineStr">
        <is>
          <t>Đạt</t>
        </is>
      </c>
      <c r="J915" s="16" t="n">
        <v>0.002</v>
      </c>
    </row>
    <row r="916">
      <c r="A916" s="16" t="n">
        <v>912</v>
      </c>
      <c r="B916" s="16" t="inlineStr">
        <is>
          <t>Backend</t>
        </is>
      </c>
      <c r="C916" s="17" t="inlineStr">
        <is>
          <t>ai-chatbox-service</t>
        </is>
      </c>
      <c r="D916" s="16" t="inlineStr">
        <is>
          <t>Unit</t>
        </is>
      </c>
      <c r="E916" s="17" t="inlineStr">
        <is>
          <t>SupportDeskHandoverTest</t>
        </is>
      </c>
      <c r="F916" s="17" t="inlineStr"/>
      <c r="G916" s="17" t="inlineStr">
        <is>
          <t>nha hoac chuyen phieu da dong bi tu choi</t>
        </is>
      </c>
      <c r="H916" s="17" t="inlineStr">
        <is>
          <t>nha_hoac_chuyen_phieu_da_dong_bi_tu_choi</t>
        </is>
      </c>
      <c r="I916" s="16" t="inlineStr">
        <is>
          <t>Đạt</t>
        </is>
      </c>
      <c r="J916" s="16" t="n">
        <v>0.003</v>
      </c>
    </row>
    <row r="917">
      <c r="A917" s="16" t="n">
        <v>913</v>
      </c>
      <c r="B917" s="16" t="inlineStr">
        <is>
          <t>Backend</t>
        </is>
      </c>
      <c r="C917" s="17" t="inlineStr">
        <is>
          <t>ai-chatbox-service</t>
        </is>
      </c>
      <c r="D917" s="16" t="inlineStr">
        <is>
          <t>Unit</t>
        </is>
      </c>
      <c r="E917" s="17" t="inlineStr">
        <is>
          <t>SupportDeskHandoverTest</t>
        </is>
      </c>
      <c r="F917" s="17" t="inlineStr"/>
      <c r="G917" s="17" t="inlineStr">
        <is>
          <t>nguoi khac nha phieu dang giu ve hang doi</t>
        </is>
      </c>
      <c r="H917" s="17" t="inlineStr">
        <is>
          <t>nguoi_khac_nha_phieu_dang_giu_ve_hang_doi</t>
        </is>
      </c>
      <c r="I917" s="16" t="inlineStr">
        <is>
          <t>Đạt</t>
        </is>
      </c>
      <c r="J917" s="16" t="n">
        <v>0.002</v>
      </c>
    </row>
    <row r="918">
      <c r="A918" s="16" t="n">
        <v>914</v>
      </c>
      <c r="B918" s="16" t="inlineStr">
        <is>
          <t>Backend</t>
        </is>
      </c>
      <c r="C918" s="17" t="inlineStr">
        <is>
          <t>ai-chatbox-service</t>
        </is>
      </c>
      <c r="D918" s="16" t="inlineStr">
        <is>
          <t>Unit</t>
        </is>
      </c>
      <c r="E918" s="17" t="inlineStr">
        <is>
          <t>SupportDeskHandoverTest</t>
        </is>
      </c>
      <c r="F918" s="17" t="inlineStr"/>
      <c r="G918" s="17" t="inlineStr">
        <is>
          <t>chuyen phieu dang cho cung duoc</t>
        </is>
      </c>
      <c r="H918" s="17" t="inlineStr">
        <is>
          <t>chuyen_phieu_dang_cho_cung_duoc</t>
        </is>
      </c>
      <c r="I918" s="16" t="inlineStr">
        <is>
          <t>Đạt</t>
        </is>
      </c>
      <c r="J918" s="16" t="n">
        <v>0.002</v>
      </c>
    </row>
    <row r="919">
      <c r="A919" s="16" t="n">
        <v>915</v>
      </c>
      <c r="B919" s="16" t="inlineStr">
        <is>
          <t>Backend</t>
        </is>
      </c>
      <c r="C919" s="17" t="inlineStr">
        <is>
          <t>ai-chatbox-service</t>
        </is>
      </c>
      <c r="D919" s="16" t="inlineStr">
        <is>
          <t>Unit</t>
        </is>
      </c>
      <c r="E919" s="17" t="inlineStr">
        <is>
          <t>SupportDeskHandoverTest</t>
        </is>
      </c>
      <c r="F919" s="17" t="inlineStr"/>
      <c r="G919" s="17" t="inlineStr">
        <is>
          <t>chuyen cho chinh nguoi dang giu tra nguyen</t>
        </is>
      </c>
      <c r="H919" s="17" t="inlineStr">
        <is>
          <t>chuyen_cho_chinh_nguoi_dang_giu_tra_nguyen</t>
        </is>
      </c>
      <c r="I919" s="16" t="inlineStr">
        <is>
          <t>Đạt</t>
        </is>
      </c>
      <c r="J919" s="16" t="n">
        <v>0.003</v>
      </c>
    </row>
    <row r="920">
      <c r="A920" s="16" t="n">
        <v>916</v>
      </c>
      <c r="B920" s="16" t="inlineStr">
        <is>
          <t>Backend</t>
        </is>
      </c>
      <c r="C920" s="17" t="inlineStr">
        <is>
          <t>ai-chatbox-service</t>
        </is>
      </c>
      <c r="D920" s="16" t="inlineStr">
        <is>
          <t>Unit</t>
        </is>
      </c>
      <c r="E920" s="17" t="inlineStr">
        <is>
          <t>SupportDeskPagingTest</t>
        </is>
      </c>
      <c r="F920" s="17" t="inlineStr"/>
      <c r="G920" s="17" t="inlineStr">
        <is>
          <t>trang hop le tinh offset dung va trang am thanh 0</t>
        </is>
      </c>
      <c r="H920" s="17" t="inlineStr">
        <is>
          <t>trang_hop_le_tinh_offset_dung_va_trang_am_thanh_0</t>
        </is>
      </c>
      <c r="I920" s="16" t="inlineStr">
        <is>
          <t>Đạt</t>
        </is>
      </c>
      <c r="J920" s="16" t="n">
        <v>0.055</v>
      </c>
    </row>
    <row r="921">
      <c r="A921" s="16" t="n">
        <v>917</v>
      </c>
      <c r="B921" s="16" t="inlineStr">
        <is>
          <t>Backend</t>
        </is>
      </c>
      <c r="C921" s="17" t="inlineStr">
        <is>
          <t>ai-chatbox-service</t>
        </is>
      </c>
      <c r="D921" s="16" t="inlineStr">
        <is>
          <t>Unit</t>
        </is>
      </c>
      <c r="E921" s="17" t="inlineStr">
        <is>
          <t>SupportDeskPagingTest</t>
        </is>
      </c>
      <c r="F921" s="17" t="inlineStr"/>
      <c r="G921" s="17" t="inlineStr">
        <is>
          <t>offset nhan bang long khong tran</t>
        </is>
      </c>
      <c r="H921" s="17" t="inlineStr">
        <is>
          <t>offset_nhan_bang_long_khong_tran</t>
        </is>
      </c>
      <c r="I921" s="16" t="inlineStr">
        <is>
          <t>Đạt</t>
        </is>
      </c>
      <c r="J921" s="16" t="n">
        <v>0.002</v>
      </c>
    </row>
    <row r="922">
      <c r="A922" s="16" t="n">
        <v>918</v>
      </c>
      <c r="B922" s="16" t="inlineStr">
        <is>
          <t>Backend</t>
        </is>
      </c>
      <c r="C922" s="17" t="inlineStr">
        <is>
          <t>ai-chatbox-service</t>
        </is>
      </c>
      <c r="D922" s="16" t="inlineStr">
        <is>
          <t>Unit</t>
        </is>
      </c>
      <c r="E922" s="17" t="inlineStr">
        <is>
          <t>SupportDeskPagingTest</t>
        </is>
      </c>
      <c r="F922" s="17" t="inlineStr"/>
      <c r="G922" s="17" t="inlineStr">
        <is>
          <t>danh sach tri thuc van chay voi trang hop le</t>
        </is>
      </c>
      <c r="H922" s="17" t="inlineStr">
        <is>
          <t>danh_sach_tri_thuc_van_chay_voi_trang_hop_le</t>
        </is>
      </c>
      <c r="I922" s="16" t="inlineStr">
        <is>
          <t>Đạt</t>
        </is>
      </c>
      <c r="J922" s="16" t="n">
        <v>0.03</v>
      </c>
    </row>
    <row r="923">
      <c r="A923" s="16" t="n">
        <v>919</v>
      </c>
      <c r="B923" s="16" t="inlineStr">
        <is>
          <t>Backend</t>
        </is>
      </c>
      <c r="C923" s="17" t="inlineStr">
        <is>
          <t>ai-chatbox-service</t>
        </is>
      </c>
      <c r="D923" s="16" t="inlineStr">
        <is>
          <t>Unit</t>
        </is>
      </c>
      <c r="E923" s="17" t="inlineStr">
        <is>
          <t>SupportDeskPagingTest</t>
        </is>
      </c>
      <c r="F923" s="17" t="inlineStr"/>
      <c r="G923" s="17" t="inlineStr">
        <is>
          <t>trang qua lon tra 400 khong 500</t>
        </is>
      </c>
      <c r="H923" s="17" t="inlineStr">
        <is>
          <t>trang_qua_lon_tra_400_khong_500</t>
        </is>
      </c>
      <c r="I923" s="16" t="inlineStr">
        <is>
          <t>Đạt</t>
        </is>
      </c>
      <c r="J923" s="16" t="n">
        <v>0.031</v>
      </c>
    </row>
    <row r="924">
      <c r="A924" s="16" t="n">
        <v>920</v>
      </c>
      <c r="B924" s="16" t="inlineStr">
        <is>
          <t>Backend</t>
        </is>
      </c>
      <c r="C924" s="17" t="inlineStr">
        <is>
          <t>analytics-service</t>
        </is>
      </c>
      <c r="D924" s="16" t="inlineStr">
        <is>
          <t>Unit</t>
        </is>
      </c>
      <c r="E924" s="17" t="inlineStr">
        <is>
          <t>SalesApplicationTest › Apply</t>
        </is>
      </c>
      <c r="F924" s="17" t="inlineStr">
        <is>
          <t>ApplySalesDeltaHandler</t>
        </is>
      </c>
      <c r="G924" s="17" t="inlineStr">
        <is>
          <t>lần đầu: chuyển nguyên delta cho read model và trả true</t>
        </is>
      </c>
      <c r="H924" s="17" t="inlineStr">
        <is>
          <t>lan_dau</t>
        </is>
      </c>
      <c r="I924" s="16" t="inlineStr">
        <is>
          <t>Đạt</t>
        </is>
      </c>
      <c r="J924" s="16" t="n">
        <v>0.005</v>
      </c>
    </row>
    <row r="925">
      <c r="A925" s="16" t="n">
        <v>921</v>
      </c>
      <c r="B925" s="16" t="inlineStr">
        <is>
          <t>Backend</t>
        </is>
      </c>
      <c r="C925" s="17" t="inlineStr">
        <is>
          <t>analytics-service</t>
        </is>
      </c>
      <c r="D925" s="16" t="inlineStr">
        <is>
          <t>Unit</t>
        </is>
      </c>
      <c r="E925" s="17" t="inlineStr">
        <is>
          <t>SalesApplicationTest › Apply</t>
        </is>
      </c>
      <c r="F925" s="17" t="inlineStr">
        <is>
          <t>ApplySalesDeltaHandler</t>
        </is>
      </c>
      <c r="G925" s="17" t="inlineStr">
        <is>
          <t>trùng: trả false, không ném</t>
        </is>
      </c>
      <c r="H925" s="17" t="inlineStr">
        <is>
          <t>trung</t>
        </is>
      </c>
      <c r="I925" s="16" t="inlineStr">
        <is>
          <t>Đạt</t>
        </is>
      </c>
      <c r="J925" s="16" t="n">
        <v>0.002</v>
      </c>
    </row>
    <row r="926">
      <c r="A926" s="16" t="n">
        <v>922</v>
      </c>
      <c r="B926" s="16" t="inlineStr">
        <is>
          <t>Backend</t>
        </is>
      </c>
      <c r="C926" s="17" t="inlineStr">
        <is>
          <t>analytics-service</t>
        </is>
      </c>
      <c r="D926" s="16" t="inlineStr">
        <is>
          <t>Unit</t>
        </is>
      </c>
      <c r="E926" s="17" t="inlineStr">
        <is>
          <t>SalesApplicationTest › Delta</t>
        </is>
      </c>
      <c r="F926" s="17" t="inlineStr">
        <is>
          <t>SalesDelta</t>
        </is>
      </c>
      <c r="G926" s="17" t="inlineStr">
        <is>
          <t>orderExpired và orderCancelled: chỉ đếm đơn, không đụng tới vé và tiền</t>
        </is>
      </c>
      <c r="H926" s="17" t="inlineStr">
        <is>
          <t>expired_cancelled</t>
        </is>
      </c>
      <c r="I926" s="16" t="inlineStr">
        <is>
          <t>Đạt</t>
        </is>
      </c>
      <c r="J926" s="16" t="n">
        <v>0.004</v>
      </c>
    </row>
    <row r="927">
      <c r="A927" s="16" t="n">
        <v>923</v>
      </c>
      <c r="B927" s="16" t="inlineStr">
        <is>
          <t>Backend</t>
        </is>
      </c>
      <c r="C927" s="17" t="inlineStr">
        <is>
          <t>analytics-service</t>
        </is>
      </c>
      <c r="D927" s="16" t="inlineStr">
        <is>
          <t>Unit</t>
        </is>
      </c>
      <c r="E927" s="17" t="inlineStr">
        <is>
          <t>SalesApplicationTest › Delta</t>
        </is>
      </c>
      <c r="F927" s="17" t="inlineStr">
        <is>
          <t>SalesDelta</t>
        </is>
      </c>
      <c r="G927" s="17" t="inlineStr">
        <is>
          <t>delta không có trường hoa hồng — ranh giới ADR-1010</t>
        </is>
      </c>
      <c r="H927" s="17" t="inlineStr">
        <is>
          <t>khong_co_truong_hoa_hong</t>
        </is>
      </c>
      <c r="I927" s="16" t="inlineStr">
        <is>
          <t>Đạt</t>
        </is>
      </c>
      <c r="J927" s="16" t="n">
        <v>0.015</v>
      </c>
    </row>
    <row r="928">
      <c r="A928" s="16" t="n">
        <v>924</v>
      </c>
      <c r="B928" s="16" t="inlineStr">
        <is>
          <t>Backend</t>
        </is>
      </c>
      <c r="C928" s="17" t="inlineStr">
        <is>
          <t>analytics-service</t>
        </is>
      </c>
      <c r="D928" s="16" t="inlineStr">
        <is>
          <t>Unit</t>
        </is>
      </c>
      <c r="E928" s="17" t="inlineStr">
        <is>
          <t>SalesApplicationTest › Delta</t>
        </is>
      </c>
      <c r="F928" s="17" t="inlineStr">
        <is>
          <t>SalesDelta</t>
        </is>
      </c>
      <c r="G928" s="17" t="inlineStr">
        <is>
          <t>orderPaid: cộng vé và tiền, đúng một đơn đã trả</t>
        </is>
      </c>
      <c r="H928" s="17" t="inlineStr">
        <is>
          <t>order_paid</t>
        </is>
      </c>
      <c r="I928" s="16" t="inlineStr">
        <is>
          <t>Đạt</t>
        </is>
      </c>
      <c r="J928" s="16" t="n">
        <v>0</v>
      </c>
    </row>
    <row r="929">
      <c r="A929" s="16" t="n">
        <v>925</v>
      </c>
      <c r="B929" s="16" t="inlineStr">
        <is>
          <t>Backend</t>
        </is>
      </c>
      <c r="C929" s="17" t="inlineStr">
        <is>
          <t>analytics-service</t>
        </is>
      </c>
      <c r="D929" s="16" t="inlineStr">
        <is>
          <t>Unit</t>
        </is>
      </c>
      <c r="E929" s="17" t="inlineStr">
        <is>
          <t>SalesApplicationTest › Delta</t>
        </is>
      </c>
      <c r="F929" s="17" t="inlineStr">
        <is>
          <t>SalesDelta</t>
        </is>
      </c>
      <c r="G929" s="17" t="inlineStr">
        <is>
          <t>refunded là ĐỐI của orderPaid: cộng hai delta lại ra 0 ở mọi trường</t>
        </is>
      </c>
      <c r="H929" s="17" t="inlineStr">
        <is>
          <t>refunded_la_doi_cua_paid</t>
        </is>
      </c>
      <c r="I929" s="16" t="inlineStr">
        <is>
          <t>Đạt</t>
        </is>
      </c>
      <c r="J929" s="16" t="n">
        <v>0.001</v>
      </c>
    </row>
    <row r="930">
      <c r="A930" s="16" t="n">
        <v>926</v>
      </c>
      <c r="B930" s="16" t="inlineStr">
        <is>
          <t>Backend</t>
        </is>
      </c>
      <c r="C930" s="17" t="inlineStr">
        <is>
          <t>analytics-service</t>
        </is>
      </c>
      <c r="D930" s="16" t="inlineStr">
        <is>
          <t>Unit</t>
        </is>
      </c>
      <c r="E930" s="17" t="inlineStr">
        <is>
          <t>SalesApplicationTest › Queries</t>
        </is>
      </c>
      <c r="F930" s="17" t="inlineStr">
        <is>
          <t>SalesQueries</t>
        </is>
      </c>
      <c r="G930" s="17" t="inlineStr">
        <is>
          <t>forEvent: ánh xạ từng suất, không cộng dồn</t>
        </is>
      </c>
      <c r="H930" s="17" t="inlineStr">
        <is>
          <t>theo_su_kien</t>
        </is>
      </c>
      <c r="I930" s="16" t="inlineStr">
        <is>
          <t>Đạt</t>
        </is>
      </c>
      <c r="J930" s="16" t="n">
        <v>0.5669999999999999</v>
      </c>
    </row>
    <row r="931">
      <c r="A931" s="16" t="n">
        <v>927</v>
      </c>
      <c r="B931" s="16" t="inlineStr">
        <is>
          <t>Backend</t>
        </is>
      </c>
      <c r="C931" s="17" t="inlineStr">
        <is>
          <t>analytics-service</t>
        </is>
      </c>
      <c r="D931" s="16" t="inlineStr">
        <is>
          <t>Unit</t>
        </is>
      </c>
      <c r="E931" s="17" t="inlineStr">
        <is>
          <t>SalesApplicationTest › Queries</t>
        </is>
      </c>
      <c r="F931" s="17" t="inlineStr">
        <is>
          <t>SalesQueries</t>
        </is>
      </c>
      <c r="G931" s="17" t="inlineStr">
        <is>
          <t>forOrganization: cộng vé và tiền của mọi suất; giữ nguyên từng suất</t>
        </is>
      </c>
      <c r="H931" s="17" t="inlineStr">
        <is>
          <t>tong_to_chuc</t>
        </is>
      </c>
      <c r="I931" s="16" t="inlineStr">
        <is>
          <t>Đạt</t>
        </is>
      </c>
      <c r="J931" s="16" t="n">
        <v>0.029</v>
      </c>
    </row>
    <row r="932">
      <c r="A932" s="16" t="n">
        <v>928</v>
      </c>
      <c r="B932" s="16" t="inlineStr">
        <is>
          <t>Backend</t>
        </is>
      </c>
      <c r="C932" s="17" t="inlineStr">
        <is>
          <t>analytics-service</t>
        </is>
      </c>
      <c r="D932" s="16" t="inlineStr">
        <is>
          <t>Unit</t>
        </is>
      </c>
      <c r="E932" s="17" t="inlineStr">
        <is>
          <t>SalesApplicationTest › Queries</t>
        </is>
      </c>
      <c r="F932" s="17" t="inlineStr">
        <is>
          <t>SalesQueries</t>
        </is>
      </c>
      <c r="G932" s="17" t="inlineStr">
        <is>
          <t>trending: giữ thứ tự repository trả về</t>
        </is>
      </c>
      <c r="H932" s="17" t="inlineStr">
        <is>
          <t>trending_giu_thu_tu</t>
        </is>
      </c>
      <c r="I932" s="16" t="inlineStr">
        <is>
          <t>Đạt</t>
        </is>
      </c>
      <c r="J932" s="16" t="n">
        <v>0.014</v>
      </c>
    </row>
    <row r="933">
      <c r="A933" s="16" t="n">
        <v>929</v>
      </c>
      <c r="B933" s="16" t="inlineStr">
        <is>
          <t>Backend</t>
        </is>
      </c>
      <c r="C933" s="17" t="inlineStr">
        <is>
          <t>analytics-service</t>
        </is>
      </c>
      <c r="D933" s="16" t="inlineStr">
        <is>
          <t>Unit</t>
        </is>
      </c>
      <c r="E933" s="17" t="inlineStr">
        <is>
          <t>SalesApplicationTest › Queries</t>
        </is>
      </c>
      <c r="F933" s="17" t="inlineStr">
        <is>
          <t>SalesQueries</t>
        </is>
      </c>
      <c r="G933" s="17" t="inlineStr">
        <is>
          <t>tổ chức chưa bán gì: tổng bằng 0 và danh sách rỗng</t>
        </is>
      </c>
      <c r="H933" s="17" t="inlineStr">
        <is>
          <t>chua_ban_gi</t>
        </is>
      </c>
      <c r="I933" s="16" t="inlineStr">
        <is>
          <t>Đạt</t>
        </is>
      </c>
      <c r="J933" s="16" t="n">
        <v>0.005</v>
      </c>
    </row>
    <row r="934">
      <c r="A934" s="16" t="n">
        <v>930</v>
      </c>
      <c r="B934" s="16" t="inlineStr">
        <is>
          <t>Backend</t>
        </is>
      </c>
      <c r="C934" s="17" t="inlineStr">
        <is>
          <t>analytics-service</t>
        </is>
      </c>
      <c r="D934" s="16" t="inlineStr">
        <is>
          <t>Unit</t>
        </is>
      </c>
      <c r="E934" s="17" t="inlineStr">
        <is>
          <t>SalesApplicationTest › Queries</t>
        </is>
      </c>
      <c r="F934" s="17" t="inlineStr">
        <is>
          <t>SalesQueries</t>
        </is>
      </c>
      <c r="G934" s="17" t="inlineStr">
        <is>
          <t>trending: kẹp limit vào [1, 24] trước khi chạm database</t>
        </is>
      </c>
      <c r="H934" s="17" t="inlineStr">
        <is>
          <t>trending_kep_limit(int, int)[1]</t>
        </is>
      </c>
      <c r="I934" s="16" t="inlineStr">
        <is>
          <t>Đạt</t>
        </is>
      </c>
      <c r="J934" s="16" t="n">
        <v>0.046</v>
      </c>
    </row>
    <row r="935">
      <c r="A935" s="16" t="n">
        <v>931</v>
      </c>
      <c r="B935" s="16" t="inlineStr">
        <is>
          <t>Backend</t>
        </is>
      </c>
      <c r="C935" s="17" t="inlineStr">
        <is>
          <t>analytics-service</t>
        </is>
      </c>
      <c r="D935" s="16" t="inlineStr">
        <is>
          <t>Unit</t>
        </is>
      </c>
      <c r="E935" s="17" t="inlineStr">
        <is>
          <t>SalesApplicationTest › Queries</t>
        </is>
      </c>
      <c r="F935" s="17" t="inlineStr">
        <is>
          <t>SalesQueries</t>
        </is>
      </c>
      <c r="G935" s="17" t="inlineStr">
        <is>
          <t>trending: kẹp limit vào [1, 24] trước khi chạm database</t>
        </is>
      </c>
      <c r="H935" s="17" t="inlineStr">
        <is>
          <t>trending_kep_limit(int, int)[2]</t>
        </is>
      </c>
      <c r="I935" s="16" t="inlineStr">
        <is>
          <t>Đạt</t>
        </is>
      </c>
      <c r="J935" s="16" t="n">
        <v>0.001</v>
      </c>
    </row>
    <row r="936">
      <c r="A936" s="16" t="n">
        <v>932</v>
      </c>
      <c r="B936" s="16" t="inlineStr">
        <is>
          <t>Backend</t>
        </is>
      </c>
      <c r="C936" s="17" t="inlineStr">
        <is>
          <t>analytics-service</t>
        </is>
      </c>
      <c r="D936" s="16" t="inlineStr">
        <is>
          <t>Unit</t>
        </is>
      </c>
      <c r="E936" s="17" t="inlineStr">
        <is>
          <t>SalesApplicationTest › Queries</t>
        </is>
      </c>
      <c r="F936" s="17" t="inlineStr">
        <is>
          <t>SalesQueries</t>
        </is>
      </c>
      <c r="G936" s="17" t="inlineStr">
        <is>
          <t>trending: kẹp limit vào [1, 24] trước khi chạm database</t>
        </is>
      </c>
      <c r="H936" s="17" t="inlineStr">
        <is>
          <t>trending_kep_limit(int, int)[3]</t>
        </is>
      </c>
      <c r="I936" s="16" t="inlineStr">
        <is>
          <t>Đạt</t>
        </is>
      </c>
      <c r="J936" s="16" t="n">
        <v>0.003</v>
      </c>
    </row>
    <row r="937">
      <c r="A937" s="16" t="n">
        <v>933</v>
      </c>
      <c r="B937" s="16" t="inlineStr">
        <is>
          <t>Backend</t>
        </is>
      </c>
      <c r="C937" s="17" t="inlineStr">
        <is>
          <t>analytics-service</t>
        </is>
      </c>
      <c r="D937" s="16" t="inlineStr">
        <is>
          <t>Unit</t>
        </is>
      </c>
      <c r="E937" s="17" t="inlineStr">
        <is>
          <t>SalesApplicationTest › Queries</t>
        </is>
      </c>
      <c r="F937" s="17" t="inlineStr">
        <is>
          <t>SalesQueries</t>
        </is>
      </c>
      <c r="G937" s="17" t="inlineStr">
        <is>
          <t>trending: kẹp limit vào [1, 24] trước khi chạm database</t>
        </is>
      </c>
      <c r="H937" s="17" t="inlineStr">
        <is>
          <t>trending_kep_limit(int, int)[4]</t>
        </is>
      </c>
      <c r="I937" s="16" t="inlineStr">
        <is>
          <t>Đạt</t>
        </is>
      </c>
      <c r="J937" s="16" t="n">
        <v>0.003</v>
      </c>
    </row>
    <row r="938">
      <c r="A938" s="16" t="n">
        <v>934</v>
      </c>
      <c r="B938" s="16" t="inlineStr">
        <is>
          <t>Backend</t>
        </is>
      </c>
      <c r="C938" s="17" t="inlineStr">
        <is>
          <t>analytics-service</t>
        </is>
      </c>
      <c r="D938" s="16" t="inlineStr">
        <is>
          <t>Unit</t>
        </is>
      </c>
      <c r="E938" s="17" t="inlineStr">
        <is>
          <t>SalesApplicationTest › Queries</t>
        </is>
      </c>
      <c r="F938" s="17" t="inlineStr">
        <is>
          <t>SalesQueries</t>
        </is>
      </c>
      <c r="G938" s="17" t="inlineStr">
        <is>
          <t>trending: kẹp limit vào [1, 24] trước khi chạm database</t>
        </is>
      </c>
      <c r="H938" s="17" t="inlineStr">
        <is>
          <t>trending_kep_limit(int, int)[5]</t>
        </is>
      </c>
      <c r="I938" s="16" t="inlineStr">
        <is>
          <t>Đạt</t>
        </is>
      </c>
      <c r="J938" s="16" t="n">
        <v>0.002</v>
      </c>
    </row>
    <row r="939">
      <c r="A939" s="16" t="n">
        <v>935</v>
      </c>
      <c r="B939" s="16" t="inlineStr">
        <is>
          <t>Backend</t>
        </is>
      </c>
      <c r="C939" s="17" t="inlineStr">
        <is>
          <t>analytics-service</t>
        </is>
      </c>
      <c r="D939" s="16" t="inlineStr">
        <is>
          <t>Unit</t>
        </is>
      </c>
      <c r="E939" s="17" t="inlineStr">
        <is>
          <t>SalesApplicationTest › Queries</t>
        </is>
      </c>
      <c r="F939" s="17" t="inlineStr">
        <is>
          <t>SalesQueries</t>
        </is>
      </c>
      <c r="G939" s="17" t="inlineStr">
        <is>
          <t>trending: kẹp limit vào [1, 24] trước khi chạm database</t>
        </is>
      </c>
      <c r="H939" s="17" t="inlineStr">
        <is>
          <t>trending_kep_limit(int, int)[6]</t>
        </is>
      </c>
      <c r="I939" s="16" t="inlineStr">
        <is>
          <t>Đạt</t>
        </is>
      </c>
      <c r="J939" s="16" t="n">
        <v>0.002</v>
      </c>
    </row>
    <row r="940">
      <c r="A940" s="16" t="n">
        <v>936</v>
      </c>
      <c r="B940" s="16" t="inlineStr">
        <is>
          <t>Backend</t>
        </is>
      </c>
      <c r="C940" s="17" t="inlineStr">
        <is>
          <t>analytics-service</t>
        </is>
      </c>
      <c r="D940" s="16" t="inlineStr">
        <is>
          <t>Unit</t>
        </is>
      </c>
      <c r="E940" s="17" t="inlineStr">
        <is>
          <t>SalesApplicationTest › Queries</t>
        </is>
      </c>
      <c r="F940" s="17" t="inlineStr">
        <is>
          <t>SalesQueries</t>
        </is>
      </c>
      <c r="G940" s="17" t="inlineStr">
        <is>
          <t>trending: kẹp limit vào [1, 24] trước khi chạm database</t>
        </is>
      </c>
      <c r="H940" s="17" t="inlineStr">
        <is>
          <t>trending_kep_limit(int, int)[7]</t>
        </is>
      </c>
      <c r="I940" s="16" t="inlineStr">
        <is>
          <t>Đạt</t>
        </is>
      </c>
      <c r="J940" s="16" t="n">
        <v>0.004</v>
      </c>
    </row>
    <row r="941">
      <c r="A941" s="16" t="n">
        <v>937</v>
      </c>
      <c r="B941" s="16" t="inlineStr">
        <is>
          <t>Backend</t>
        </is>
      </c>
      <c r="C941" s="17" t="inlineStr">
        <is>
          <t>analytics-service</t>
        </is>
      </c>
      <c r="D941" s="16" t="inlineStr">
        <is>
          <t>Unit</t>
        </is>
      </c>
      <c r="E941" s="17" t="inlineStr">
        <is>
          <t>SalesApplicationTest › Queries</t>
        </is>
      </c>
      <c r="F941" s="17" t="inlineStr">
        <is>
          <t>SalesQueries</t>
        </is>
      </c>
      <c r="G941" s="17" t="inlineStr">
        <is>
          <t>trending: kẹp limit vào [1, 24] trước khi chạm database</t>
        </is>
      </c>
      <c r="H941" s="17" t="inlineStr">
        <is>
          <t>trending_kep_limit(int, int)[8]</t>
        </is>
      </c>
      <c r="I941" s="16" t="inlineStr">
        <is>
          <t>Đạt</t>
        </is>
      </c>
      <c r="J941" s="16" t="n">
        <v>0.002</v>
      </c>
    </row>
    <row r="942">
      <c r="A942" s="16" t="n">
        <v>938</v>
      </c>
      <c r="B942" s="16" t="inlineStr">
        <is>
          <t>Backend</t>
        </is>
      </c>
      <c r="C942" s="17" t="inlineStr">
        <is>
          <t>analytics-service</t>
        </is>
      </c>
      <c r="D942" s="16" t="inlineStr">
        <is>
          <t>Unit</t>
        </is>
      </c>
      <c r="E942" s="17" t="inlineStr">
        <is>
          <t>SalesApplicationTest › Queries</t>
        </is>
      </c>
      <c r="F942" s="17" t="inlineStr">
        <is>
          <t>SalesQueries</t>
        </is>
      </c>
      <c r="G942" s="17" t="inlineStr">
        <is>
          <t>tổng tiền cộng bằng long: vài tỷ đồng không tràn int</t>
        </is>
      </c>
      <c r="H942" s="17" t="inlineStr">
        <is>
          <t>tong_tien_khong_tran_int</t>
        </is>
      </c>
      <c r="I942" s="16" t="inlineStr">
        <is>
          <t>Đạt</t>
        </is>
      </c>
      <c r="J942" s="16" t="n">
        <v>0.001</v>
      </c>
    </row>
    <row r="943">
      <c r="A943" s="16" t="n">
        <v>939</v>
      </c>
      <c r="B943" s="16" t="inlineStr">
        <is>
          <t>Backend</t>
        </is>
      </c>
      <c r="C943" s="17" t="inlineStr">
        <is>
          <t>analytics-service</t>
        </is>
      </c>
      <c r="D943" s="16" t="inlineStr">
        <is>
          <t>ArchUnit</t>
        </is>
      </c>
      <c r="E943" s="17" t="inlineStr">
        <is>
          <t>ArchitectureTest</t>
        </is>
      </c>
      <c r="F943" s="17" t="inlineStr"/>
      <c r="G943" s="17" t="inlineStr">
        <is>
          <t>domain thuan nghiep vu</t>
        </is>
      </c>
      <c r="H943" s="17" t="inlineStr">
        <is>
          <t>domain_thuan_nghiep_vu</t>
        </is>
      </c>
      <c r="I943" s="16" t="inlineStr">
        <is>
          <t>Đạt</t>
        </is>
      </c>
      <c r="J943" s="16" t="n">
        <v>2.93</v>
      </c>
    </row>
    <row r="944">
      <c r="A944" s="16" t="n">
        <v>940</v>
      </c>
      <c r="B944" s="16" t="inlineStr">
        <is>
          <t>Backend</t>
        </is>
      </c>
      <c r="C944" s="17" t="inlineStr">
        <is>
          <t>analytics-service</t>
        </is>
      </c>
      <c r="D944" s="16" t="inlineStr">
        <is>
          <t>ArchUnit</t>
        </is>
      </c>
      <c r="E944" s="17" t="inlineStr">
        <is>
          <t>ArchitectureTest</t>
        </is>
      </c>
      <c r="F944" s="17" t="inlineStr"/>
      <c r="G944" s="17" t="inlineStr">
        <is>
          <t>chieu phu thuoc hexagonal</t>
        </is>
      </c>
      <c r="H944" s="17" t="inlineStr">
        <is>
          <t>chieu_phu_thuoc_hexagonal</t>
        </is>
      </c>
      <c r="I944" s="16" t="inlineStr">
        <is>
          <t>Đạt</t>
        </is>
      </c>
      <c r="J944" s="16" t="n">
        <v>0.232</v>
      </c>
    </row>
    <row r="945">
      <c r="A945" s="16" t="n">
        <v>941</v>
      </c>
      <c r="B945" s="16" t="inlineStr">
        <is>
          <t>Backend</t>
        </is>
      </c>
      <c r="C945" s="17" t="inlineStr">
        <is>
          <t>analytics-service</t>
        </is>
      </c>
      <c r="D945" s="16" t="inlineStr">
        <is>
          <t>ArchUnit</t>
        </is>
      </c>
      <c r="E945" s="17" t="inlineStr">
        <is>
          <t>ArchitectureTest</t>
        </is>
      </c>
      <c r="F945" s="17" t="inlineStr"/>
      <c r="G945" s="17" t="inlineStr">
        <is>
          <t>khong import cheo context</t>
        </is>
      </c>
      <c r="H945" s="17" t="inlineStr">
        <is>
          <t>khong_import_cheo_context</t>
        </is>
      </c>
      <c r="I945" s="16" t="inlineStr">
        <is>
          <t>Đạt</t>
        </is>
      </c>
      <c r="J945" s="16" t="n">
        <v>0.006</v>
      </c>
    </row>
    <row r="946">
      <c r="A946" s="16" t="n">
        <v>942</v>
      </c>
      <c r="B946" s="16" t="inlineStr">
        <is>
          <t>Backend</t>
        </is>
      </c>
      <c r="C946" s="17" t="inlineStr">
        <is>
          <t>analytics-service</t>
        </is>
      </c>
      <c r="D946" s="16" t="inlineStr">
        <is>
          <t>Unit</t>
        </is>
      </c>
      <c r="E946" s="17" t="inlineStr">
        <is>
          <t>OrderEventsListenerTest</t>
        </is>
      </c>
      <c r="F946" s="17" t="inlineStr"/>
      <c r="G946" s="17" t="inlineStr">
        <is>
          <t>order.refunded: trừ ngược vé và tiền</t>
        </is>
      </c>
      <c r="H946" s="17" t="inlineStr">
        <is>
          <t>order_refunded</t>
        </is>
      </c>
      <c r="I946" s="16" t="inlineStr">
        <is>
          <t>Đạt</t>
        </is>
      </c>
      <c r="J946" s="16" t="n">
        <v>0.066</v>
      </c>
    </row>
    <row r="947">
      <c r="A947" s="16" t="n">
        <v>943</v>
      </c>
      <c r="B947" s="16" t="inlineStr">
        <is>
          <t>Backend</t>
        </is>
      </c>
      <c r="C947" s="17" t="inlineStr">
        <is>
          <t>analytics-service</t>
        </is>
      </c>
      <c r="D947" s="16" t="inlineStr">
        <is>
          <t>Unit</t>
        </is>
      </c>
      <c r="E947" s="17" t="inlineStr">
        <is>
          <t>OrderEventsListenerTest</t>
        </is>
      </c>
      <c r="F947" s="17" t="inlineStr"/>
      <c r="G947" s="17" t="inlineStr">
        <is>
          <t>order.created và loại không biết: bỏ qua, không đụng read model</t>
        </is>
      </c>
      <c r="H947" s="17" t="inlineStr">
        <is>
          <t>loai_khong_dong_gop</t>
        </is>
      </c>
      <c r="I947" s="16" t="inlineStr">
        <is>
          <t>Đạt</t>
        </is>
      </c>
      <c r="J947" s="16" t="n">
        <v>0.003</v>
      </c>
    </row>
    <row r="948">
      <c r="A948" s="16" t="n">
        <v>944</v>
      </c>
      <c r="B948" s="16" t="inlineStr">
        <is>
          <t>Backend</t>
        </is>
      </c>
      <c r="C948" s="17" t="inlineStr">
        <is>
          <t>analytics-service</t>
        </is>
      </c>
      <c r="D948" s="16" t="inlineStr">
        <is>
          <t>Unit</t>
        </is>
      </c>
      <c r="E948" s="17" t="inlineStr">
        <is>
          <t>OrderEventsListenerTest</t>
        </is>
      </c>
      <c r="F948" s="17" t="inlineStr"/>
      <c r="G948" s="17" t="inlineStr">
        <is>
          <t>order.expired và order.cancelled: chỉ đếm đơn</t>
        </is>
      </c>
      <c r="H948" s="17" t="inlineStr">
        <is>
          <t>expired_cancelled</t>
        </is>
      </c>
      <c r="I948" s="16" t="inlineStr">
        <is>
          <t>Đạt</t>
        </is>
      </c>
      <c r="J948" s="16" t="n">
        <v>0.005</v>
      </c>
    </row>
    <row r="949">
      <c r="A949" s="16" t="n">
        <v>945</v>
      </c>
      <c r="B949" s="16" t="inlineStr">
        <is>
          <t>Backend</t>
        </is>
      </c>
      <c r="C949" s="17" t="inlineStr">
        <is>
          <t>analytics-service</t>
        </is>
      </c>
      <c r="D949" s="16" t="inlineStr">
        <is>
          <t>Unit</t>
        </is>
      </c>
      <c r="E949" s="17" t="inlineStr">
        <is>
          <t>OrderEventsListenerTest</t>
        </is>
      </c>
      <c r="F949" s="17" t="inlineStr"/>
      <c r="G949" s="17" t="inlineStr">
        <is>
          <t>message hỏng (không messageId, không phải JSON): bỏ qua, không ném</t>
        </is>
      </c>
      <c r="H949" s="17" t="inlineStr">
        <is>
          <t>message_hong</t>
        </is>
      </c>
      <c r="I949" s="16" t="inlineStr">
        <is>
          <t>Đạt</t>
        </is>
      </c>
      <c r="J949" s="16" t="n">
        <v>0.008999999999999999</v>
      </c>
    </row>
    <row r="950">
      <c r="A950" s="16" t="n">
        <v>946</v>
      </c>
      <c r="B950" s="16" t="inlineStr">
        <is>
          <t>Backend</t>
        </is>
      </c>
      <c r="C950" s="17" t="inlineStr">
        <is>
          <t>analytics-service</t>
        </is>
      </c>
      <c r="D950" s="16" t="inlineStr">
        <is>
          <t>Unit</t>
        </is>
      </c>
      <c r="E950" s="17" t="inlineStr">
        <is>
          <t>OrderEventsListenerTest</t>
        </is>
      </c>
      <c r="F950" s="17" t="inlineStr"/>
      <c r="G950" s="17" t="inlineStr">
        <is>
          <t>order.paid thiếu ticketCount/totalVnd: delta 0 thay vì ném</t>
        </is>
      </c>
      <c r="H950" s="17" t="inlineStr">
        <is>
          <t>paid_thieu_so</t>
        </is>
      </c>
      <c r="I950" s="16" t="inlineStr">
        <is>
          <t>Đạt</t>
        </is>
      </c>
      <c r="J950" s="16" t="n">
        <v>0.002</v>
      </c>
    </row>
    <row r="951">
      <c r="A951" s="16" t="n">
        <v>947</v>
      </c>
      <c r="B951" s="16" t="inlineStr">
        <is>
          <t>Backend</t>
        </is>
      </c>
      <c r="C951" s="17" t="inlineStr">
        <is>
          <t>analytics-service</t>
        </is>
      </c>
      <c r="D951" s="16" t="inlineStr">
        <is>
          <t>Unit</t>
        </is>
      </c>
      <c r="E951" s="17" t="inlineStr">
        <is>
          <t>OrderEventsListenerTest</t>
        </is>
      </c>
      <c r="F951" s="17" t="inlineStr"/>
      <c r="G951" s="17" t="inlineStr">
        <is>
          <t>order.paid: cộng số vé và tổng tiền trong payload</t>
        </is>
      </c>
      <c r="H951" s="17" t="inlineStr">
        <is>
          <t>order_paid</t>
        </is>
      </c>
      <c r="I951" s="16" t="inlineStr">
        <is>
          <t>Đạt</t>
        </is>
      </c>
      <c r="J951" s="16" t="n">
        <v>0.003</v>
      </c>
    </row>
    <row r="952">
      <c r="A952" s="16" t="n">
        <v>948</v>
      </c>
      <c r="B952" s="16" t="inlineStr">
        <is>
          <t>Backend</t>
        </is>
      </c>
      <c r="C952" s="17" t="inlineStr">
        <is>
          <t>analytics-service</t>
        </is>
      </c>
      <c r="D952" s="16" t="inlineStr">
        <is>
          <t>Unit</t>
        </is>
      </c>
      <c r="E952" s="17" t="inlineStr">
        <is>
          <t>OrderEventsListenerTest</t>
        </is>
      </c>
      <c r="F952" s="17" t="inlineStr"/>
      <c r="G952" s="17" t="inlineStr">
        <is>
          <t>thiếu một trong ba id (đơn cũ không có eventId) hoặc id sai khuôn: bỏ qua, không bịa dòng</t>
        </is>
      </c>
      <c r="H952" s="17" t="inlineStr">
        <is>
          <t>thieu_id</t>
        </is>
      </c>
      <c r="I952" s="16" t="inlineStr">
        <is>
          <t>Đạt</t>
        </is>
      </c>
      <c r="J952" s="16" t="n">
        <v>0.005</v>
      </c>
    </row>
    <row r="953">
      <c r="A953" s="16" t="n">
        <v>949</v>
      </c>
      <c r="B953" s="16" t="inlineStr">
        <is>
          <t>Backend</t>
        </is>
      </c>
      <c r="C953" s="17" t="inlineStr">
        <is>
          <t>analytics-service</t>
        </is>
      </c>
      <c r="D953" s="16" t="inlineStr">
        <is>
          <t>API slice</t>
        </is>
      </c>
      <c r="E953" s="17" t="inlineStr">
        <is>
          <t>InternalSalesControllerTest</t>
        </is>
      </c>
      <c r="F953" s="17" t="inlineStr"/>
      <c r="G953" s="17" t="inlineStr">
        <is>
          <t>JWT của người dùng KHÔNG thay được bí mật nội bộ</t>
        </is>
      </c>
      <c r="H953" s="17" t="inlineStr">
        <is>
          <t>jwt_khong_thay_duoc_bi_mat</t>
        </is>
      </c>
      <c r="I953" s="16" t="inlineStr">
        <is>
          <t>Đạt</t>
        </is>
      </c>
      <c r="J953" s="16" t="n">
        <v>0.144</v>
      </c>
    </row>
    <row r="954">
      <c r="A954" s="16" t="n">
        <v>950</v>
      </c>
      <c r="B954" s="16" t="inlineStr">
        <is>
          <t>Backend</t>
        </is>
      </c>
      <c r="C954" s="17" t="inlineStr">
        <is>
          <t>analytics-service</t>
        </is>
      </c>
      <c r="D954" s="16" t="inlineStr">
        <is>
          <t>API slice</t>
        </is>
      </c>
      <c r="E954" s="17" t="inlineStr">
        <is>
          <t>InternalSalesControllerTest</t>
        </is>
      </c>
      <c r="F954" s="17" t="inlineStr"/>
      <c r="G954" s="17" t="inlineStr">
        <is>
          <t>byEvent với token đúng: 200, tên field khớp hợp đồng với catalog</t>
        </is>
      </c>
      <c r="H954" s="17" t="inlineStr">
        <is>
          <t>theo_su_kien</t>
        </is>
      </c>
      <c r="I954" s="16" t="inlineStr">
        <is>
          <t>Đạt</t>
        </is>
      </c>
      <c r="J954" s="16" t="n">
        <v>0.214</v>
      </c>
    </row>
    <row r="955">
      <c r="A955" s="16" t="n">
        <v>951</v>
      </c>
      <c r="B955" s="16" t="inlineStr">
        <is>
          <t>Backend</t>
        </is>
      </c>
      <c r="C955" s="17" t="inlineStr">
        <is>
          <t>analytics-service</t>
        </is>
      </c>
      <c r="D955" s="16" t="inlineStr">
        <is>
          <t>API slice</t>
        </is>
      </c>
      <c r="E955" s="17" t="inlineStr">
        <is>
          <t>InternalSalesControllerTest</t>
        </is>
      </c>
      <c r="F955" s="17" t="inlineStr"/>
      <c r="G955" s="17" t="inlineStr">
        <is>
          <t>byOrganization: trả các suất của tổ chức, bỏ phần tổng</t>
        </is>
      </c>
      <c r="H955" s="17" t="inlineStr">
        <is>
          <t>theo_to_chuc</t>
        </is>
      </c>
      <c r="I955" s="16" t="inlineStr">
        <is>
          <t>Đạt</t>
        </is>
      </c>
      <c r="J955" s="16" t="n">
        <v>0.017</v>
      </c>
    </row>
    <row r="956">
      <c r="A956" s="16" t="n">
        <v>952</v>
      </c>
      <c r="B956" s="16" t="inlineStr">
        <is>
          <t>Backend</t>
        </is>
      </c>
      <c r="C956" s="17" t="inlineStr">
        <is>
          <t>analytics-service</t>
        </is>
      </c>
      <c r="D956" s="16" t="inlineStr">
        <is>
          <t>API slice</t>
        </is>
      </c>
      <c r="E956" s="17" t="inlineStr">
        <is>
          <t>InternalSalesControllerTest</t>
        </is>
      </c>
      <c r="F956" s="17" t="inlineStr"/>
      <c r="G956" s="17" t="inlineStr">
        <is>
          <t>token nội bộ sai: 404</t>
        </is>
      </c>
      <c r="H956" s="17" t="inlineStr">
        <is>
          <t>token_sai</t>
        </is>
      </c>
      <c r="I956" s="16" t="inlineStr">
        <is>
          <t>Đạt</t>
        </is>
      </c>
      <c r="J956" s="16" t="n">
        <v>0.004</v>
      </c>
    </row>
    <row r="957">
      <c r="A957" s="16" t="n">
        <v>953</v>
      </c>
      <c r="B957" s="16" t="inlineStr">
        <is>
          <t>Backend</t>
        </is>
      </c>
      <c r="C957" s="17" t="inlineStr">
        <is>
          <t>analytics-service</t>
        </is>
      </c>
      <c r="D957" s="16" t="inlineStr">
        <is>
          <t>API slice</t>
        </is>
      </c>
      <c r="E957" s="17" t="inlineStr">
        <is>
          <t>InternalSalesControllerTest</t>
        </is>
      </c>
      <c r="F957" s="17" t="inlineStr"/>
      <c r="G957" s="17" t="inlineStr">
        <is>
          <t>trending: mặc định limit 8, trả eventId và ticketsSold</t>
        </is>
      </c>
      <c r="H957" s="17" t="inlineStr">
        <is>
          <t>trending</t>
        </is>
      </c>
      <c r="I957" s="16" t="inlineStr">
        <is>
          <t>Đạt</t>
        </is>
      </c>
      <c r="J957" s="16" t="n">
        <v>0.018</v>
      </c>
    </row>
    <row r="958">
      <c r="A958" s="16" t="n">
        <v>954</v>
      </c>
      <c r="B958" s="16" t="inlineStr">
        <is>
          <t>Backend</t>
        </is>
      </c>
      <c r="C958" s="17" t="inlineStr">
        <is>
          <t>analytics-service</t>
        </is>
      </c>
      <c r="D958" s="16" t="inlineStr">
        <is>
          <t>API slice</t>
        </is>
      </c>
      <c r="E958" s="17" t="inlineStr">
        <is>
          <t>InternalSalesControllerTest</t>
        </is>
      </c>
      <c r="F958" s="17" t="inlineStr"/>
      <c r="G958" s="17" t="inlineStr">
        <is>
          <t>không có token nội bộ: 404 không thân, không chạm truy vấn</t>
        </is>
      </c>
      <c r="H958" s="17" t="inlineStr">
        <is>
          <t>khong_token</t>
        </is>
      </c>
      <c r="I958" s="16" t="inlineStr">
        <is>
          <t>Đạt</t>
        </is>
      </c>
      <c r="J958" s="16" t="n">
        <v>0.011</v>
      </c>
    </row>
    <row r="959">
      <c r="A959" s="16" t="n">
        <v>955</v>
      </c>
      <c r="B959" s="16" t="inlineStr">
        <is>
          <t>Backend</t>
        </is>
      </c>
      <c r="C959" s="17" t="inlineStr">
        <is>
          <t>analytics-service</t>
        </is>
      </c>
      <c r="D959" s="16" t="inlineStr">
        <is>
          <t>API slice</t>
        </is>
      </c>
      <c r="E959" s="17" t="inlineStr">
        <is>
          <t>InternalSalesControllerTest</t>
        </is>
      </c>
      <c r="F959" s="17" t="inlineStr"/>
      <c r="G959" s="17" t="inlineStr">
        <is>
          <t>limit không phải số: 400, không phải 500</t>
        </is>
      </c>
      <c r="H959" s="17" t="inlineStr">
        <is>
          <t>trending_limit_sai_kieu</t>
        </is>
      </c>
      <c r="I959" s="16" t="inlineStr">
        <is>
          <t>Đạt</t>
        </is>
      </c>
      <c r="J959" s="16" t="n">
        <v>0.033</v>
      </c>
    </row>
    <row r="960">
      <c r="A960" s="16" t="n">
        <v>956</v>
      </c>
      <c r="B960" s="16" t="inlineStr">
        <is>
          <t>Backend</t>
        </is>
      </c>
      <c r="C960" s="17" t="inlineStr">
        <is>
          <t>analytics-service</t>
        </is>
      </c>
      <c r="D960" s="16" t="inlineStr">
        <is>
          <t>API slice</t>
        </is>
      </c>
      <c r="E960" s="17" t="inlineStr">
        <is>
          <t>InternalSalesControllerTest</t>
        </is>
      </c>
      <c r="F960" s="17" t="inlineStr"/>
      <c r="G960" s="17" t="inlineStr">
        <is>
          <t>trending nhận limit từ query</t>
        </is>
      </c>
      <c r="H960" s="17" t="inlineStr">
        <is>
          <t>trending_limit</t>
        </is>
      </c>
      <c r="I960" s="16" t="inlineStr">
        <is>
          <t>Đạt</t>
        </is>
      </c>
      <c r="J960" s="16" t="n">
        <v>0.008</v>
      </c>
    </row>
    <row r="961">
      <c r="A961" s="16" t="n">
        <v>957</v>
      </c>
      <c r="B961" s="16" t="inlineStr">
        <is>
          <t>Backend</t>
        </is>
      </c>
      <c r="C961" s="17" t="inlineStr">
        <is>
          <t>analytics-service</t>
        </is>
      </c>
      <c r="D961" s="16" t="inlineStr">
        <is>
          <t>API slice</t>
        </is>
      </c>
      <c r="E961" s="17" t="inlineStr">
        <is>
          <t>InternalSalesControllerTest</t>
        </is>
      </c>
      <c r="F961" s="17" t="inlineStr"/>
      <c r="G961" s="17" t="inlineStr">
        <is>
          <t>sự kiện chưa bán vé nào: 200 với danh sách rỗng, không phải 404</t>
        </is>
      </c>
      <c r="H961" s="17" t="inlineStr">
        <is>
          <t>chua_ban</t>
        </is>
      </c>
      <c r="I961" s="16" t="inlineStr">
        <is>
          <t>Đạt</t>
        </is>
      </c>
      <c r="J961" s="16" t="n">
        <v>0.008999999999999999</v>
      </c>
    </row>
    <row r="962">
      <c r="A962" s="16" t="n">
        <v>958</v>
      </c>
      <c r="B962" s="16" t="inlineStr">
        <is>
          <t>Backend</t>
        </is>
      </c>
      <c r="C962" s="17" t="inlineStr">
        <is>
          <t>analytics-service</t>
        </is>
      </c>
      <c r="D962" s="16" t="inlineStr">
        <is>
          <t>API slice</t>
        </is>
      </c>
      <c r="E962" s="17" t="inlineStr">
        <is>
          <t>SalesDashboardControllerTest</t>
        </is>
      </c>
      <c r="F962" s="17" t="inlineStr"/>
      <c r="G962" s="17" t="inlineStr">
        <is>
          <t>token không giải mã được: 401</t>
        </is>
      </c>
      <c r="H962" s="17" t="inlineStr">
        <is>
          <t>token_hong_401</t>
        </is>
      </c>
      <c r="I962" s="16" t="inlineStr">
        <is>
          <t>Đạt</t>
        </is>
      </c>
      <c r="J962" s="16" t="n">
        <v>0.01</v>
      </c>
    </row>
    <row r="963">
      <c r="A963" s="16" t="n">
        <v>959</v>
      </c>
      <c r="B963" s="16" t="inlineStr">
        <is>
          <t>Backend</t>
        </is>
      </c>
      <c r="C963" s="17" t="inlineStr">
        <is>
          <t>analytics-service</t>
        </is>
      </c>
      <c r="D963" s="16" t="inlineStr">
        <is>
          <t>API slice</t>
        </is>
      </c>
      <c r="E963" s="17" t="inlineStr">
        <is>
          <t>SalesDashboardControllerTest</t>
        </is>
      </c>
      <c r="F963" s="17" t="inlineStr"/>
      <c r="G963" s="17" t="inlineStr">
        <is>
          <t>CHECKIN_STAFF của tổ chức: 403 — nhân viên soát vé không được xem doanh thu</t>
        </is>
      </c>
      <c r="H963" s="17" t="inlineStr">
        <is>
          <t>nhan_vien_soat_ve_403</t>
        </is>
      </c>
      <c r="I963" s="16" t="inlineStr">
        <is>
          <t>Đạt</t>
        </is>
      </c>
      <c r="J963" s="16" t="n">
        <v>0.026</v>
      </c>
    </row>
    <row r="964">
      <c r="A964" s="16" t="n">
        <v>960</v>
      </c>
      <c r="B964" s="16" t="inlineStr">
        <is>
          <t>Backend</t>
        </is>
      </c>
      <c r="C964" s="17" t="inlineStr">
        <is>
          <t>analytics-service</t>
        </is>
      </c>
      <c r="D964" s="16" t="inlineStr">
        <is>
          <t>API slice</t>
        </is>
      </c>
      <c r="E964" s="17" t="inlineStr">
        <is>
          <t>SalesDashboardControllerTest</t>
        </is>
      </c>
      <c r="F964" s="17" t="inlineStr"/>
      <c r="G964" s="17" t="inlineStr">
        <is>
          <t>UUID mã hoá phần trăm trỏ sang tổ chức khác: 404 — không vượt rào bằng đường dẫn biến dạng</t>
        </is>
      </c>
      <c r="H964" s="17" t="inlineStr">
        <is>
          <t>duong_dan_ma_hoa_404</t>
        </is>
      </c>
      <c r="I964" s="16" t="inlineStr">
        <is>
          <t>Đạt</t>
        </is>
      </c>
      <c r="J964" s="16" t="n">
        <v>0.008</v>
      </c>
    </row>
    <row r="965">
      <c r="A965" s="16" t="n">
        <v>961</v>
      </c>
      <c r="B965" s="16" t="inlineStr">
        <is>
          <t>Backend</t>
        </is>
      </c>
      <c r="C965" s="17" t="inlineStr">
        <is>
          <t>analytics-service</t>
        </is>
      </c>
      <c r="D965" s="16" t="inlineStr">
        <is>
          <t>API slice</t>
        </is>
      </c>
      <c r="E965" s="17" t="inlineStr">
        <is>
          <t>SalesDashboardControllerTest</t>
        </is>
      </c>
      <c r="F965" s="17" t="inlineStr"/>
      <c r="G965" s="17" t="inlineStr">
        <is>
          <t>ORG_ADMIN của đúng tổ chức: 200 với đủ số vé và tiền, và KHÔNG có trường hoa hồng/số dư</t>
        </is>
      </c>
      <c r="H965" s="17" t="inlineStr">
        <is>
          <t>admin_cua_to_chuc_xem_duoc</t>
        </is>
      </c>
      <c r="I965" s="16" t="inlineStr">
        <is>
          <t>Đạt</t>
        </is>
      </c>
      <c r="J965" s="16" t="n">
        <v>0.017</v>
      </c>
    </row>
    <row r="966">
      <c r="A966" s="16" t="n">
        <v>962</v>
      </c>
      <c r="B966" s="16" t="inlineStr">
        <is>
          <t>Backend</t>
        </is>
      </c>
      <c r="C966" s="17" t="inlineStr">
        <is>
          <t>analytics-service</t>
        </is>
      </c>
      <c r="D966" s="16" t="inlineStr">
        <is>
          <t>API slice</t>
        </is>
      </c>
      <c r="E966" s="17" t="inlineStr">
        <is>
          <t>SalesDashboardControllerTest</t>
        </is>
      </c>
      <c r="F966" s="17" t="inlineStr"/>
      <c r="G966" s="17" t="inlineStr">
        <is>
          <t>admin của tổ chức KHÁC: 404, không phải 403, và không chạm truy vấn</t>
        </is>
      </c>
      <c r="H966" s="17" t="inlineStr">
        <is>
          <t>admin_to_chuc_khac_404</t>
        </is>
      </c>
      <c r="I966" s="16" t="inlineStr">
        <is>
          <t>Đạt</t>
        </is>
      </c>
      <c r="J966" s="16" t="n">
        <v>0.006</v>
      </c>
    </row>
    <row r="967">
      <c r="A967" s="16" t="n">
        <v>963</v>
      </c>
      <c r="B967" s="16" t="inlineStr">
        <is>
          <t>Backend</t>
        </is>
      </c>
      <c r="C967" s="17" t="inlineStr">
        <is>
          <t>analytics-service</t>
        </is>
      </c>
      <c r="D967" s="16" t="inlineStr">
        <is>
          <t>API slice</t>
        </is>
      </c>
      <c r="E967" s="17" t="inlineStr">
        <is>
          <t>SalesDashboardControllerTest</t>
        </is>
      </c>
      <c r="F967" s="17" t="inlineStr"/>
      <c r="G967" s="17" t="inlineStr">
        <is>
          <t>không có Authorization: 401, không chạm truy vấn</t>
        </is>
      </c>
      <c r="H967" s="17" t="inlineStr">
        <is>
          <t>an_danh_401</t>
        </is>
      </c>
      <c r="I967" s="16" t="inlineStr">
        <is>
          <t>Đạt</t>
        </is>
      </c>
      <c r="J967" s="16" t="n">
        <v>0.006</v>
      </c>
    </row>
    <row r="968">
      <c r="A968" s="16" t="n">
        <v>964</v>
      </c>
      <c r="B968" s="16" t="inlineStr">
        <is>
          <t>Backend</t>
        </is>
      </c>
      <c r="C968" s="17" t="inlineStr">
        <is>
          <t>analytics-service</t>
        </is>
      </c>
      <c r="D968" s="16" t="inlineStr">
        <is>
          <t>API slice</t>
        </is>
      </c>
      <c r="E968" s="17" t="inlineStr">
        <is>
          <t>SalesDashboardControllerTest</t>
        </is>
      </c>
      <c r="F968" s="17" t="inlineStr"/>
      <c r="G968" s="17" t="inlineStr">
        <is>
          <t>ORG_OWNER của đúng tổ chức: 200</t>
        </is>
      </c>
      <c r="H968" s="17" t="inlineStr">
        <is>
          <t>owner_xem_duoc</t>
        </is>
      </c>
      <c r="I968" s="16" t="inlineStr">
        <is>
          <t>Đạt</t>
        </is>
      </c>
      <c r="J968" s="16" t="n">
        <v>0.008</v>
      </c>
    </row>
    <row r="969">
      <c r="A969" s="16" t="n">
        <v>965</v>
      </c>
      <c r="B969" s="16" t="inlineStr">
        <is>
          <t>Backend</t>
        </is>
      </c>
      <c r="C969" s="17" t="inlineStr">
        <is>
          <t>analytics-service</t>
        </is>
      </c>
      <c r="D969" s="16" t="inlineStr">
        <is>
          <t>API slice</t>
        </is>
      </c>
      <c r="E969" s="17" t="inlineStr">
        <is>
          <t>SalesDashboardControllerTest</t>
        </is>
      </c>
      <c r="F969" s="17" t="inlineStr"/>
      <c r="G969" s="17" t="inlineStr">
        <is>
          <t>khách hàng (không thuộc tổ chức nào): 404</t>
        </is>
      </c>
      <c r="H969" s="17" t="inlineStr">
        <is>
          <t>khach_hang_404</t>
        </is>
      </c>
      <c r="I969" s="16" t="inlineStr">
        <is>
          <t>Đạt</t>
        </is>
      </c>
      <c r="J969" s="16" t="n">
        <v>0.005</v>
      </c>
    </row>
    <row r="970">
      <c r="A970" s="16" t="n">
        <v>966</v>
      </c>
      <c r="B970" s="16" t="inlineStr">
        <is>
          <t>Backend</t>
        </is>
      </c>
      <c r="C970" s="17" t="inlineStr">
        <is>
          <t>analytics-service</t>
        </is>
      </c>
      <c r="D970" s="16" t="inlineStr">
        <is>
          <t>API slice</t>
        </is>
      </c>
      <c r="E970" s="17" t="inlineStr">
        <is>
          <t>SalesDashboardControllerTest</t>
        </is>
      </c>
      <c r="F970" s="17" t="inlineStr"/>
      <c r="G970" s="17" t="inlineStr">
        <is>
          <t>tổ chức không phải UUID: 404 chứ không phải 500</t>
        </is>
      </c>
      <c r="H970" s="17" t="inlineStr">
        <is>
          <t>id_khong_phai_uuid</t>
        </is>
      </c>
      <c r="I970" s="16" t="inlineStr">
        <is>
          <t>Đạt</t>
        </is>
      </c>
      <c r="J970" s="16" t="n">
        <v>0.006</v>
      </c>
    </row>
    <row r="971">
      <c r="A971" s="16" t="n">
        <v>967</v>
      </c>
      <c r="B971" s="16" t="inlineStr">
        <is>
          <t>Backend</t>
        </is>
      </c>
      <c r="C971" s="17" t="inlineStr">
        <is>
          <t>api-gateway</t>
        </is>
      </c>
      <c r="D971" s="16" t="inlineStr">
        <is>
          <t>Unit</t>
        </is>
      </c>
      <c r="E971" s="17" t="inlineStr">
        <is>
          <t>CorrelationAndRateLimitKeyTest › Correlation</t>
        </is>
      </c>
      <c r="F971" s="17" t="inlineStr">
        <is>
          <t>bộ lọc correlation id</t>
        </is>
      </c>
      <c r="G971" s="17" t="inlineStr">
        <is>
          <t>đúng 64 ký tự được giữ, 65 ký tự bị thay</t>
        </is>
      </c>
      <c r="H971" s="17" t="inlineStr">
        <is>
          <t>bien_do_dai</t>
        </is>
      </c>
      <c r="I971" s="16" t="inlineStr">
        <is>
          <t>Đạt</t>
        </is>
      </c>
      <c r="J971" s="16" t="n">
        <v>0.354</v>
      </c>
    </row>
    <row r="972">
      <c r="A972" s="16" t="n">
        <v>968</v>
      </c>
      <c r="B972" s="16" t="inlineStr">
        <is>
          <t>Backend</t>
        </is>
      </c>
      <c r="C972" s="17" t="inlineStr">
        <is>
          <t>api-gateway</t>
        </is>
      </c>
      <c r="D972" s="16" t="inlineStr">
        <is>
          <t>Unit</t>
        </is>
      </c>
      <c r="E972" s="17" t="inlineStr">
        <is>
          <t>CorrelationAndRateLimitKeyTest › Correlation</t>
        </is>
      </c>
      <c r="F972" s="17" t="inlineStr">
        <is>
          <t>bộ lọc correlation id</t>
        </is>
      </c>
      <c r="G972" s="17" t="inlineStr">
        <is>
          <t>chạy trước mọi bộ lọc khác, kể cả chuỗi bảo mật — 401 cũng có id</t>
        </is>
      </c>
      <c r="H972" s="17" t="inlineStr">
        <is>
          <t>thu_tu</t>
        </is>
      </c>
      <c r="I972" s="16" t="inlineStr">
        <is>
          <t>Đạt</t>
        </is>
      </c>
      <c r="J972" s="16" t="n">
        <v>0.013</v>
      </c>
    </row>
    <row r="973">
      <c r="A973" s="16" t="n">
        <v>969</v>
      </c>
      <c r="B973" s="16" t="inlineStr">
        <is>
          <t>Backend</t>
        </is>
      </c>
      <c r="C973" s="17" t="inlineStr">
        <is>
          <t>api-gateway</t>
        </is>
      </c>
      <c r="D973" s="16" t="inlineStr">
        <is>
          <t>Unit</t>
        </is>
      </c>
      <c r="E973" s="17" t="inlineStr">
        <is>
          <t>CorrelationAndRateLimitKeyTest › Correlation</t>
        </is>
      </c>
      <c r="F973" s="17" t="inlineStr">
        <is>
          <t>bộ lọc correlation id</t>
        </is>
      </c>
      <c r="G973" s="17" t="inlineStr">
        <is>
          <t>client gửi HAI header thì service phía sau chỉ thấy một giá trị — không có hai id cho một request</t>
        </is>
      </c>
      <c r="H973" s="17" t="inlineStr">
        <is>
          <t>hai_header</t>
        </is>
      </c>
      <c r="I973" s="16" t="inlineStr">
        <is>
          <t>Đạt</t>
        </is>
      </c>
      <c r="J973" s="16" t="n">
        <v>0.047</v>
      </c>
    </row>
    <row r="974">
      <c r="A974" s="16" t="n">
        <v>970</v>
      </c>
      <c r="B974" s="16" t="inlineStr">
        <is>
          <t>Backend</t>
        </is>
      </c>
      <c r="C974" s="17" t="inlineStr">
        <is>
          <t>api-gateway</t>
        </is>
      </c>
      <c r="D974" s="16" t="inlineStr">
        <is>
          <t>Unit</t>
        </is>
      </c>
      <c r="E974" s="17" t="inlineStr">
        <is>
          <t>CorrelationAndRateLimitKeyTest › Correlation</t>
        </is>
      </c>
      <c r="F974" s="17" t="inlineStr">
        <is>
          <t>bộ lọc correlation id</t>
        </is>
      </c>
      <c r="G974" s="17" t="inlineStr">
        <is>
          <t>id rỗng hay chỉ khoảng trắng bị thay bằng id mới</t>
        </is>
      </c>
      <c r="H974" s="17" t="inlineStr">
        <is>
          <t>id_rong(String)[1]</t>
        </is>
      </c>
      <c r="I974" s="16" t="inlineStr">
        <is>
          <t>Đạt</t>
        </is>
      </c>
      <c r="J974" s="16" t="n">
        <v>0.063</v>
      </c>
    </row>
    <row r="975">
      <c r="A975" s="16" t="n">
        <v>971</v>
      </c>
      <c r="B975" s="16" t="inlineStr">
        <is>
          <t>Backend</t>
        </is>
      </c>
      <c r="C975" s="17" t="inlineStr">
        <is>
          <t>api-gateway</t>
        </is>
      </c>
      <c r="D975" s="16" t="inlineStr">
        <is>
          <t>Unit</t>
        </is>
      </c>
      <c r="E975" s="17" t="inlineStr">
        <is>
          <t>CorrelationAndRateLimitKeyTest › Correlation</t>
        </is>
      </c>
      <c r="F975" s="17" t="inlineStr">
        <is>
          <t>bộ lọc correlation id</t>
        </is>
      </c>
      <c r="G975" s="17" t="inlineStr">
        <is>
          <t>id rỗng hay chỉ khoảng trắng bị thay bằng id mới</t>
        </is>
      </c>
      <c r="H975" s="17" t="inlineStr">
        <is>
          <t>id_rong(String)[2]</t>
        </is>
      </c>
      <c r="I975" s="16" t="inlineStr">
        <is>
          <t>Đạt</t>
        </is>
      </c>
      <c r="J975" s="16" t="n">
        <v>0.012</v>
      </c>
    </row>
    <row r="976">
      <c r="A976" s="16" t="n">
        <v>972</v>
      </c>
      <c r="B976" s="16" t="inlineStr">
        <is>
          <t>Backend</t>
        </is>
      </c>
      <c r="C976" s="17" t="inlineStr">
        <is>
          <t>api-gateway</t>
        </is>
      </c>
      <c r="D976" s="16" t="inlineStr">
        <is>
          <t>Unit</t>
        </is>
      </c>
      <c r="E976" s="17" t="inlineStr">
        <is>
          <t>CorrelationAndRateLimitKeyTest › KhoaRateLimit</t>
        </is>
      </c>
      <c r="F976" s="17" t="inlineStr">
        <is>
          <t>khoá rate limit — những khe hở còn lại</t>
        </is>
      </c>
      <c r="G976" s="17" t="inlineStr">
        <is>
          <t>hai cách viết của cùng một địa chỉ IPv6 là cùng một khoá</t>
        </is>
      </c>
      <c r="H976" s="17" t="inlineStr">
        <is>
          <t>ipv6_chuan_hoa</t>
        </is>
      </c>
      <c r="I976" s="16" t="inlineStr">
        <is>
          <t>Đạt</t>
        </is>
      </c>
      <c r="J976" s="16" t="n">
        <v>3.661</v>
      </c>
    </row>
    <row r="977">
      <c r="A977" s="16" t="n">
        <v>973</v>
      </c>
      <c r="B977" s="16" t="inlineStr">
        <is>
          <t>Backend</t>
        </is>
      </c>
      <c r="C977" s="17" t="inlineStr">
        <is>
          <t>api-gateway</t>
        </is>
      </c>
      <c r="D977" s="16" t="inlineStr">
        <is>
          <t>Unit</t>
        </is>
      </c>
      <c r="E977" s="17" t="inlineStr">
        <is>
          <t>CorrelationAndRateLimitKeyTest › KhoaRateLimit</t>
        </is>
      </c>
      <c r="F977" s="17" t="inlineStr">
        <is>
          <t>khoá rate limit — những khe hở còn lại</t>
        </is>
      </c>
      <c r="G977" s="17" t="inlineStr">
        <is>
          <t>người đăng nhập bằng JWT được đếm theo sub — đúng danh tính mà Keycloak bảo đảm</t>
        </is>
      </c>
      <c r="H977" s="17" t="inlineStr">
        <is>
          <t>jwt_dem_theo_sub</t>
        </is>
      </c>
      <c r="I977" s="16" t="inlineStr">
        <is>
          <t>Đạt</t>
        </is>
      </c>
      <c r="J977" s="16" t="n">
        <v>0.119</v>
      </c>
    </row>
    <row r="978">
      <c r="A978" s="16" t="n">
        <v>974</v>
      </c>
      <c r="B978" s="16" t="inlineStr">
        <is>
          <t>Backend</t>
        </is>
      </c>
      <c r="C978" s="17" t="inlineStr">
        <is>
          <t>api-gateway</t>
        </is>
      </c>
      <c r="D978" s="16" t="inlineStr">
        <is>
          <t>Unit</t>
        </is>
      </c>
      <c r="E978" s="17" t="inlineStr">
        <is>
          <t>CorrelationAndRateLimitKeyTest › KhoaRateLimit</t>
        </is>
      </c>
      <c r="F978" s="17" t="inlineStr">
        <is>
          <t>khoá rate limit — những khe hở còn lại</t>
        </is>
      </c>
      <c r="G978" s="17" t="inlineStr">
        <is>
          <t>khoá người dùng và khoá IP không bao giờ trùng nhau, dù sub trông giống một IP</t>
        </is>
      </c>
      <c r="H978" s="17" t="inlineStr">
        <is>
          <t>khong_trung_khong_gian_khoa</t>
        </is>
      </c>
      <c r="I978" s="16" t="inlineStr">
        <is>
          <t>Đạt</t>
        </is>
      </c>
      <c r="J978" s="16" t="n">
        <v>0.019</v>
      </c>
    </row>
    <row r="979">
      <c r="A979" s="16" t="n">
        <v>975</v>
      </c>
      <c r="B979" s="16" t="inlineStr">
        <is>
          <t>Backend</t>
        </is>
      </c>
      <c r="C979" s="17" t="inlineStr">
        <is>
          <t>api-gateway</t>
        </is>
      </c>
      <c r="D979" s="16" t="inlineStr">
        <is>
          <t>Unit</t>
        </is>
      </c>
      <c r="E979" s="17" t="inlineStr">
        <is>
          <t>CorrelationAndRateLimitKeyTest › KhoaRateLimit</t>
        </is>
      </c>
      <c r="F979" s="17" t="inlineStr">
        <is>
          <t>khoá rate limit — những khe hở còn lại</t>
        </is>
      </c>
      <c r="G979" s="17" t="inlineStr">
        <is>
          <t>không biết địa chỉ nào thì dùng một khoá chung thay vì ném lỗi làm hỏng request</t>
        </is>
      </c>
      <c r="H979" s="17" t="inlineStr">
        <is>
          <t>khong_co_dia_chi</t>
        </is>
      </c>
      <c r="I979" s="16" t="inlineStr">
        <is>
          <t>Đạt</t>
        </is>
      </c>
      <c r="J979" s="16" t="n">
        <v>0.011</v>
      </c>
    </row>
    <row r="980">
      <c r="A980" s="16" t="n">
        <v>976</v>
      </c>
      <c r="B980" s="16" t="inlineStr">
        <is>
          <t>Backend</t>
        </is>
      </c>
      <c r="C980" s="17" t="inlineStr">
        <is>
          <t>api-gateway</t>
        </is>
      </c>
      <c r="D980" s="16" t="inlineStr">
        <is>
          <t>Unit</t>
        </is>
      </c>
      <c r="E980" s="17" t="inlineStr">
        <is>
          <t>CorrelationAndRateLimitKeyTest › KhoaRateLimit</t>
        </is>
      </c>
      <c r="F980" s="17" t="inlineStr">
        <is>
          <t>khoá rate limit — những khe hở còn lại</t>
        </is>
      </c>
      <c r="G980" s="17" t="inlineStr">
        <is>
          <t>không có X-Forwarded-For thì đếm theo địa chỉ kết nối</t>
        </is>
      </c>
      <c r="H980" s="17" t="inlineStr">
        <is>
          <t>khong_co_x_forwarded_for</t>
        </is>
      </c>
      <c r="I980" s="16" t="inlineStr">
        <is>
          <t>Đạt</t>
        </is>
      </c>
      <c r="J980" s="16" t="n">
        <v>0.016</v>
      </c>
    </row>
    <row r="981">
      <c r="A981" s="16" t="n">
        <v>977</v>
      </c>
      <c r="B981" s="16" t="inlineStr">
        <is>
          <t>Backend</t>
        </is>
      </c>
      <c r="C981" s="17" t="inlineStr">
        <is>
          <t>api-gateway</t>
        </is>
      </c>
      <c r="D981" s="16" t="inlineStr">
        <is>
          <t>Unit</t>
        </is>
      </c>
      <c r="E981" s="17" t="inlineStr">
        <is>
          <t>GatewayCorsTest</t>
        </is>
      </c>
      <c r="F981" s="17" t="inlineStr"/>
      <c r="G981" s="17" t="inlineStr">
        <is>
          <t>chỉ những origin đã khai mới được chấp nhận</t>
        </is>
      </c>
      <c r="H981" s="17" t="inlineStr">
        <is>
          <t>chi_origin_da_khai</t>
        </is>
      </c>
      <c r="I981" s="16" t="inlineStr">
        <is>
          <t>Đạt</t>
        </is>
      </c>
      <c r="J981" s="16" t="n">
        <v>0.055</v>
      </c>
    </row>
    <row r="982">
      <c r="A982" s="16" t="n">
        <v>978</v>
      </c>
      <c r="B982" s="16" t="inlineStr">
        <is>
          <t>Backend</t>
        </is>
      </c>
      <c r="C982" s="17" t="inlineStr">
        <is>
          <t>api-gateway</t>
        </is>
      </c>
      <c r="D982" s="16" t="inlineStr">
        <is>
          <t>Unit</t>
        </is>
      </c>
      <c r="E982" s="17" t="inlineStr">
        <is>
          <t>GatewayCorsTest</t>
        </is>
      </c>
      <c r="F982" s="17" t="inlineStr"/>
      <c r="G982" s="17" t="inlineStr">
        <is>
          <t>không dùng ký tự đại diện cho origin</t>
        </is>
      </c>
      <c r="H982" s="17" t="inlineStr">
        <is>
          <t>khong_dung_dai_dien</t>
        </is>
      </c>
      <c r="I982" s="16" t="inlineStr">
        <is>
          <t>Đạt</t>
        </is>
      </c>
      <c r="J982" s="16" t="n">
        <v>0.007</v>
      </c>
    </row>
    <row r="983">
      <c r="A983" s="16" t="n">
        <v>979</v>
      </c>
      <c r="B983" s="16" t="inlineStr">
        <is>
          <t>Backend</t>
        </is>
      </c>
      <c r="C983" s="17" t="inlineStr">
        <is>
          <t>api-gateway</t>
        </is>
      </c>
      <c r="D983" s="16" t="inlineStr">
        <is>
          <t>Unit</t>
        </is>
      </c>
      <c r="E983" s="17" t="inlineStr">
        <is>
          <t>GatewayCorsTest</t>
        </is>
      </c>
      <c r="F983" s="17" t="inlineStr"/>
      <c r="G983" s="17" t="inlineStr">
        <is>
          <t>không gửi kèm cookie/phiên qua cross-origin</t>
        </is>
      </c>
      <c r="H983" s="17" t="inlineStr">
        <is>
          <t>khong_bat_credentials</t>
        </is>
      </c>
      <c r="I983" s="16" t="inlineStr">
        <is>
          <t>Đạt</t>
        </is>
      </c>
      <c r="J983" s="16" t="n">
        <v>0.008999999999999999</v>
      </c>
    </row>
    <row r="984">
      <c r="A984" s="16" t="n">
        <v>980</v>
      </c>
      <c r="B984" s="16" t="inlineStr">
        <is>
          <t>Backend</t>
        </is>
      </c>
      <c r="C984" s="17" t="inlineStr">
        <is>
          <t>api-gateway</t>
        </is>
      </c>
      <c r="D984" s="16" t="inlineStr">
        <is>
          <t>Unit</t>
        </is>
      </c>
      <c r="E984" s="17" t="inlineStr">
        <is>
          <t>GatewayCorsTest</t>
        </is>
      </c>
      <c r="F984" s="17" t="inlineStr"/>
      <c r="G984" s="17" t="inlineStr">
        <is>
          <t>Idempotency-Key được phép gửi lên</t>
        </is>
      </c>
      <c r="H984" s="17" t="inlineStr">
        <is>
          <t>cho_phep_idempotency_key</t>
        </is>
      </c>
      <c r="I984" s="16" t="inlineStr">
        <is>
          <t>Đạt</t>
        </is>
      </c>
      <c r="J984" s="16" t="n">
        <v>0.006</v>
      </c>
    </row>
    <row r="985">
      <c r="A985" s="16" t="n">
        <v>981</v>
      </c>
      <c r="B985" s="16" t="inlineStr">
        <is>
          <t>Backend</t>
        </is>
      </c>
      <c r="C985" s="17" t="inlineStr">
        <is>
          <t>api-gateway</t>
        </is>
      </c>
      <c r="D985" s="16" t="inlineStr">
        <is>
          <t>Unit</t>
        </is>
      </c>
      <c r="E985" s="17" t="inlineStr">
        <is>
          <t>GatewayCorsTest</t>
        </is>
      </c>
      <c r="F985" s="17" t="inlineStr"/>
      <c r="G985" s="17" t="inlineStr">
        <is>
          <t>ETag và correlation id đọc được từ JavaScript</t>
        </is>
      </c>
      <c r="H985" s="17" t="inlineStr">
        <is>
          <t>lo_ra_dung_hai_header</t>
        </is>
      </c>
      <c r="I985" s="16" t="inlineStr">
        <is>
          <t>Đạt</t>
        </is>
      </c>
      <c r="J985" s="16" t="n">
        <v>0.01</v>
      </c>
    </row>
    <row r="986">
      <c r="A986" s="16" t="n">
        <v>982</v>
      </c>
      <c r="B986" s="16" t="inlineStr">
        <is>
          <t>Backend</t>
        </is>
      </c>
      <c r="C986" s="17" t="inlineStr">
        <is>
          <t>api-gateway</t>
        </is>
      </c>
      <c r="D986" s="16" t="inlineStr">
        <is>
          <t>API slice</t>
        </is>
      </c>
      <c r="E986" s="17" t="inlineStr">
        <is>
          <t>GatewayRouteTableTest</t>
        </is>
      </c>
      <c r="F986" s="17" t="inlineStr"/>
      <c r="G986" s="17" t="inlineStr">
        <is>
          <t>không route nào khai mẫu bắt mọi thứ hay mẫu bắt đầu bằng /internal</t>
        </is>
      </c>
      <c r="H986" s="17" t="inlineStr">
        <is>
          <t>khong_co_mau_bat_moi_thu</t>
        </is>
      </c>
      <c r="I986" s="16" t="inlineStr">
        <is>
          <t>Đạt</t>
        </is>
      </c>
      <c r="J986" s="16" t="n">
        <v>0.01</v>
      </c>
    </row>
    <row r="987">
      <c r="A987" s="16" t="n">
        <v>983</v>
      </c>
      <c r="B987" s="16" t="inlineStr">
        <is>
          <t>Backend</t>
        </is>
      </c>
      <c r="C987" s="17" t="inlineStr">
        <is>
          <t>api-gateway</t>
        </is>
      </c>
      <c r="D987" s="16" t="inlineStr">
        <is>
          <t>API slice</t>
        </is>
      </c>
      <c r="E987" s="17" t="inlineStr">
        <is>
          <t>GatewayRouteTableTest</t>
        </is>
      </c>
      <c r="F987" s="17" t="inlineStr"/>
      <c r="G987" s="17" t="inlineStr">
        <is>
          <t>route hẹp mang hạn mức riêng đứng TRƯỚC route rộng cùng đích — đảo thứ tự là mất hạn mức trong im lặng</t>
        </is>
      </c>
      <c r="H987" s="17" t="inlineStr">
        <is>
          <t>thu_tu_route_hep_truoc</t>
        </is>
      </c>
      <c r="I987" s="16" t="inlineStr">
        <is>
          <t>Đạt</t>
        </is>
      </c>
      <c r="J987" s="16" t="n">
        <v>0.015</v>
      </c>
    </row>
    <row r="988">
      <c r="A988" s="16" t="n">
        <v>984</v>
      </c>
      <c r="B988" s="16" t="inlineStr">
        <is>
          <t>Backend</t>
        </is>
      </c>
      <c r="C988" s="17" t="inlineStr">
        <is>
          <t>api-gateway</t>
        </is>
      </c>
      <c r="D988" s="16" t="inlineStr">
        <is>
          <t>API slice</t>
        </is>
      </c>
      <c r="E988" s="17" t="inlineStr">
        <is>
          <t>GatewayRouteTableTest</t>
        </is>
      </c>
      <c r="F988" s="17" t="inlineStr"/>
      <c r="G988" s="17" t="inlineStr">
        <is>
          <t>đường dẫn dot-segment khớp route công khai — lớp chặn phải nằm ở tường lửa của chuỗi bảo mật</t>
        </is>
      </c>
      <c r="H988" s="17" t="inlineStr">
        <is>
          <t>dot_segment_khop_route_cong_khai(String)[1]</t>
        </is>
      </c>
      <c r="I988" s="16" t="inlineStr">
        <is>
          <t>Đạt</t>
        </is>
      </c>
      <c r="J988" s="16" t="n">
        <v>0.033</v>
      </c>
    </row>
    <row r="989">
      <c r="A989" s="16" t="n">
        <v>985</v>
      </c>
      <c r="B989" s="16" t="inlineStr">
        <is>
          <t>Backend</t>
        </is>
      </c>
      <c r="C989" s="17" t="inlineStr">
        <is>
          <t>api-gateway</t>
        </is>
      </c>
      <c r="D989" s="16" t="inlineStr">
        <is>
          <t>API slice</t>
        </is>
      </c>
      <c r="E989" s="17" t="inlineStr">
        <is>
          <t>GatewayRouteTableTest</t>
        </is>
      </c>
      <c r="F989" s="17" t="inlineStr"/>
      <c r="G989" s="17" t="inlineStr">
        <is>
          <t>đường dẫn dot-segment khớp route công khai — lớp chặn phải nằm ở tường lửa của chuỗi bảo mật</t>
        </is>
      </c>
      <c r="H989" s="17" t="inlineStr">
        <is>
          <t>dot_segment_khop_route_cong_khai(String)[2]</t>
        </is>
      </c>
      <c r="I989" s="16" t="inlineStr">
        <is>
          <t>Đạt</t>
        </is>
      </c>
      <c r="J989" s="16" t="n">
        <v>0.012</v>
      </c>
    </row>
    <row r="990">
      <c r="A990" s="16" t="n">
        <v>986</v>
      </c>
      <c r="B990" s="16" t="inlineStr">
        <is>
          <t>Backend</t>
        </is>
      </c>
      <c r="C990" s="17" t="inlineStr">
        <is>
          <t>api-gateway</t>
        </is>
      </c>
      <c r="D990" s="16" t="inlineStr">
        <is>
          <t>API slice</t>
        </is>
      </c>
      <c r="E990" s="17" t="inlineStr">
        <is>
          <t>GatewayRouteTableTest</t>
        </is>
      </c>
      <c r="F990" s="17" t="inlineStr"/>
      <c r="G990" s="17" t="inlineStr">
        <is>
          <t>đường dẫn dot-segment khớp route công khai — lớp chặn phải nằm ở tường lửa của chuỗi bảo mật</t>
        </is>
      </c>
      <c r="H990" s="17" t="inlineStr">
        <is>
          <t>dot_segment_khop_route_cong_khai(String)[3]</t>
        </is>
      </c>
      <c r="I990" s="16" t="inlineStr">
        <is>
          <t>Đạt</t>
        </is>
      </c>
      <c r="J990" s="16" t="n">
        <v>0.015</v>
      </c>
    </row>
    <row r="991">
      <c r="A991" s="16" t="n">
        <v>987</v>
      </c>
      <c r="B991" s="16" t="inlineStr">
        <is>
          <t>Backend</t>
        </is>
      </c>
      <c r="C991" s="17" t="inlineStr">
        <is>
          <t>api-gateway</t>
        </is>
      </c>
      <c r="D991" s="16" t="inlineStr">
        <is>
          <t>API slice</t>
        </is>
      </c>
      <c r="E991" s="17" t="inlineStr">
        <is>
          <t>GatewayRouteTableTest</t>
        </is>
      </c>
      <c r="F991" s="17" t="inlineStr"/>
      <c r="G991" s="17" t="inlineStr">
        <is>
          <t>đường dẫn dot-segment khớp route công khai — lớp chặn phải nằm ở tường lửa của chuỗi bảo mật</t>
        </is>
      </c>
      <c r="H991" s="17" t="inlineStr">
        <is>
          <t>dot_segment_khop_route_cong_khai(String)[4]</t>
        </is>
      </c>
      <c r="I991" s="16" t="inlineStr">
        <is>
          <t>Đạt</t>
        </is>
      </c>
      <c r="J991" s="16" t="n">
        <v>0.008999999999999999</v>
      </c>
    </row>
    <row r="992">
      <c r="A992" s="16" t="n">
        <v>988</v>
      </c>
      <c r="B992" s="16" t="inlineStr">
        <is>
          <t>Backend</t>
        </is>
      </c>
      <c r="C992" s="17" t="inlineStr">
        <is>
          <t>api-gateway</t>
        </is>
      </c>
      <c r="D992" s="16" t="inlineStr">
        <is>
          <t>API slice</t>
        </is>
      </c>
      <c r="E992" s="17" t="inlineStr">
        <is>
          <t>GatewayRouteTableTest</t>
        </is>
      </c>
      <c r="F992" s="17" t="inlineStr"/>
      <c r="G992" s="17" t="inlineStr">
        <is>
          <t>đường dẫn dot-segment khớp route công khai — lớp chặn phải nằm ở tường lửa của chuỗi bảo mật</t>
        </is>
      </c>
      <c r="H992" s="17" t="inlineStr">
        <is>
          <t>dot_segment_khop_route_cong_khai(String)[5]</t>
        </is>
      </c>
      <c r="I992" s="16" t="inlineStr">
        <is>
          <t>Đạt</t>
        </is>
      </c>
      <c r="J992" s="16" t="n">
        <v>0.004</v>
      </c>
    </row>
    <row r="993">
      <c r="A993" s="16" t="n">
        <v>989</v>
      </c>
      <c r="B993" s="16" t="inlineStr">
        <is>
          <t>Backend</t>
        </is>
      </c>
      <c r="C993" s="17" t="inlineStr">
        <is>
          <t>api-gateway</t>
        </is>
      </c>
      <c r="D993" s="16" t="inlineStr">
        <is>
          <t>API slice</t>
        </is>
      </c>
      <c r="E993" s="17" t="inlineStr">
        <is>
          <t>GatewayRouteTableTest</t>
        </is>
      </c>
      <c r="F993" s="17" t="inlineStr"/>
      <c r="G993" s="17" t="inlineStr">
        <is>
          <t>mỗi endpoint công khai đi tới đúng service, qua đúng route</t>
        </is>
      </c>
      <c r="H993" s="17" t="inlineStr">
        <is>
          <t>dinh_tuyen(String, String, String, int)[1]</t>
        </is>
      </c>
      <c r="I993" s="16" t="inlineStr">
        <is>
          <t>Đạt</t>
        </is>
      </c>
      <c r="J993" s="16" t="n">
        <v>0.065</v>
      </c>
    </row>
    <row r="994">
      <c r="A994" s="16" t="n">
        <v>990</v>
      </c>
      <c r="B994" s="16" t="inlineStr">
        <is>
          <t>Backend</t>
        </is>
      </c>
      <c r="C994" s="17" t="inlineStr">
        <is>
          <t>api-gateway</t>
        </is>
      </c>
      <c r="D994" s="16" t="inlineStr">
        <is>
          <t>API slice</t>
        </is>
      </c>
      <c r="E994" s="17" t="inlineStr">
        <is>
          <t>GatewayRouteTableTest</t>
        </is>
      </c>
      <c r="F994" s="17" t="inlineStr"/>
      <c r="G994" s="17" t="inlineStr">
        <is>
          <t>mỗi endpoint công khai đi tới đúng service, qua đúng route</t>
        </is>
      </c>
      <c r="H994" s="17" t="inlineStr">
        <is>
          <t>dinh_tuyen(String, String, String, int)[2]</t>
        </is>
      </c>
      <c r="I994" s="16" t="inlineStr">
        <is>
          <t>Đạt</t>
        </is>
      </c>
      <c r="J994" s="16" t="n">
        <v>0.012</v>
      </c>
    </row>
    <row r="995">
      <c r="A995" s="16" t="n">
        <v>991</v>
      </c>
      <c r="B995" s="16" t="inlineStr">
        <is>
          <t>Backend</t>
        </is>
      </c>
      <c r="C995" s="17" t="inlineStr">
        <is>
          <t>api-gateway</t>
        </is>
      </c>
      <c r="D995" s="16" t="inlineStr">
        <is>
          <t>API slice</t>
        </is>
      </c>
      <c r="E995" s="17" t="inlineStr">
        <is>
          <t>GatewayRouteTableTest</t>
        </is>
      </c>
      <c r="F995" s="17" t="inlineStr"/>
      <c r="G995" s="17" t="inlineStr">
        <is>
          <t>mỗi endpoint công khai đi tới đúng service, qua đúng route</t>
        </is>
      </c>
      <c r="H995" s="17" t="inlineStr">
        <is>
          <t>dinh_tuyen(String, String, String, int)[3]</t>
        </is>
      </c>
      <c r="I995" s="16" t="inlineStr">
        <is>
          <t>Đạt</t>
        </is>
      </c>
      <c r="J995" s="16" t="n">
        <v>0.008999999999999999</v>
      </c>
    </row>
    <row r="996">
      <c r="A996" s="16" t="n">
        <v>992</v>
      </c>
      <c r="B996" s="16" t="inlineStr">
        <is>
          <t>Backend</t>
        </is>
      </c>
      <c r="C996" s="17" t="inlineStr">
        <is>
          <t>api-gateway</t>
        </is>
      </c>
      <c r="D996" s="16" t="inlineStr">
        <is>
          <t>API slice</t>
        </is>
      </c>
      <c r="E996" s="17" t="inlineStr">
        <is>
          <t>GatewayRouteTableTest</t>
        </is>
      </c>
      <c r="F996" s="17" t="inlineStr"/>
      <c r="G996" s="17" t="inlineStr">
        <is>
          <t>mỗi endpoint công khai đi tới đúng service, qua đúng route</t>
        </is>
      </c>
      <c r="H996" s="17" t="inlineStr">
        <is>
          <t>dinh_tuyen(String, String, String, int)[4]</t>
        </is>
      </c>
      <c r="I996" s="16" t="inlineStr">
        <is>
          <t>Đạt</t>
        </is>
      </c>
      <c r="J996" s="16" t="n">
        <v>0.01</v>
      </c>
    </row>
    <row r="997">
      <c r="A997" s="16" t="n">
        <v>993</v>
      </c>
      <c r="B997" s="16" t="inlineStr">
        <is>
          <t>Backend</t>
        </is>
      </c>
      <c r="C997" s="17" t="inlineStr">
        <is>
          <t>api-gateway</t>
        </is>
      </c>
      <c r="D997" s="16" t="inlineStr">
        <is>
          <t>API slice</t>
        </is>
      </c>
      <c r="E997" s="17" t="inlineStr">
        <is>
          <t>GatewayRouteTableTest</t>
        </is>
      </c>
      <c r="F997" s="17" t="inlineStr"/>
      <c r="G997" s="17" t="inlineStr">
        <is>
          <t>mỗi endpoint công khai đi tới đúng service, qua đúng route</t>
        </is>
      </c>
      <c r="H997" s="17" t="inlineStr">
        <is>
          <t>dinh_tuyen(String, String, String, int)[5]</t>
        </is>
      </c>
      <c r="I997" s="16" t="inlineStr">
        <is>
          <t>Đạt</t>
        </is>
      </c>
      <c r="J997" s="16" t="n">
        <v>0.008</v>
      </c>
    </row>
    <row r="998">
      <c r="A998" s="16" t="n">
        <v>994</v>
      </c>
      <c r="B998" s="16" t="inlineStr">
        <is>
          <t>Backend</t>
        </is>
      </c>
      <c r="C998" s="17" t="inlineStr">
        <is>
          <t>api-gateway</t>
        </is>
      </c>
      <c r="D998" s="16" t="inlineStr">
        <is>
          <t>API slice</t>
        </is>
      </c>
      <c r="E998" s="17" t="inlineStr">
        <is>
          <t>GatewayRouteTableTest</t>
        </is>
      </c>
      <c r="F998" s="17" t="inlineStr"/>
      <c r="G998" s="17" t="inlineStr">
        <is>
          <t>mỗi endpoint công khai đi tới đúng service, qua đúng route</t>
        </is>
      </c>
      <c r="H998" s="17" t="inlineStr">
        <is>
          <t>dinh_tuyen(String, String, String, int)[6]</t>
        </is>
      </c>
      <c r="I998" s="16" t="inlineStr">
        <is>
          <t>Đạt</t>
        </is>
      </c>
      <c r="J998" s="16" t="n">
        <v>0.007</v>
      </c>
    </row>
    <row r="999">
      <c r="A999" s="16" t="n">
        <v>995</v>
      </c>
      <c r="B999" s="16" t="inlineStr">
        <is>
          <t>Backend</t>
        </is>
      </c>
      <c r="C999" s="17" t="inlineStr">
        <is>
          <t>api-gateway</t>
        </is>
      </c>
      <c r="D999" s="16" t="inlineStr">
        <is>
          <t>API slice</t>
        </is>
      </c>
      <c r="E999" s="17" t="inlineStr">
        <is>
          <t>GatewayRouteTableTest</t>
        </is>
      </c>
      <c r="F999" s="17" t="inlineStr"/>
      <c r="G999" s="17" t="inlineStr">
        <is>
          <t>mỗi endpoint công khai đi tới đúng service, qua đúng route</t>
        </is>
      </c>
      <c r="H999" s="17" t="inlineStr">
        <is>
          <t>dinh_tuyen(String, String, String, int)[7]</t>
        </is>
      </c>
      <c r="I999" s="16" t="inlineStr">
        <is>
          <t>Đạt</t>
        </is>
      </c>
      <c r="J999" s="16" t="n">
        <v>0.01</v>
      </c>
    </row>
    <row r="1000">
      <c r="A1000" s="16" t="n">
        <v>996</v>
      </c>
      <c r="B1000" s="16" t="inlineStr">
        <is>
          <t>Backend</t>
        </is>
      </c>
      <c r="C1000" s="17" t="inlineStr">
        <is>
          <t>api-gateway</t>
        </is>
      </c>
      <c r="D1000" s="16" t="inlineStr">
        <is>
          <t>API slice</t>
        </is>
      </c>
      <c r="E1000" s="17" t="inlineStr">
        <is>
          <t>GatewayRouteTableTest</t>
        </is>
      </c>
      <c r="F1000" s="17" t="inlineStr"/>
      <c r="G1000" s="17" t="inlineStr">
        <is>
          <t>mỗi endpoint công khai đi tới đúng service, qua đúng route</t>
        </is>
      </c>
      <c r="H1000" s="17" t="inlineStr">
        <is>
          <t>dinh_tuyen(String, String, String, int)[8]</t>
        </is>
      </c>
      <c r="I1000" s="16" t="inlineStr">
        <is>
          <t>Đạt</t>
        </is>
      </c>
      <c r="J1000" s="16" t="n">
        <v>0.008999999999999999</v>
      </c>
    </row>
    <row r="1001">
      <c r="A1001" s="16" t="n">
        <v>997</v>
      </c>
      <c r="B1001" s="16" t="inlineStr">
        <is>
          <t>Backend</t>
        </is>
      </c>
      <c r="C1001" s="17" t="inlineStr">
        <is>
          <t>api-gateway</t>
        </is>
      </c>
      <c r="D1001" s="16" t="inlineStr">
        <is>
          <t>API slice</t>
        </is>
      </c>
      <c r="E1001" s="17" t="inlineStr">
        <is>
          <t>GatewayRouteTableTest</t>
        </is>
      </c>
      <c r="F1001" s="17" t="inlineStr"/>
      <c r="G1001" s="17" t="inlineStr">
        <is>
          <t>mỗi endpoint công khai đi tới đúng service, qua đúng route</t>
        </is>
      </c>
      <c r="H1001" s="17" t="inlineStr">
        <is>
          <t>dinh_tuyen(String, String, String, int)[9]</t>
        </is>
      </c>
      <c r="I1001" s="16" t="inlineStr">
        <is>
          <t>Đạt</t>
        </is>
      </c>
      <c r="J1001" s="16" t="n">
        <v>0.007</v>
      </c>
    </row>
    <row r="1002">
      <c r="A1002" s="16" t="n">
        <v>998</v>
      </c>
      <c r="B1002" s="16" t="inlineStr">
        <is>
          <t>Backend</t>
        </is>
      </c>
      <c r="C1002" s="17" t="inlineStr">
        <is>
          <t>api-gateway</t>
        </is>
      </c>
      <c r="D1002" s="16" t="inlineStr">
        <is>
          <t>API slice</t>
        </is>
      </c>
      <c r="E1002" s="17" t="inlineStr">
        <is>
          <t>GatewayRouteTableTest</t>
        </is>
      </c>
      <c r="F1002" s="17" t="inlineStr"/>
      <c r="G1002" s="17" t="inlineStr">
        <is>
          <t>mỗi endpoint công khai đi tới đúng service, qua đúng route</t>
        </is>
      </c>
      <c r="H1002" s="17" t="inlineStr">
        <is>
          <t>dinh_tuyen(String, String, String, int)[10]</t>
        </is>
      </c>
      <c r="I1002" s="16" t="inlineStr">
        <is>
          <t>Đạt</t>
        </is>
      </c>
      <c r="J1002" s="16" t="n">
        <v>0.008999999999999999</v>
      </c>
    </row>
    <row r="1003">
      <c r="A1003" s="16" t="n">
        <v>999</v>
      </c>
      <c r="B1003" s="16" t="inlineStr">
        <is>
          <t>Backend</t>
        </is>
      </c>
      <c r="C1003" s="17" t="inlineStr">
        <is>
          <t>api-gateway</t>
        </is>
      </c>
      <c r="D1003" s="16" t="inlineStr">
        <is>
          <t>API slice</t>
        </is>
      </c>
      <c r="E1003" s="17" t="inlineStr">
        <is>
          <t>GatewayRouteTableTest</t>
        </is>
      </c>
      <c r="F1003" s="17" t="inlineStr"/>
      <c r="G1003" s="17" t="inlineStr">
        <is>
          <t>mỗi endpoint công khai đi tới đúng service, qua đúng route</t>
        </is>
      </c>
      <c r="H1003" s="17" t="inlineStr">
        <is>
          <t>dinh_tuyen(String, String, String, int)[11]</t>
        </is>
      </c>
      <c r="I1003" s="16" t="inlineStr">
        <is>
          <t>Đạt</t>
        </is>
      </c>
      <c r="J1003" s="16" t="n">
        <v>0.012</v>
      </c>
    </row>
    <row r="1004">
      <c r="A1004" s="16" t="n">
        <v>1000</v>
      </c>
      <c r="B1004" s="16" t="inlineStr">
        <is>
          <t>Backend</t>
        </is>
      </c>
      <c r="C1004" s="17" t="inlineStr">
        <is>
          <t>api-gateway</t>
        </is>
      </c>
      <c r="D1004" s="16" t="inlineStr">
        <is>
          <t>API slice</t>
        </is>
      </c>
      <c r="E1004" s="17" t="inlineStr">
        <is>
          <t>GatewayRouteTableTest</t>
        </is>
      </c>
      <c r="F1004" s="17" t="inlineStr"/>
      <c r="G1004" s="17" t="inlineStr">
        <is>
          <t>mỗi endpoint công khai đi tới đúng service, qua đúng route</t>
        </is>
      </c>
      <c r="H1004" s="17" t="inlineStr">
        <is>
          <t>dinh_tuyen(String, String, String, int)[12]</t>
        </is>
      </c>
      <c r="I1004" s="16" t="inlineStr">
        <is>
          <t>Đạt</t>
        </is>
      </c>
      <c r="J1004" s="16" t="n">
        <v>0.008999999999999999</v>
      </c>
    </row>
    <row r="1005">
      <c r="A1005" s="16" t="n">
        <v>1001</v>
      </c>
      <c r="B1005" s="16" t="inlineStr">
        <is>
          <t>Backend</t>
        </is>
      </c>
      <c r="C1005" s="17" t="inlineStr">
        <is>
          <t>api-gateway</t>
        </is>
      </c>
      <c r="D1005" s="16" t="inlineStr">
        <is>
          <t>API slice</t>
        </is>
      </c>
      <c r="E1005" s="17" t="inlineStr">
        <is>
          <t>GatewayRouteTableTest</t>
        </is>
      </c>
      <c r="F1005" s="17" t="inlineStr"/>
      <c r="G1005" s="17" t="inlineStr">
        <is>
          <t>mỗi endpoint công khai đi tới đúng service, qua đúng route</t>
        </is>
      </c>
      <c r="H1005" s="17" t="inlineStr">
        <is>
          <t>dinh_tuyen(String, String, String, int)[13]</t>
        </is>
      </c>
      <c r="I1005" s="16" t="inlineStr">
        <is>
          <t>Đạt</t>
        </is>
      </c>
      <c r="J1005" s="16" t="n">
        <v>0.008</v>
      </c>
    </row>
    <row r="1006">
      <c r="A1006" s="16" t="n">
        <v>1002</v>
      </c>
      <c r="B1006" s="16" t="inlineStr">
        <is>
          <t>Backend</t>
        </is>
      </c>
      <c r="C1006" s="17" t="inlineStr">
        <is>
          <t>api-gateway</t>
        </is>
      </c>
      <c r="D1006" s="16" t="inlineStr">
        <is>
          <t>API slice</t>
        </is>
      </c>
      <c r="E1006" s="17" t="inlineStr">
        <is>
          <t>GatewayRouteTableTest</t>
        </is>
      </c>
      <c r="F1006" s="17" t="inlineStr"/>
      <c r="G1006" s="17" t="inlineStr">
        <is>
          <t>mỗi endpoint công khai đi tới đúng service, qua đúng route</t>
        </is>
      </c>
      <c r="H1006" s="17" t="inlineStr">
        <is>
          <t>dinh_tuyen(String, String, String, int)[14]</t>
        </is>
      </c>
      <c r="I1006" s="16" t="inlineStr">
        <is>
          <t>Đạt</t>
        </is>
      </c>
      <c r="J1006" s="16" t="n">
        <v>0.007</v>
      </c>
    </row>
    <row r="1007">
      <c r="A1007" s="16" t="n">
        <v>1003</v>
      </c>
      <c r="B1007" s="16" t="inlineStr">
        <is>
          <t>Backend</t>
        </is>
      </c>
      <c r="C1007" s="17" t="inlineStr">
        <is>
          <t>api-gateway</t>
        </is>
      </c>
      <c r="D1007" s="16" t="inlineStr">
        <is>
          <t>API slice</t>
        </is>
      </c>
      <c r="E1007" s="17" t="inlineStr">
        <is>
          <t>GatewayRouteTableTest</t>
        </is>
      </c>
      <c r="F1007" s="17" t="inlineStr"/>
      <c r="G1007" s="17" t="inlineStr">
        <is>
          <t>mỗi endpoint công khai đi tới đúng service, qua đúng route</t>
        </is>
      </c>
      <c r="H1007" s="17" t="inlineStr">
        <is>
          <t>dinh_tuyen(String, String, String, int)[15]</t>
        </is>
      </c>
      <c r="I1007" s="16" t="inlineStr">
        <is>
          <t>Đạt</t>
        </is>
      </c>
      <c r="J1007" s="16" t="n">
        <v>0.007</v>
      </c>
    </row>
    <row r="1008">
      <c r="A1008" s="16" t="n">
        <v>1004</v>
      </c>
      <c r="B1008" s="16" t="inlineStr">
        <is>
          <t>Backend</t>
        </is>
      </c>
      <c r="C1008" s="17" t="inlineStr">
        <is>
          <t>api-gateway</t>
        </is>
      </c>
      <c r="D1008" s="16" t="inlineStr">
        <is>
          <t>API slice</t>
        </is>
      </c>
      <c r="E1008" s="17" t="inlineStr">
        <is>
          <t>GatewayRouteTableTest</t>
        </is>
      </c>
      <c r="F1008" s="17" t="inlineStr"/>
      <c r="G1008" s="17" t="inlineStr">
        <is>
          <t>mỗi endpoint công khai đi tới đúng service, qua đúng route</t>
        </is>
      </c>
      <c r="H1008" s="17" t="inlineStr">
        <is>
          <t>dinh_tuyen(String, String, String, int)[16]</t>
        </is>
      </c>
      <c r="I1008" s="16" t="inlineStr">
        <is>
          <t>Đạt</t>
        </is>
      </c>
      <c r="J1008" s="16" t="n">
        <v>0.008999999999999999</v>
      </c>
    </row>
    <row r="1009">
      <c r="A1009" s="16" t="n">
        <v>1005</v>
      </c>
      <c r="B1009" s="16" t="inlineStr">
        <is>
          <t>Backend</t>
        </is>
      </c>
      <c r="C1009" s="17" t="inlineStr">
        <is>
          <t>api-gateway</t>
        </is>
      </c>
      <c r="D1009" s="16" t="inlineStr">
        <is>
          <t>API slice</t>
        </is>
      </c>
      <c r="E1009" s="17" t="inlineStr">
        <is>
          <t>GatewayRouteTableTest</t>
        </is>
      </c>
      <c r="F1009" s="17" t="inlineStr"/>
      <c r="G1009" s="17" t="inlineStr">
        <is>
          <t>mỗi endpoint công khai đi tới đúng service, qua đúng route</t>
        </is>
      </c>
      <c r="H1009" s="17" t="inlineStr">
        <is>
          <t>dinh_tuyen(String, String, String, int)[17]</t>
        </is>
      </c>
      <c r="I1009" s="16" t="inlineStr">
        <is>
          <t>Đạt</t>
        </is>
      </c>
      <c r="J1009" s="16" t="n">
        <v>0.008</v>
      </c>
    </row>
    <row r="1010">
      <c r="A1010" s="16" t="n">
        <v>1006</v>
      </c>
      <c r="B1010" s="16" t="inlineStr">
        <is>
          <t>Backend</t>
        </is>
      </c>
      <c r="C1010" s="17" t="inlineStr">
        <is>
          <t>api-gateway</t>
        </is>
      </c>
      <c r="D1010" s="16" t="inlineStr">
        <is>
          <t>API slice</t>
        </is>
      </c>
      <c r="E1010" s="17" t="inlineStr">
        <is>
          <t>GatewayRouteTableTest</t>
        </is>
      </c>
      <c r="F1010" s="17" t="inlineStr"/>
      <c r="G1010" s="17" t="inlineStr">
        <is>
          <t>mỗi endpoint công khai đi tới đúng service, qua đúng route</t>
        </is>
      </c>
      <c r="H1010" s="17" t="inlineStr">
        <is>
          <t>dinh_tuyen(String, String, String, int)[18]</t>
        </is>
      </c>
      <c r="I1010" s="16" t="inlineStr">
        <is>
          <t>Đạt</t>
        </is>
      </c>
      <c r="J1010" s="16" t="n">
        <v>0.012</v>
      </c>
    </row>
    <row r="1011">
      <c r="A1011" s="16" t="n">
        <v>1007</v>
      </c>
      <c r="B1011" s="16" t="inlineStr">
        <is>
          <t>Backend</t>
        </is>
      </c>
      <c r="C1011" s="17" t="inlineStr">
        <is>
          <t>api-gateway</t>
        </is>
      </c>
      <c r="D1011" s="16" t="inlineStr">
        <is>
          <t>API slice</t>
        </is>
      </c>
      <c r="E1011" s="17" t="inlineStr">
        <is>
          <t>GatewayRouteTableTest</t>
        </is>
      </c>
      <c r="F1011" s="17" t="inlineStr"/>
      <c r="G1011" s="17" t="inlineStr">
        <is>
          <t>mỗi endpoint công khai đi tới đúng service, qua đúng route</t>
        </is>
      </c>
      <c r="H1011" s="17" t="inlineStr">
        <is>
          <t>dinh_tuyen(String, String, String, int)[19]</t>
        </is>
      </c>
      <c r="I1011" s="16" t="inlineStr">
        <is>
          <t>Đạt</t>
        </is>
      </c>
      <c r="J1011" s="16" t="n">
        <v>0.006</v>
      </c>
    </row>
    <row r="1012">
      <c r="A1012" s="16" t="n">
        <v>1008</v>
      </c>
      <c r="B1012" s="16" t="inlineStr">
        <is>
          <t>Backend</t>
        </is>
      </c>
      <c r="C1012" s="17" t="inlineStr">
        <is>
          <t>api-gateway</t>
        </is>
      </c>
      <c r="D1012" s="16" t="inlineStr">
        <is>
          <t>API slice</t>
        </is>
      </c>
      <c r="E1012" s="17" t="inlineStr">
        <is>
          <t>GatewayRouteTableTest</t>
        </is>
      </c>
      <c r="F1012" s="17" t="inlineStr"/>
      <c r="G1012" s="17" t="inlineStr">
        <is>
          <t>mỗi endpoint công khai đi tới đúng service, qua đúng route</t>
        </is>
      </c>
      <c r="H1012" s="17" t="inlineStr">
        <is>
          <t>dinh_tuyen(String, String, String, int)[20]</t>
        </is>
      </c>
      <c r="I1012" s="16" t="inlineStr">
        <is>
          <t>Đạt</t>
        </is>
      </c>
      <c r="J1012" s="16" t="n">
        <v>0.008</v>
      </c>
    </row>
    <row r="1013">
      <c r="A1013" s="16" t="n">
        <v>1009</v>
      </c>
      <c r="B1013" s="16" t="inlineStr">
        <is>
          <t>Backend</t>
        </is>
      </c>
      <c r="C1013" s="17" t="inlineStr">
        <is>
          <t>api-gateway</t>
        </is>
      </c>
      <c r="D1013" s="16" t="inlineStr">
        <is>
          <t>API slice</t>
        </is>
      </c>
      <c r="E1013" s="17" t="inlineStr">
        <is>
          <t>GatewayRouteTableTest</t>
        </is>
      </c>
      <c r="F1013" s="17" t="inlineStr"/>
      <c r="G1013" s="17" t="inlineStr">
        <is>
          <t>mỗi endpoint công khai đi tới đúng service, qua đúng route</t>
        </is>
      </c>
      <c r="H1013" s="17" t="inlineStr">
        <is>
          <t>dinh_tuyen(String, String, String, int)[21]</t>
        </is>
      </c>
      <c r="I1013" s="16" t="inlineStr">
        <is>
          <t>Đạt</t>
        </is>
      </c>
      <c r="J1013" s="16" t="n">
        <v>0.011</v>
      </c>
    </row>
    <row r="1014">
      <c r="A1014" s="16" t="n">
        <v>1010</v>
      </c>
      <c r="B1014" s="16" t="inlineStr">
        <is>
          <t>Backend</t>
        </is>
      </c>
      <c r="C1014" s="17" t="inlineStr">
        <is>
          <t>api-gateway</t>
        </is>
      </c>
      <c r="D1014" s="16" t="inlineStr">
        <is>
          <t>API slice</t>
        </is>
      </c>
      <c r="E1014" s="17" t="inlineStr">
        <is>
          <t>GatewayRouteTableTest</t>
        </is>
      </c>
      <c r="F1014" s="17" t="inlineStr"/>
      <c r="G1014" s="17" t="inlineStr">
        <is>
          <t>mỗi endpoint công khai đi tới đúng service, qua đúng route</t>
        </is>
      </c>
      <c r="H1014" s="17" t="inlineStr">
        <is>
          <t>dinh_tuyen(String, String, String, int)[22]</t>
        </is>
      </c>
      <c r="I1014" s="16" t="inlineStr">
        <is>
          <t>Đạt</t>
        </is>
      </c>
      <c r="J1014" s="16" t="n">
        <v>0.007</v>
      </c>
    </row>
    <row r="1015">
      <c r="A1015" s="16" t="n">
        <v>1011</v>
      </c>
      <c r="B1015" s="16" t="inlineStr">
        <is>
          <t>Backend</t>
        </is>
      </c>
      <c r="C1015" s="17" t="inlineStr">
        <is>
          <t>api-gateway</t>
        </is>
      </c>
      <c r="D1015" s="16" t="inlineStr">
        <is>
          <t>API slice</t>
        </is>
      </c>
      <c r="E1015" s="17" t="inlineStr">
        <is>
          <t>GatewayRouteTableTest</t>
        </is>
      </c>
      <c r="F1015" s="17" t="inlineStr"/>
      <c r="G1015" s="17" t="inlineStr">
        <is>
          <t>mỗi endpoint công khai đi tới đúng service, qua đúng route</t>
        </is>
      </c>
      <c r="H1015" s="17" t="inlineStr">
        <is>
          <t>dinh_tuyen(String, String, String, int)[23]</t>
        </is>
      </c>
      <c r="I1015" s="16" t="inlineStr">
        <is>
          <t>Đạt</t>
        </is>
      </c>
      <c r="J1015" s="16" t="n">
        <v>0.015</v>
      </c>
    </row>
    <row r="1016">
      <c r="A1016" s="16" t="n">
        <v>1012</v>
      </c>
      <c r="B1016" s="16" t="inlineStr">
        <is>
          <t>Backend</t>
        </is>
      </c>
      <c r="C1016" s="17" t="inlineStr">
        <is>
          <t>api-gateway</t>
        </is>
      </c>
      <c r="D1016" s="16" t="inlineStr">
        <is>
          <t>API slice</t>
        </is>
      </c>
      <c r="E1016" s="17" t="inlineStr">
        <is>
          <t>GatewayRouteTableTest</t>
        </is>
      </c>
      <c r="F1016" s="17" t="inlineStr"/>
      <c r="G1016" s="17" t="inlineStr">
        <is>
          <t>mỗi endpoint công khai đi tới đúng service, qua đúng route</t>
        </is>
      </c>
      <c r="H1016" s="17" t="inlineStr">
        <is>
          <t>dinh_tuyen(String, String, String, int)[24]</t>
        </is>
      </c>
      <c r="I1016" s="16" t="inlineStr">
        <is>
          <t>Đạt</t>
        </is>
      </c>
      <c r="J1016" s="16" t="n">
        <v>0.01</v>
      </c>
    </row>
    <row r="1017">
      <c r="A1017" s="16" t="n">
        <v>1013</v>
      </c>
      <c r="B1017" s="16" t="inlineStr">
        <is>
          <t>Backend</t>
        </is>
      </c>
      <c r="C1017" s="17" t="inlineStr">
        <is>
          <t>api-gateway</t>
        </is>
      </c>
      <c r="D1017" s="16" t="inlineStr">
        <is>
          <t>API slice</t>
        </is>
      </c>
      <c r="E1017" s="17" t="inlineStr">
        <is>
          <t>GatewayRouteTableTest</t>
        </is>
      </c>
      <c r="F1017" s="17" t="inlineStr"/>
      <c r="G1017" s="17" t="inlineStr">
        <is>
          <t>mỗi endpoint công khai đi tới đúng service, qua đúng route</t>
        </is>
      </c>
      <c r="H1017" s="17" t="inlineStr">
        <is>
          <t>dinh_tuyen(String, String, String, int)[25]</t>
        </is>
      </c>
      <c r="I1017" s="16" t="inlineStr">
        <is>
          <t>Đạt</t>
        </is>
      </c>
      <c r="J1017" s="16" t="n">
        <v>0.008</v>
      </c>
    </row>
    <row r="1018">
      <c r="A1018" s="16" t="n">
        <v>1014</v>
      </c>
      <c r="B1018" s="16" t="inlineStr">
        <is>
          <t>Backend</t>
        </is>
      </c>
      <c r="C1018" s="17" t="inlineStr">
        <is>
          <t>api-gateway</t>
        </is>
      </c>
      <c r="D1018" s="16" t="inlineStr">
        <is>
          <t>API slice</t>
        </is>
      </c>
      <c r="E1018" s="17" t="inlineStr">
        <is>
          <t>GatewayRouteTableTest</t>
        </is>
      </c>
      <c r="F1018" s="17" t="inlineStr"/>
      <c r="G1018" s="17" t="inlineStr">
        <is>
          <t>mỗi endpoint công khai đi tới đúng service, qua đúng route</t>
        </is>
      </c>
      <c r="H1018" s="17" t="inlineStr">
        <is>
          <t>dinh_tuyen(String, String, String, int)[26]</t>
        </is>
      </c>
      <c r="I1018" s="16" t="inlineStr">
        <is>
          <t>Đạt</t>
        </is>
      </c>
      <c r="J1018" s="16" t="n">
        <v>0.008</v>
      </c>
    </row>
    <row r="1019">
      <c r="A1019" s="16" t="n">
        <v>1015</v>
      </c>
      <c r="B1019" s="16" t="inlineStr">
        <is>
          <t>Backend</t>
        </is>
      </c>
      <c r="C1019" s="17" t="inlineStr">
        <is>
          <t>api-gateway</t>
        </is>
      </c>
      <c r="D1019" s="16" t="inlineStr">
        <is>
          <t>API slice</t>
        </is>
      </c>
      <c r="E1019" s="17" t="inlineStr">
        <is>
          <t>GatewayRouteTableTest</t>
        </is>
      </c>
      <c r="F1019" s="17" t="inlineStr"/>
      <c r="G1019" s="17" t="inlineStr">
        <is>
          <t>mỗi endpoint công khai đi tới đúng service, qua đúng route</t>
        </is>
      </c>
      <c r="H1019" s="17" t="inlineStr">
        <is>
          <t>dinh_tuyen(String, String, String, int)[27]</t>
        </is>
      </c>
      <c r="I1019" s="16" t="inlineStr">
        <is>
          <t>Đạt</t>
        </is>
      </c>
      <c r="J1019" s="16" t="n">
        <v>0.007</v>
      </c>
    </row>
    <row r="1020">
      <c r="A1020" s="16" t="n">
        <v>1016</v>
      </c>
      <c r="B1020" s="16" t="inlineStr">
        <is>
          <t>Backend</t>
        </is>
      </c>
      <c r="C1020" s="17" t="inlineStr">
        <is>
          <t>api-gateway</t>
        </is>
      </c>
      <c r="D1020" s="16" t="inlineStr">
        <is>
          <t>API slice</t>
        </is>
      </c>
      <c r="E1020" s="17" t="inlineStr">
        <is>
          <t>GatewayRouteTableTest</t>
        </is>
      </c>
      <c r="F1020" s="17" t="inlineStr"/>
      <c r="G1020" s="17" t="inlineStr">
        <is>
          <t>mỗi endpoint công khai đi tới đúng service, qua đúng route</t>
        </is>
      </c>
      <c r="H1020" s="17" t="inlineStr">
        <is>
          <t>dinh_tuyen(String, String, String, int)[28]</t>
        </is>
      </c>
      <c r="I1020" s="16" t="inlineStr">
        <is>
          <t>Đạt</t>
        </is>
      </c>
      <c r="J1020" s="16" t="n">
        <v>0.012</v>
      </c>
    </row>
    <row r="1021">
      <c r="A1021" s="16" t="n">
        <v>1017</v>
      </c>
      <c r="B1021" s="16" t="inlineStr">
        <is>
          <t>Backend</t>
        </is>
      </c>
      <c r="C1021" s="17" t="inlineStr">
        <is>
          <t>api-gateway</t>
        </is>
      </c>
      <c r="D1021" s="16" t="inlineStr">
        <is>
          <t>API slice</t>
        </is>
      </c>
      <c r="E1021" s="17" t="inlineStr">
        <is>
          <t>GatewayRouteTableTest</t>
        </is>
      </c>
      <c r="F1021" s="17" t="inlineStr"/>
      <c r="G1021" s="17" t="inlineStr">
        <is>
          <t>mỗi endpoint công khai đi tới đúng service, qua đúng route</t>
        </is>
      </c>
      <c r="H1021" s="17" t="inlineStr">
        <is>
          <t>dinh_tuyen(String, String, String, int)[29]</t>
        </is>
      </c>
      <c r="I1021" s="16" t="inlineStr">
        <is>
          <t>Đạt</t>
        </is>
      </c>
      <c r="J1021" s="16" t="n">
        <v>0.008</v>
      </c>
    </row>
    <row r="1022">
      <c r="A1022" s="16" t="n">
        <v>1018</v>
      </c>
      <c r="B1022" s="16" t="inlineStr">
        <is>
          <t>Backend</t>
        </is>
      </c>
      <c r="C1022" s="17" t="inlineStr">
        <is>
          <t>api-gateway</t>
        </is>
      </c>
      <c r="D1022" s="16" t="inlineStr">
        <is>
          <t>API slice</t>
        </is>
      </c>
      <c r="E1022" s="17" t="inlineStr">
        <is>
          <t>GatewayRouteTableTest</t>
        </is>
      </c>
      <c r="F1022" s="17" t="inlineStr"/>
      <c r="G1022" s="17" t="inlineStr">
        <is>
          <t>mỗi endpoint công khai đi tới đúng service, qua đúng route</t>
        </is>
      </c>
      <c r="H1022" s="17" t="inlineStr">
        <is>
          <t>dinh_tuyen(String, String, String, int)[30]</t>
        </is>
      </c>
      <c r="I1022" s="16" t="inlineStr">
        <is>
          <t>Đạt</t>
        </is>
      </c>
      <c r="J1022" s="16" t="n">
        <v>0.011</v>
      </c>
    </row>
    <row r="1023">
      <c r="A1023" s="16" t="n">
        <v>1019</v>
      </c>
      <c r="B1023" s="16" t="inlineStr">
        <is>
          <t>Backend</t>
        </is>
      </c>
      <c r="C1023" s="17" t="inlineStr">
        <is>
          <t>api-gateway</t>
        </is>
      </c>
      <c r="D1023" s="16" t="inlineStr">
        <is>
          <t>API slice</t>
        </is>
      </c>
      <c r="E1023" s="17" t="inlineStr">
        <is>
          <t>GatewayRouteTableTest</t>
        </is>
      </c>
      <c r="F1023" s="17" t="inlineStr"/>
      <c r="G1023" s="17" t="inlineStr">
        <is>
          <t>mỗi endpoint công khai đi tới đúng service, qua đúng route</t>
        </is>
      </c>
      <c r="H1023" s="17" t="inlineStr">
        <is>
          <t>dinh_tuyen(String, String, String, int)[31]</t>
        </is>
      </c>
      <c r="I1023" s="16" t="inlineStr">
        <is>
          <t>Đạt</t>
        </is>
      </c>
      <c r="J1023" s="16" t="n">
        <v>0.011</v>
      </c>
    </row>
    <row r="1024">
      <c r="A1024" s="16" t="n">
        <v>1020</v>
      </c>
      <c r="B1024" s="16" t="inlineStr">
        <is>
          <t>Backend</t>
        </is>
      </c>
      <c r="C1024" s="17" t="inlineStr">
        <is>
          <t>api-gateway</t>
        </is>
      </c>
      <c r="D1024" s="16" t="inlineStr">
        <is>
          <t>API slice</t>
        </is>
      </c>
      <c r="E1024" s="17" t="inlineStr">
        <is>
          <t>GatewayRouteTableTest</t>
        </is>
      </c>
      <c r="F1024" s="17" t="inlineStr"/>
      <c r="G1024" s="17" t="inlineStr">
        <is>
          <t>mỗi endpoint công khai đi tới đúng service, qua đúng route</t>
        </is>
      </c>
      <c r="H1024" s="17" t="inlineStr">
        <is>
          <t>dinh_tuyen(String, String, String, int)[32]</t>
        </is>
      </c>
      <c r="I1024" s="16" t="inlineStr">
        <is>
          <t>Đạt</t>
        </is>
      </c>
      <c r="J1024" s="16" t="n">
        <v>0.013</v>
      </c>
    </row>
    <row r="1025">
      <c r="A1025" s="16" t="n">
        <v>1021</v>
      </c>
      <c r="B1025" s="16" t="inlineStr">
        <is>
          <t>Backend</t>
        </is>
      </c>
      <c r="C1025" s="17" t="inlineStr">
        <is>
          <t>api-gateway</t>
        </is>
      </c>
      <c r="D1025" s="16" t="inlineStr">
        <is>
          <t>API slice</t>
        </is>
      </c>
      <c r="E1025" s="17" t="inlineStr">
        <is>
          <t>GatewayRouteTableTest</t>
        </is>
      </c>
      <c r="F1025" s="17" t="inlineStr"/>
      <c r="G1025" s="17" t="inlineStr">
        <is>
          <t>mỗi endpoint công khai đi tới đúng service, qua đúng route</t>
        </is>
      </c>
      <c r="H1025" s="17" t="inlineStr">
        <is>
          <t>dinh_tuyen(String, String, String, int)[33]</t>
        </is>
      </c>
      <c r="I1025" s="16" t="inlineStr">
        <is>
          <t>Đạt</t>
        </is>
      </c>
      <c r="J1025" s="16" t="n">
        <v>0.007</v>
      </c>
    </row>
    <row r="1026">
      <c r="A1026" s="16" t="n">
        <v>1022</v>
      </c>
      <c r="B1026" s="16" t="inlineStr">
        <is>
          <t>Backend</t>
        </is>
      </c>
      <c r="C1026" s="17" t="inlineStr">
        <is>
          <t>api-gateway</t>
        </is>
      </c>
      <c r="D1026" s="16" t="inlineStr">
        <is>
          <t>API slice</t>
        </is>
      </c>
      <c r="E1026" s="17" t="inlineStr">
        <is>
          <t>GatewayRouteTableTest</t>
        </is>
      </c>
      <c r="F1026" s="17" t="inlineStr"/>
      <c r="G1026" s="17" t="inlineStr">
        <is>
          <t>mỗi endpoint công khai đi tới đúng service, qua đúng route</t>
        </is>
      </c>
      <c r="H1026" s="17" t="inlineStr">
        <is>
          <t>dinh_tuyen(String, String, String, int)[34]</t>
        </is>
      </c>
      <c r="I1026" s="16" t="inlineStr">
        <is>
          <t>Đạt</t>
        </is>
      </c>
      <c r="J1026" s="16" t="n">
        <v>0.007</v>
      </c>
    </row>
    <row r="1027">
      <c r="A1027" s="16" t="n">
        <v>1023</v>
      </c>
      <c r="B1027" s="16" t="inlineStr">
        <is>
          <t>Backend</t>
        </is>
      </c>
      <c r="C1027" s="17" t="inlineStr">
        <is>
          <t>api-gateway</t>
        </is>
      </c>
      <c r="D1027" s="16" t="inlineStr">
        <is>
          <t>API slice</t>
        </is>
      </c>
      <c r="E1027" s="17" t="inlineStr">
        <is>
          <t>GatewayRouteTableTest</t>
        </is>
      </c>
      <c r="F1027" s="17" t="inlineStr"/>
      <c r="G1027" s="17" t="inlineStr">
        <is>
          <t>mỗi endpoint công khai đi tới đúng service, qua đúng route</t>
        </is>
      </c>
      <c r="H1027" s="17" t="inlineStr">
        <is>
          <t>dinh_tuyen(String, String, String, int)[35]</t>
        </is>
      </c>
      <c r="I1027" s="16" t="inlineStr">
        <is>
          <t>Đạt</t>
        </is>
      </c>
      <c r="J1027" s="16" t="n">
        <v>0.006</v>
      </c>
    </row>
    <row r="1028">
      <c r="A1028" s="16" t="n">
        <v>1024</v>
      </c>
      <c r="B1028" s="16" t="inlineStr">
        <is>
          <t>Backend</t>
        </is>
      </c>
      <c r="C1028" s="17" t="inlineStr">
        <is>
          <t>api-gateway</t>
        </is>
      </c>
      <c r="D1028" s="16" t="inlineStr">
        <is>
          <t>API slice</t>
        </is>
      </c>
      <c r="E1028" s="17" t="inlineStr">
        <is>
          <t>GatewayRouteTableTest</t>
        </is>
      </c>
      <c r="F1028" s="17" t="inlineStr"/>
      <c r="G1028" s="17" t="inlineStr">
        <is>
          <t>mỗi endpoint công khai đi tới đúng service, qua đúng route</t>
        </is>
      </c>
      <c r="H1028" s="17" t="inlineStr">
        <is>
          <t>dinh_tuyen(String, String, String, int)[36]</t>
        </is>
      </c>
      <c r="I1028" s="16" t="inlineStr">
        <is>
          <t>Đạt</t>
        </is>
      </c>
      <c r="J1028" s="16" t="n">
        <v>0.006</v>
      </c>
    </row>
    <row r="1029">
      <c r="A1029" s="16" t="n">
        <v>1025</v>
      </c>
      <c r="B1029" s="16" t="inlineStr">
        <is>
          <t>Backend</t>
        </is>
      </c>
      <c r="C1029" s="17" t="inlineStr">
        <is>
          <t>api-gateway</t>
        </is>
      </c>
      <c r="D1029" s="16" t="inlineStr">
        <is>
          <t>API slice</t>
        </is>
      </c>
      <c r="E1029" s="17" t="inlineStr">
        <is>
          <t>GatewayRouteTableTest</t>
        </is>
      </c>
      <c r="F1029" s="17" t="inlineStr"/>
      <c r="G1029" s="17" t="inlineStr">
        <is>
          <t>mỗi endpoint công khai đi tới đúng service, qua đúng route</t>
        </is>
      </c>
      <c r="H1029" s="17" t="inlineStr">
        <is>
          <t>dinh_tuyen(String, String, String, int)[37]</t>
        </is>
      </c>
      <c r="I1029" s="16" t="inlineStr">
        <is>
          <t>Đạt</t>
        </is>
      </c>
      <c r="J1029" s="16" t="n">
        <v>0.006</v>
      </c>
    </row>
    <row r="1030">
      <c r="A1030" s="16" t="n">
        <v>1026</v>
      </c>
      <c r="B1030" s="16" t="inlineStr">
        <is>
          <t>Backend</t>
        </is>
      </c>
      <c r="C1030" s="17" t="inlineStr">
        <is>
          <t>api-gateway</t>
        </is>
      </c>
      <c r="D1030" s="16" t="inlineStr">
        <is>
          <t>API slice</t>
        </is>
      </c>
      <c r="E1030" s="17" t="inlineStr">
        <is>
          <t>GatewayRouteTableTest</t>
        </is>
      </c>
      <c r="F1030" s="17" t="inlineStr"/>
      <c r="G1030" s="17" t="inlineStr">
        <is>
          <t>mỗi endpoint công khai đi tới đúng service, qua đúng route</t>
        </is>
      </c>
      <c r="H1030" s="17" t="inlineStr">
        <is>
          <t>dinh_tuyen(String, String, String, int)[38]</t>
        </is>
      </c>
      <c r="I1030" s="16" t="inlineStr">
        <is>
          <t>Đạt</t>
        </is>
      </c>
      <c r="J1030" s="16" t="n">
        <v>0.008</v>
      </c>
    </row>
    <row r="1031">
      <c r="A1031" s="16" t="n">
        <v>1027</v>
      </c>
      <c r="B1031" s="16" t="inlineStr">
        <is>
          <t>Backend</t>
        </is>
      </c>
      <c r="C1031" s="17" t="inlineStr">
        <is>
          <t>api-gateway</t>
        </is>
      </c>
      <c r="D1031" s="16" t="inlineStr">
        <is>
          <t>API slice</t>
        </is>
      </c>
      <c r="E1031" s="17" t="inlineStr">
        <is>
          <t>GatewayRouteTableTest</t>
        </is>
      </c>
      <c r="F1031" s="17" t="inlineStr"/>
      <c r="G1031" s="17" t="inlineStr">
        <is>
          <t>mỗi endpoint công khai đi tới đúng service, qua đúng route</t>
        </is>
      </c>
      <c r="H1031" s="17" t="inlineStr">
        <is>
          <t>dinh_tuyen(String, String, String, int)[39]</t>
        </is>
      </c>
      <c r="I1031" s="16" t="inlineStr">
        <is>
          <t>Đạt</t>
        </is>
      </c>
      <c r="J1031" s="16" t="n">
        <v>0.006</v>
      </c>
    </row>
    <row r="1032">
      <c r="A1032" s="16" t="n">
        <v>1028</v>
      </c>
      <c r="B1032" s="16" t="inlineStr">
        <is>
          <t>Backend</t>
        </is>
      </c>
      <c r="C1032" s="17" t="inlineStr">
        <is>
          <t>api-gateway</t>
        </is>
      </c>
      <c r="D1032" s="16" t="inlineStr">
        <is>
          <t>API slice</t>
        </is>
      </c>
      <c r="E1032" s="17" t="inlineStr">
        <is>
          <t>GatewayRouteTableTest</t>
        </is>
      </c>
      <c r="F1032" s="17" t="inlineStr"/>
      <c r="G1032" s="17" t="inlineStr">
        <is>
          <t>mỗi endpoint công khai đi tới đúng service, qua đúng route</t>
        </is>
      </c>
      <c r="H1032" s="17" t="inlineStr">
        <is>
          <t>dinh_tuyen(String, String, String, int)[40]</t>
        </is>
      </c>
      <c r="I1032" s="16" t="inlineStr">
        <is>
          <t>Đạt</t>
        </is>
      </c>
      <c r="J1032" s="16" t="n">
        <v>0.007</v>
      </c>
    </row>
    <row r="1033">
      <c r="A1033" s="16" t="n">
        <v>1029</v>
      </c>
      <c r="B1033" s="16" t="inlineStr">
        <is>
          <t>Backend</t>
        </is>
      </c>
      <c r="C1033" s="17" t="inlineStr">
        <is>
          <t>api-gateway</t>
        </is>
      </c>
      <c r="D1033" s="16" t="inlineStr">
        <is>
          <t>API slice</t>
        </is>
      </c>
      <c r="E1033" s="17" t="inlineStr">
        <is>
          <t>GatewayRouteTableTest</t>
        </is>
      </c>
      <c r="F1033" s="17" t="inlineStr"/>
      <c r="G1033" s="17" t="inlineStr">
        <is>
          <t>mỗi endpoint công khai đi tới đúng service, qua đúng route</t>
        </is>
      </c>
      <c r="H1033" s="17" t="inlineStr">
        <is>
          <t>dinh_tuyen(String, String, String, int)[41]</t>
        </is>
      </c>
      <c r="I1033" s="16" t="inlineStr">
        <is>
          <t>Đạt</t>
        </is>
      </c>
      <c r="J1033" s="16" t="n">
        <v>0.015</v>
      </c>
    </row>
    <row r="1034">
      <c r="A1034" s="16" t="n">
        <v>1030</v>
      </c>
      <c r="B1034" s="16" t="inlineStr">
        <is>
          <t>Backend</t>
        </is>
      </c>
      <c r="C1034" s="17" t="inlineStr">
        <is>
          <t>api-gateway</t>
        </is>
      </c>
      <c r="D1034" s="16" t="inlineStr">
        <is>
          <t>API slice</t>
        </is>
      </c>
      <c r="E1034" s="17" t="inlineStr">
        <is>
          <t>GatewayRouteTableTest</t>
        </is>
      </c>
      <c r="F1034" s="17" t="inlineStr"/>
      <c r="G1034" s="17" t="inlineStr">
        <is>
          <t>mỗi endpoint công khai đi tới đúng service, qua đúng route</t>
        </is>
      </c>
      <c r="H1034" s="17" t="inlineStr">
        <is>
          <t>dinh_tuyen(String, String, String, int)[42]</t>
        </is>
      </c>
      <c r="I1034" s="16" t="inlineStr">
        <is>
          <t>Đạt</t>
        </is>
      </c>
      <c r="J1034" s="16" t="n">
        <v>0.011</v>
      </c>
    </row>
    <row r="1035">
      <c r="A1035" s="16" t="n">
        <v>1031</v>
      </c>
      <c r="B1035" s="16" t="inlineStr">
        <is>
          <t>Backend</t>
        </is>
      </c>
      <c r="C1035" s="17" t="inlineStr">
        <is>
          <t>api-gateway</t>
        </is>
      </c>
      <c r="D1035" s="16" t="inlineStr">
        <is>
          <t>API slice</t>
        </is>
      </c>
      <c r="E1035" s="17" t="inlineStr">
        <is>
          <t>GatewayRouteTableTest</t>
        </is>
      </c>
      <c r="F1035" s="17" t="inlineStr"/>
      <c r="G1035" s="17" t="inlineStr">
        <is>
          <t>mỗi endpoint công khai đi tới đúng service, qua đúng route</t>
        </is>
      </c>
      <c r="H1035" s="17" t="inlineStr">
        <is>
          <t>dinh_tuyen(String, String, String, int)[43]</t>
        </is>
      </c>
      <c r="I1035" s="16" t="inlineStr">
        <is>
          <t>Đạt</t>
        </is>
      </c>
      <c r="J1035" s="16" t="n">
        <v>0.008999999999999999</v>
      </c>
    </row>
    <row r="1036">
      <c r="A1036" s="16" t="n">
        <v>1032</v>
      </c>
      <c r="B1036" s="16" t="inlineStr">
        <is>
          <t>Backend</t>
        </is>
      </c>
      <c r="C1036" s="17" t="inlineStr">
        <is>
          <t>api-gateway</t>
        </is>
      </c>
      <c r="D1036" s="16" t="inlineStr">
        <is>
          <t>API slice</t>
        </is>
      </c>
      <c r="E1036" s="17" t="inlineStr">
        <is>
          <t>GatewayRouteTableTest</t>
        </is>
      </c>
      <c r="F1036" s="17" t="inlineStr"/>
      <c r="G1036" s="17" t="inlineStr">
        <is>
          <t>mỗi endpoint công khai đi tới đúng service, qua đúng route</t>
        </is>
      </c>
      <c r="H1036" s="17" t="inlineStr">
        <is>
          <t>dinh_tuyen(String, String, String, int)[44]</t>
        </is>
      </c>
      <c r="I1036" s="16" t="inlineStr">
        <is>
          <t>Đạt</t>
        </is>
      </c>
      <c r="J1036" s="16" t="n">
        <v>0.008</v>
      </c>
    </row>
    <row r="1037">
      <c r="A1037" s="16" t="n">
        <v>1033</v>
      </c>
      <c r="B1037" s="16" t="inlineStr">
        <is>
          <t>Backend</t>
        </is>
      </c>
      <c r="C1037" s="17" t="inlineStr">
        <is>
          <t>api-gateway</t>
        </is>
      </c>
      <c r="D1037" s="16" t="inlineStr">
        <is>
          <t>API slice</t>
        </is>
      </c>
      <c r="E1037" s="17" t="inlineStr">
        <is>
          <t>GatewayRouteTableTest</t>
        </is>
      </c>
      <c r="F1037" s="17" t="inlineStr"/>
      <c r="G1037" s="17" t="inlineStr">
        <is>
          <t>mỗi endpoint công khai đi tới đúng service, qua đúng route</t>
        </is>
      </c>
      <c r="H1037" s="17" t="inlineStr">
        <is>
          <t>dinh_tuyen(String, String, String, int)[45]</t>
        </is>
      </c>
      <c r="I1037" s="16" t="inlineStr">
        <is>
          <t>Đạt</t>
        </is>
      </c>
      <c r="J1037" s="16" t="n">
        <v>0.006</v>
      </c>
    </row>
    <row r="1038">
      <c r="A1038" s="16" t="n">
        <v>1034</v>
      </c>
      <c r="B1038" s="16" t="inlineStr">
        <is>
          <t>Backend</t>
        </is>
      </c>
      <c r="C1038" s="17" t="inlineStr">
        <is>
          <t>api-gateway</t>
        </is>
      </c>
      <c r="D1038" s="16" t="inlineStr">
        <is>
          <t>API slice</t>
        </is>
      </c>
      <c r="E1038" s="17" t="inlineStr">
        <is>
          <t>GatewayRouteTableTest</t>
        </is>
      </c>
      <c r="F1038" s="17" t="inlineStr"/>
      <c r="G1038" s="17" t="inlineStr">
        <is>
          <t>mỗi endpoint công khai đi tới đúng service, qua đúng route</t>
        </is>
      </c>
      <c r="H1038" s="17" t="inlineStr">
        <is>
          <t>dinh_tuyen(String, String, String, int)[46]</t>
        </is>
      </c>
      <c r="I1038" s="16" t="inlineStr">
        <is>
          <t>Đạt</t>
        </is>
      </c>
      <c r="J1038" s="16" t="n">
        <v>0.011</v>
      </c>
    </row>
    <row r="1039">
      <c r="A1039" s="16" t="n">
        <v>1035</v>
      </c>
      <c r="B1039" s="16" t="inlineStr">
        <is>
          <t>Backend</t>
        </is>
      </c>
      <c r="C1039" s="17" t="inlineStr">
        <is>
          <t>api-gateway</t>
        </is>
      </c>
      <c r="D1039" s="16" t="inlineStr">
        <is>
          <t>API slice</t>
        </is>
      </c>
      <c r="E1039" s="17" t="inlineStr">
        <is>
          <t>GatewayRouteTableTest</t>
        </is>
      </c>
      <c r="F1039" s="17" t="inlineStr"/>
      <c r="G1039" s="17" t="inlineStr">
        <is>
          <t>mỗi endpoint công khai đi tới đúng service, qua đúng route</t>
        </is>
      </c>
      <c r="H1039" s="17" t="inlineStr">
        <is>
          <t>dinh_tuyen(String, String, String, int)[47]</t>
        </is>
      </c>
      <c r="I1039" s="16" t="inlineStr">
        <is>
          <t>Đạt</t>
        </is>
      </c>
      <c r="J1039" s="16" t="n">
        <v>0.006</v>
      </c>
    </row>
    <row r="1040">
      <c r="A1040" s="16" t="n">
        <v>1036</v>
      </c>
      <c r="B1040" s="16" t="inlineStr">
        <is>
          <t>Backend</t>
        </is>
      </c>
      <c r="C1040" s="17" t="inlineStr">
        <is>
          <t>api-gateway</t>
        </is>
      </c>
      <c r="D1040" s="16" t="inlineStr">
        <is>
          <t>API slice</t>
        </is>
      </c>
      <c r="E1040" s="17" t="inlineStr">
        <is>
          <t>GatewayRouteTableTest</t>
        </is>
      </c>
      <c r="F1040" s="17" t="inlineStr"/>
      <c r="G1040" s="17" t="inlineStr">
        <is>
          <t>mỗi endpoint công khai đi tới đúng service, qua đúng route</t>
        </is>
      </c>
      <c r="H1040" s="17" t="inlineStr">
        <is>
          <t>dinh_tuyen(String, String, String, int)[48]</t>
        </is>
      </c>
      <c r="I1040" s="16" t="inlineStr">
        <is>
          <t>Đạt</t>
        </is>
      </c>
      <c r="J1040" s="16" t="n">
        <v>0.011</v>
      </c>
    </row>
    <row r="1041">
      <c r="A1041" s="16" t="n">
        <v>1037</v>
      </c>
      <c r="B1041" s="16" t="inlineStr">
        <is>
          <t>Backend</t>
        </is>
      </c>
      <c r="C1041" s="17" t="inlineStr">
        <is>
          <t>api-gateway</t>
        </is>
      </c>
      <c r="D1041" s="16" t="inlineStr">
        <is>
          <t>API slice</t>
        </is>
      </c>
      <c r="E1041" s="17" t="inlineStr">
        <is>
          <t>GatewayRouteTableTest</t>
        </is>
      </c>
      <c r="F1041" s="17" t="inlineStr"/>
      <c r="G1041" s="17" t="inlineStr">
        <is>
          <t>mỗi endpoint công khai đi tới đúng service, qua đúng route</t>
        </is>
      </c>
      <c r="H1041" s="17" t="inlineStr">
        <is>
          <t>dinh_tuyen(String, String, String, int)[49]</t>
        </is>
      </c>
      <c r="I1041" s="16" t="inlineStr">
        <is>
          <t>Đạt</t>
        </is>
      </c>
      <c r="J1041" s="16" t="n">
        <v>0.006</v>
      </c>
    </row>
    <row r="1042">
      <c r="A1042" s="16" t="n">
        <v>1038</v>
      </c>
      <c r="B1042" s="16" t="inlineStr">
        <is>
          <t>Backend</t>
        </is>
      </c>
      <c r="C1042" s="17" t="inlineStr">
        <is>
          <t>api-gateway</t>
        </is>
      </c>
      <c r="D1042" s="16" t="inlineStr">
        <is>
          <t>API slice</t>
        </is>
      </c>
      <c r="E1042" s="17" t="inlineStr">
        <is>
          <t>GatewayRouteTableTest</t>
        </is>
      </c>
      <c r="F1042" s="17" t="inlineStr"/>
      <c r="G1042" s="17" t="inlineStr">
        <is>
          <t>mỗi endpoint công khai đi tới đúng service, qua đúng route</t>
        </is>
      </c>
      <c r="H1042" s="17" t="inlineStr">
        <is>
          <t>dinh_tuyen(String, String, String, int)[50]</t>
        </is>
      </c>
      <c r="I1042" s="16" t="inlineStr">
        <is>
          <t>Đạt</t>
        </is>
      </c>
      <c r="J1042" s="16" t="n">
        <v>0.006</v>
      </c>
    </row>
    <row r="1043">
      <c r="A1043" s="16" t="n">
        <v>1039</v>
      </c>
      <c r="B1043" s="16" t="inlineStr">
        <is>
          <t>Backend</t>
        </is>
      </c>
      <c r="C1043" s="17" t="inlineStr">
        <is>
          <t>api-gateway</t>
        </is>
      </c>
      <c r="D1043" s="16" t="inlineStr">
        <is>
          <t>API slice</t>
        </is>
      </c>
      <c r="E1043" s="17" t="inlineStr">
        <is>
          <t>GatewayRouteTableTest</t>
        </is>
      </c>
      <c r="F1043" s="17" t="inlineStr"/>
      <c r="G1043" s="17" t="inlineStr">
        <is>
          <t>mỗi endpoint công khai đi tới đúng service, qua đúng route</t>
        </is>
      </c>
      <c r="H1043" s="17" t="inlineStr">
        <is>
          <t>dinh_tuyen(String, String, String, int)[51]</t>
        </is>
      </c>
      <c r="I1043" s="16" t="inlineStr">
        <is>
          <t>Đạt</t>
        </is>
      </c>
      <c r="J1043" s="16" t="n">
        <v>0.006</v>
      </c>
    </row>
    <row r="1044">
      <c r="A1044" s="16" t="n">
        <v>1040</v>
      </c>
      <c r="B1044" s="16" t="inlineStr">
        <is>
          <t>Backend</t>
        </is>
      </c>
      <c r="C1044" s="17" t="inlineStr">
        <is>
          <t>api-gateway</t>
        </is>
      </c>
      <c r="D1044" s="16" t="inlineStr">
        <is>
          <t>API slice</t>
        </is>
      </c>
      <c r="E1044" s="17" t="inlineStr">
        <is>
          <t>GatewayRouteTableTest</t>
        </is>
      </c>
      <c r="F1044" s="17" t="inlineStr"/>
      <c r="G1044" s="17" t="inlineStr">
        <is>
          <t>mỗi endpoint công khai đi tới đúng service, qua đúng route</t>
        </is>
      </c>
      <c r="H1044" s="17" t="inlineStr">
        <is>
          <t>dinh_tuyen(String, String, String, int)[52]</t>
        </is>
      </c>
      <c r="I1044" s="16" t="inlineStr">
        <is>
          <t>Đạt</t>
        </is>
      </c>
      <c r="J1044" s="16" t="n">
        <v>0.008999999999999999</v>
      </c>
    </row>
    <row r="1045">
      <c r="A1045" s="16" t="n">
        <v>1041</v>
      </c>
      <c r="B1045" s="16" t="inlineStr">
        <is>
          <t>Backend</t>
        </is>
      </c>
      <c r="C1045" s="17" t="inlineStr">
        <is>
          <t>api-gateway</t>
        </is>
      </c>
      <c r="D1045" s="16" t="inlineStr">
        <is>
          <t>API slice</t>
        </is>
      </c>
      <c r="E1045" s="17" t="inlineStr">
        <is>
          <t>GatewayRouteTableTest</t>
        </is>
      </c>
      <c r="F1045" s="17" t="inlineStr"/>
      <c r="G1045" s="17" t="inlineStr">
        <is>
          <t>mỗi endpoint công khai đi tới đúng service, qua đúng route</t>
        </is>
      </c>
      <c r="H1045" s="17" t="inlineStr">
        <is>
          <t>dinh_tuyen(String, String, String, int)[53]</t>
        </is>
      </c>
      <c r="I1045" s="16" t="inlineStr">
        <is>
          <t>Đạt</t>
        </is>
      </c>
      <c r="J1045" s="16" t="n">
        <v>0.005</v>
      </c>
    </row>
    <row r="1046">
      <c r="A1046" s="16" t="n">
        <v>1042</v>
      </c>
      <c r="B1046" s="16" t="inlineStr">
        <is>
          <t>Backend</t>
        </is>
      </c>
      <c r="C1046" s="17" t="inlineStr">
        <is>
          <t>api-gateway</t>
        </is>
      </c>
      <c r="D1046" s="16" t="inlineStr">
        <is>
          <t>API slice</t>
        </is>
      </c>
      <c r="E1046" s="17" t="inlineStr">
        <is>
          <t>GatewayRouteTableTest</t>
        </is>
      </c>
      <c r="F1046" s="17" t="inlineStr"/>
      <c r="G1046" s="17" t="inlineStr">
        <is>
          <t>mỗi endpoint công khai đi tới đúng service, qua đúng route</t>
        </is>
      </c>
      <c r="H1046" s="17" t="inlineStr">
        <is>
          <t>dinh_tuyen(String, String, String, int)[54]</t>
        </is>
      </c>
      <c r="I1046" s="16" t="inlineStr">
        <is>
          <t>Đạt</t>
        </is>
      </c>
      <c r="J1046" s="16" t="n">
        <v>0.01</v>
      </c>
    </row>
    <row r="1047">
      <c r="A1047" s="16" t="n">
        <v>1043</v>
      </c>
      <c r="B1047" s="16" t="inlineStr">
        <is>
          <t>Backend</t>
        </is>
      </c>
      <c r="C1047" s="17" t="inlineStr">
        <is>
          <t>api-gateway</t>
        </is>
      </c>
      <c r="D1047" s="16" t="inlineStr">
        <is>
          <t>API slice</t>
        </is>
      </c>
      <c r="E1047" s="17" t="inlineStr">
        <is>
          <t>GatewayRouteTableTest</t>
        </is>
      </c>
      <c r="F1047" s="17" t="inlineStr"/>
      <c r="G1047" s="17" t="inlineStr">
        <is>
          <t>mỗi endpoint công khai đi tới đúng service, qua đúng route</t>
        </is>
      </c>
      <c r="H1047" s="17" t="inlineStr">
        <is>
          <t>dinh_tuyen(String, String, String, int)[55]</t>
        </is>
      </c>
      <c r="I1047" s="16" t="inlineStr">
        <is>
          <t>Đạt</t>
        </is>
      </c>
      <c r="J1047" s="16" t="n">
        <v>0.007</v>
      </c>
    </row>
    <row r="1048">
      <c r="A1048" s="16" t="n">
        <v>1044</v>
      </c>
      <c r="B1048" s="16" t="inlineStr">
        <is>
          <t>Backend</t>
        </is>
      </c>
      <c r="C1048" s="17" t="inlineStr">
        <is>
          <t>api-gateway</t>
        </is>
      </c>
      <c r="D1048" s="16" t="inlineStr">
        <is>
          <t>API slice</t>
        </is>
      </c>
      <c r="E1048" s="17" t="inlineStr">
        <is>
          <t>GatewayRouteTableTest</t>
        </is>
      </c>
      <c r="F1048" s="17" t="inlineStr"/>
      <c r="G1048" s="17" t="inlineStr">
        <is>
          <t>mỗi endpoint công khai đi tới đúng service, qua đúng route</t>
        </is>
      </c>
      <c r="H1048" s="17" t="inlineStr">
        <is>
          <t>dinh_tuyen(String, String, String, int)[56]</t>
        </is>
      </c>
      <c r="I1048" s="16" t="inlineStr">
        <is>
          <t>Đạt</t>
        </is>
      </c>
      <c r="J1048" s="16" t="n">
        <v>0.011</v>
      </c>
    </row>
    <row r="1049">
      <c r="A1049" s="16" t="n">
        <v>1045</v>
      </c>
      <c r="B1049" s="16" t="inlineStr">
        <is>
          <t>Backend</t>
        </is>
      </c>
      <c r="C1049" s="17" t="inlineStr">
        <is>
          <t>api-gateway</t>
        </is>
      </c>
      <c r="D1049" s="16" t="inlineStr">
        <is>
          <t>API slice</t>
        </is>
      </c>
      <c r="E1049" s="17" t="inlineStr">
        <is>
          <t>GatewayRouteTableTest</t>
        </is>
      </c>
      <c r="F1049" s="17" t="inlineStr"/>
      <c r="G1049" s="17" t="inlineStr">
        <is>
          <t>mỗi endpoint công khai đi tới đúng service, qua đúng route</t>
        </is>
      </c>
      <c r="H1049" s="17" t="inlineStr">
        <is>
          <t>dinh_tuyen(String, String, String, int)[57]</t>
        </is>
      </c>
      <c r="I1049" s="16" t="inlineStr">
        <is>
          <t>Đạt</t>
        </is>
      </c>
      <c r="J1049" s="16" t="n">
        <v>0.007</v>
      </c>
    </row>
    <row r="1050">
      <c r="A1050" s="16" t="n">
        <v>1046</v>
      </c>
      <c r="B1050" s="16" t="inlineStr">
        <is>
          <t>Backend</t>
        </is>
      </c>
      <c r="C1050" s="17" t="inlineStr">
        <is>
          <t>api-gateway</t>
        </is>
      </c>
      <c r="D1050" s="16" t="inlineStr">
        <is>
          <t>API slice</t>
        </is>
      </c>
      <c r="E1050" s="17" t="inlineStr">
        <is>
          <t>GatewayRouteTableTest</t>
        </is>
      </c>
      <c r="F1050" s="17" t="inlineStr"/>
      <c r="G1050" s="17" t="inlineStr">
        <is>
          <t>mỗi endpoint công khai đi tới đúng service, qua đúng route</t>
        </is>
      </c>
      <c r="H1050" s="17" t="inlineStr">
        <is>
          <t>dinh_tuyen(String, String, String, int)[58]</t>
        </is>
      </c>
      <c r="I1050" s="16" t="inlineStr">
        <is>
          <t>Đạt</t>
        </is>
      </c>
      <c r="J1050" s="16" t="n">
        <v>0.012</v>
      </c>
    </row>
    <row r="1051">
      <c r="A1051" s="16" t="n">
        <v>1047</v>
      </c>
      <c r="B1051" s="16" t="inlineStr">
        <is>
          <t>Backend</t>
        </is>
      </c>
      <c r="C1051" s="17" t="inlineStr">
        <is>
          <t>api-gateway</t>
        </is>
      </c>
      <c r="D1051" s="16" t="inlineStr">
        <is>
          <t>API slice</t>
        </is>
      </c>
      <c r="E1051" s="17" t="inlineStr">
        <is>
          <t>GatewayRouteTableTest</t>
        </is>
      </c>
      <c r="F1051" s="17" t="inlineStr"/>
      <c r="G1051" s="17" t="inlineStr">
        <is>
          <t>mỗi endpoint công khai đi tới đúng service, qua đúng route</t>
        </is>
      </c>
      <c r="H1051" s="17" t="inlineStr">
        <is>
          <t>dinh_tuyen(String, String, String, int)[59]</t>
        </is>
      </c>
      <c r="I1051" s="16" t="inlineStr">
        <is>
          <t>Đạt</t>
        </is>
      </c>
      <c r="J1051" s="16" t="n">
        <v>0.005</v>
      </c>
    </row>
    <row r="1052">
      <c r="A1052" s="16" t="n">
        <v>1048</v>
      </c>
      <c r="B1052" s="16" t="inlineStr">
        <is>
          <t>Backend</t>
        </is>
      </c>
      <c r="C1052" s="17" t="inlineStr">
        <is>
          <t>api-gateway</t>
        </is>
      </c>
      <c r="D1052" s="16" t="inlineStr">
        <is>
          <t>API slice</t>
        </is>
      </c>
      <c r="E1052" s="17" t="inlineStr">
        <is>
          <t>GatewayRouteTableTest</t>
        </is>
      </c>
      <c r="F1052" s="17" t="inlineStr"/>
      <c r="G1052" s="17" t="inlineStr">
        <is>
          <t>mỗi endpoint công khai đi tới đúng service, qua đúng route</t>
        </is>
      </c>
      <c r="H1052" s="17" t="inlineStr">
        <is>
          <t>dinh_tuyen(String, String, String, int)[60]</t>
        </is>
      </c>
      <c r="I1052" s="16" t="inlineStr">
        <is>
          <t>Đạt</t>
        </is>
      </c>
      <c r="J1052" s="16" t="n">
        <v>0.007</v>
      </c>
    </row>
    <row r="1053">
      <c r="A1053" s="16" t="n">
        <v>1049</v>
      </c>
      <c r="B1053" s="16" t="inlineStr">
        <is>
          <t>Backend</t>
        </is>
      </c>
      <c r="C1053" s="17" t="inlineStr">
        <is>
          <t>api-gateway</t>
        </is>
      </c>
      <c r="D1053" s="16" t="inlineStr">
        <is>
          <t>API slice</t>
        </is>
      </c>
      <c r="E1053" s="17" t="inlineStr">
        <is>
          <t>GatewayRouteTableTest</t>
        </is>
      </c>
      <c r="F1053" s="17" t="inlineStr"/>
      <c r="G1053" s="17" t="inlineStr">
        <is>
          <t>mỗi endpoint công khai đi tới đúng service, qua đúng route</t>
        </is>
      </c>
      <c r="H1053" s="17" t="inlineStr">
        <is>
          <t>dinh_tuyen(String, String, String, int)[61]</t>
        </is>
      </c>
      <c r="I1053" s="16" t="inlineStr">
        <is>
          <t>Đạt</t>
        </is>
      </c>
      <c r="J1053" s="16" t="n">
        <v>0.006</v>
      </c>
    </row>
    <row r="1054">
      <c r="A1054" s="16" t="n">
        <v>1050</v>
      </c>
      <c r="B1054" s="16" t="inlineStr">
        <is>
          <t>Backend</t>
        </is>
      </c>
      <c r="C1054" s="17" t="inlineStr">
        <is>
          <t>api-gateway</t>
        </is>
      </c>
      <c r="D1054" s="16" t="inlineStr">
        <is>
          <t>API slice</t>
        </is>
      </c>
      <c r="E1054" s="17" t="inlineStr">
        <is>
          <t>GatewayRouteTableTest</t>
        </is>
      </c>
      <c r="F1054" s="17" t="inlineStr"/>
      <c r="G1054" s="17" t="inlineStr">
        <is>
          <t>mỗi endpoint công khai đi tới đúng service, qua đúng route</t>
        </is>
      </c>
      <c r="H1054" s="17" t="inlineStr">
        <is>
          <t>dinh_tuyen(String, String, String, int)[62]</t>
        </is>
      </c>
      <c r="I1054" s="16" t="inlineStr">
        <is>
          <t>Đạt</t>
        </is>
      </c>
      <c r="J1054" s="16" t="n">
        <v>0.007</v>
      </c>
    </row>
    <row r="1055">
      <c r="A1055" s="16" t="n">
        <v>1051</v>
      </c>
      <c r="B1055" s="16" t="inlineStr">
        <is>
          <t>Backend</t>
        </is>
      </c>
      <c r="C1055" s="17" t="inlineStr">
        <is>
          <t>api-gateway</t>
        </is>
      </c>
      <c r="D1055" s="16" t="inlineStr">
        <is>
          <t>API slice</t>
        </is>
      </c>
      <c r="E1055" s="17" t="inlineStr">
        <is>
          <t>GatewayRouteTableTest</t>
        </is>
      </c>
      <c r="F1055" s="17" t="inlineStr"/>
      <c r="G1055" s="17" t="inlineStr">
        <is>
          <t>mỗi endpoint công khai đi tới đúng service, qua đúng route</t>
        </is>
      </c>
      <c r="H1055" s="17" t="inlineStr">
        <is>
          <t>dinh_tuyen(String, String, String, int)[63]</t>
        </is>
      </c>
      <c r="I1055" s="16" t="inlineStr">
        <is>
          <t>Đạt</t>
        </is>
      </c>
      <c r="J1055" s="16" t="n">
        <v>0.011</v>
      </c>
    </row>
    <row r="1056">
      <c r="A1056" s="16" t="n">
        <v>1052</v>
      </c>
      <c r="B1056" s="16" t="inlineStr">
        <is>
          <t>Backend</t>
        </is>
      </c>
      <c r="C1056" s="17" t="inlineStr">
        <is>
          <t>api-gateway</t>
        </is>
      </c>
      <c r="D1056" s="16" t="inlineStr">
        <is>
          <t>API slice</t>
        </is>
      </c>
      <c r="E1056" s="17" t="inlineStr">
        <is>
          <t>GatewayRouteTableTest</t>
        </is>
      </c>
      <c r="F1056" s="17" t="inlineStr"/>
      <c r="G1056" s="17" t="inlineStr">
        <is>
          <t>mỗi endpoint công khai đi tới đúng service, qua đúng route</t>
        </is>
      </c>
      <c r="H1056" s="17" t="inlineStr">
        <is>
          <t>dinh_tuyen(String, String, String, int)[64]</t>
        </is>
      </c>
      <c r="I1056" s="16" t="inlineStr">
        <is>
          <t>Đạt</t>
        </is>
      </c>
      <c r="J1056" s="16" t="n">
        <v>0.005</v>
      </c>
    </row>
    <row r="1057">
      <c r="A1057" s="16" t="n">
        <v>1053</v>
      </c>
      <c r="B1057" s="16" t="inlineStr">
        <is>
          <t>Backend</t>
        </is>
      </c>
      <c r="C1057" s="17" t="inlineStr">
        <is>
          <t>api-gateway</t>
        </is>
      </c>
      <c r="D1057" s="16" t="inlineStr">
        <is>
          <t>API slice</t>
        </is>
      </c>
      <c r="E1057" s="17" t="inlineStr">
        <is>
          <t>GatewayRouteTableTest</t>
        </is>
      </c>
      <c r="F1057" s="17" t="inlineStr"/>
      <c r="G1057" s="17" t="inlineStr">
        <is>
          <t>mỗi endpoint công khai đi tới đúng service, qua đúng route</t>
        </is>
      </c>
      <c r="H1057" s="17" t="inlineStr">
        <is>
          <t>dinh_tuyen(String, String, String, int)[65]</t>
        </is>
      </c>
      <c r="I1057" s="16" t="inlineStr">
        <is>
          <t>Đạt</t>
        </is>
      </c>
      <c r="J1057" s="16" t="n">
        <v>0.01</v>
      </c>
    </row>
    <row r="1058">
      <c r="A1058" s="16" t="n">
        <v>1054</v>
      </c>
      <c r="B1058" s="16" t="inlineStr">
        <is>
          <t>Backend</t>
        </is>
      </c>
      <c r="C1058" s="17" t="inlineStr">
        <is>
          <t>api-gateway</t>
        </is>
      </c>
      <c r="D1058" s="16" t="inlineStr">
        <is>
          <t>API slice</t>
        </is>
      </c>
      <c r="E1058" s="17" t="inlineStr">
        <is>
          <t>GatewayRouteTableTest</t>
        </is>
      </c>
      <c r="F1058" s="17" t="inlineStr"/>
      <c r="G1058" s="17" t="inlineStr">
        <is>
          <t>lô chi trả của payout-service có route tới payout-service (8096)</t>
        </is>
      </c>
      <c r="H1058" s="17" t="inlineStr">
        <is>
          <t>chi_tra_co_route(String)[1]</t>
        </is>
      </c>
      <c r="I1058" s="16" t="inlineStr">
        <is>
          <t>Đạt</t>
        </is>
      </c>
      <c r="J1058" s="16" t="n">
        <v>0.006</v>
      </c>
    </row>
    <row r="1059">
      <c r="A1059" s="16" t="n">
        <v>1055</v>
      </c>
      <c r="B1059" s="16" t="inlineStr">
        <is>
          <t>Backend</t>
        </is>
      </c>
      <c r="C1059" s="17" t="inlineStr">
        <is>
          <t>api-gateway</t>
        </is>
      </c>
      <c r="D1059" s="16" t="inlineStr">
        <is>
          <t>API slice</t>
        </is>
      </c>
      <c r="E1059" s="17" t="inlineStr">
        <is>
          <t>GatewayRouteTableTest</t>
        </is>
      </c>
      <c r="F1059" s="17" t="inlineStr"/>
      <c r="G1059" s="17" t="inlineStr">
        <is>
          <t>lô chi trả của payout-service có route tới payout-service (8096)</t>
        </is>
      </c>
      <c r="H1059" s="17" t="inlineStr">
        <is>
          <t>chi_tra_co_route(String)[2]</t>
        </is>
      </c>
      <c r="I1059" s="16" t="inlineStr">
        <is>
          <t>Đạt</t>
        </is>
      </c>
      <c r="J1059" s="16" t="n">
        <v>0.005</v>
      </c>
    </row>
    <row r="1060">
      <c r="A1060" s="16" t="n">
        <v>1056</v>
      </c>
      <c r="B1060" s="16" t="inlineStr">
        <is>
          <t>Backend</t>
        </is>
      </c>
      <c r="C1060" s="17" t="inlineStr">
        <is>
          <t>api-gateway</t>
        </is>
      </c>
      <c r="D1060" s="16" t="inlineStr">
        <is>
          <t>API slice</t>
        </is>
      </c>
      <c r="E1060" s="17" t="inlineStr">
        <is>
          <t>GatewayRouteTableTest</t>
        </is>
      </c>
      <c r="F1060" s="17" t="inlineStr"/>
      <c r="G1060" s="17" t="inlineStr">
        <is>
          <t>lô chi trả của payout-service có route tới payout-service (8096)</t>
        </is>
      </c>
      <c r="H1060" s="17" t="inlineStr">
        <is>
          <t>chi_tra_co_route(String)[3]</t>
        </is>
      </c>
      <c r="I1060" s="16" t="inlineStr">
        <is>
          <t>Đạt</t>
        </is>
      </c>
      <c r="J1060" s="16" t="n">
        <v>0.004</v>
      </c>
    </row>
    <row r="1061">
      <c r="A1061" s="16" t="n">
        <v>1057</v>
      </c>
      <c r="B1061" s="16" t="inlineStr">
        <is>
          <t>Backend</t>
        </is>
      </c>
      <c r="C1061" s="17" t="inlineStr">
        <is>
          <t>api-gateway</t>
        </is>
      </c>
      <c r="D1061" s="16" t="inlineStr">
        <is>
          <t>API slice</t>
        </is>
      </c>
      <c r="E1061" s="17" t="inlineStr">
        <is>
          <t>GatewayRouteTableTest</t>
        </is>
      </c>
      <c r="F1061" s="17" t="inlineStr"/>
      <c r="G1061" s="17" t="inlineStr">
        <is>
          <t>GIỮ ghế bằng phương thức khác POST không lọt vào route giành ghế, cũng không có route nào khác</t>
        </is>
      </c>
      <c r="H1061" s="17" t="inlineStr">
        <is>
          <t>giu_ghe_sai_phuong_thuc</t>
        </is>
      </c>
      <c r="I1061" s="16" t="inlineStr">
        <is>
          <t>Đạt</t>
        </is>
      </c>
      <c r="J1061" s="16" t="n">
        <v>0.013</v>
      </c>
    </row>
    <row r="1062">
      <c r="A1062" s="16" t="n">
        <v>1058</v>
      </c>
      <c r="B1062" s="16" t="inlineStr">
        <is>
          <t>Backend</t>
        </is>
      </c>
      <c r="C1062" s="17" t="inlineStr">
        <is>
          <t>api-gateway</t>
        </is>
      </c>
      <c r="D1062" s="16" t="inlineStr">
        <is>
          <t>API slice</t>
        </is>
      </c>
      <c r="E1062" s="17" t="inlineStr">
        <is>
          <t>GatewayRouteTableTest</t>
        </is>
      </c>
      <c r="F1062" s="17" t="inlineStr"/>
      <c r="G1062" s="17" t="inlineStr">
        <is>
          <t>/internal/** và actuator KHÔNG khớp route nào với bất kỳ phương thức nào</t>
        </is>
      </c>
      <c r="H1062" s="17" t="inlineStr">
        <is>
          <t>noi_bo_khong_lo_ra(String)[1]</t>
        </is>
      </c>
      <c r="I1062" s="16" t="inlineStr">
        <is>
          <t>Đạt</t>
        </is>
      </c>
      <c r="J1062" s="16" t="n">
        <v>0.023</v>
      </c>
    </row>
    <row r="1063">
      <c r="A1063" s="16" t="n">
        <v>1059</v>
      </c>
      <c r="B1063" s="16" t="inlineStr">
        <is>
          <t>Backend</t>
        </is>
      </c>
      <c r="C1063" s="17" t="inlineStr">
        <is>
          <t>api-gateway</t>
        </is>
      </c>
      <c r="D1063" s="16" t="inlineStr">
        <is>
          <t>API slice</t>
        </is>
      </c>
      <c r="E1063" s="17" t="inlineStr">
        <is>
          <t>GatewayRouteTableTest</t>
        </is>
      </c>
      <c r="F1063" s="17" t="inlineStr"/>
      <c r="G1063" s="17" t="inlineStr">
        <is>
          <t>/internal/** và actuator KHÔNG khớp route nào với bất kỳ phương thức nào</t>
        </is>
      </c>
      <c r="H1063" s="17" t="inlineStr">
        <is>
          <t>noi_bo_khong_lo_ra(String)[2]</t>
        </is>
      </c>
      <c r="I1063" s="16" t="inlineStr">
        <is>
          <t>Đạt</t>
        </is>
      </c>
      <c r="J1063" s="16" t="n">
        <v>0.013</v>
      </c>
    </row>
    <row r="1064">
      <c r="A1064" s="16" t="n">
        <v>1060</v>
      </c>
      <c r="B1064" s="16" t="inlineStr">
        <is>
          <t>Backend</t>
        </is>
      </c>
      <c r="C1064" s="17" t="inlineStr">
        <is>
          <t>api-gateway</t>
        </is>
      </c>
      <c r="D1064" s="16" t="inlineStr">
        <is>
          <t>API slice</t>
        </is>
      </c>
      <c r="E1064" s="17" t="inlineStr">
        <is>
          <t>GatewayRouteTableTest</t>
        </is>
      </c>
      <c r="F1064" s="17" t="inlineStr"/>
      <c r="G1064" s="17" t="inlineStr">
        <is>
          <t>/internal/** và actuator KHÔNG khớp route nào với bất kỳ phương thức nào</t>
        </is>
      </c>
      <c r="H1064" s="17" t="inlineStr">
        <is>
          <t>noi_bo_khong_lo_ra(String)[3]</t>
        </is>
      </c>
      <c r="I1064" s="16" t="inlineStr">
        <is>
          <t>Đạt</t>
        </is>
      </c>
      <c r="J1064" s="16" t="n">
        <v>0.015</v>
      </c>
    </row>
    <row r="1065">
      <c r="A1065" s="16" t="n">
        <v>1061</v>
      </c>
      <c r="B1065" s="16" t="inlineStr">
        <is>
          <t>Backend</t>
        </is>
      </c>
      <c r="C1065" s="17" t="inlineStr">
        <is>
          <t>api-gateway</t>
        </is>
      </c>
      <c r="D1065" s="16" t="inlineStr">
        <is>
          <t>API slice</t>
        </is>
      </c>
      <c r="E1065" s="17" t="inlineStr">
        <is>
          <t>GatewayRouteTableTest</t>
        </is>
      </c>
      <c r="F1065" s="17" t="inlineStr"/>
      <c r="G1065" s="17" t="inlineStr">
        <is>
          <t>/internal/** và actuator KHÔNG khớp route nào với bất kỳ phương thức nào</t>
        </is>
      </c>
      <c r="H1065" s="17" t="inlineStr">
        <is>
          <t>noi_bo_khong_lo_ra(String)[4]</t>
        </is>
      </c>
      <c r="I1065" s="16" t="inlineStr">
        <is>
          <t>Đạt</t>
        </is>
      </c>
      <c r="J1065" s="16" t="n">
        <v>0.027</v>
      </c>
    </row>
    <row r="1066">
      <c r="A1066" s="16" t="n">
        <v>1062</v>
      </c>
      <c r="B1066" s="16" t="inlineStr">
        <is>
          <t>Backend</t>
        </is>
      </c>
      <c r="C1066" s="17" t="inlineStr">
        <is>
          <t>api-gateway</t>
        </is>
      </c>
      <c r="D1066" s="16" t="inlineStr">
        <is>
          <t>API slice</t>
        </is>
      </c>
      <c r="E1066" s="17" t="inlineStr">
        <is>
          <t>GatewayRouteTableTest</t>
        </is>
      </c>
      <c r="F1066" s="17" t="inlineStr"/>
      <c r="G1066" s="17" t="inlineStr">
        <is>
          <t>/internal/** và actuator KHÔNG khớp route nào với bất kỳ phương thức nào</t>
        </is>
      </c>
      <c r="H1066" s="17" t="inlineStr">
        <is>
          <t>noi_bo_khong_lo_ra(String)[5]</t>
        </is>
      </c>
      <c r="I1066" s="16" t="inlineStr">
        <is>
          <t>Đạt</t>
        </is>
      </c>
      <c r="J1066" s="16" t="n">
        <v>0.022</v>
      </c>
    </row>
    <row r="1067">
      <c r="A1067" s="16" t="n">
        <v>1063</v>
      </c>
      <c r="B1067" s="16" t="inlineStr">
        <is>
          <t>Backend</t>
        </is>
      </c>
      <c r="C1067" s="17" t="inlineStr">
        <is>
          <t>api-gateway</t>
        </is>
      </c>
      <c r="D1067" s="16" t="inlineStr">
        <is>
          <t>API slice</t>
        </is>
      </c>
      <c r="E1067" s="17" t="inlineStr">
        <is>
          <t>GatewayRouteTableTest</t>
        </is>
      </c>
      <c r="F1067" s="17" t="inlineStr"/>
      <c r="G1067" s="17" t="inlineStr">
        <is>
          <t>/internal/** và actuator KHÔNG khớp route nào với bất kỳ phương thức nào</t>
        </is>
      </c>
      <c r="H1067" s="17" t="inlineStr">
        <is>
          <t>noi_bo_khong_lo_ra(String)[6]</t>
        </is>
      </c>
      <c r="I1067" s="16" t="inlineStr">
        <is>
          <t>Đạt</t>
        </is>
      </c>
      <c r="J1067" s="16" t="n">
        <v>0.019</v>
      </c>
    </row>
    <row r="1068">
      <c r="A1068" s="16" t="n">
        <v>1064</v>
      </c>
      <c r="B1068" s="16" t="inlineStr">
        <is>
          <t>Backend</t>
        </is>
      </c>
      <c r="C1068" s="17" t="inlineStr">
        <is>
          <t>api-gateway</t>
        </is>
      </c>
      <c r="D1068" s="16" t="inlineStr">
        <is>
          <t>API slice</t>
        </is>
      </c>
      <c r="E1068" s="17" t="inlineStr">
        <is>
          <t>GatewayRouteTableTest</t>
        </is>
      </c>
      <c r="F1068" s="17" t="inlineStr"/>
      <c r="G1068" s="17" t="inlineStr">
        <is>
          <t>/internal/** và actuator KHÔNG khớp route nào với bất kỳ phương thức nào</t>
        </is>
      </c>
      <c r="H1068" s="17" t="inlineStr">
        <is>
          <t>noi_bo_khong_lo_ra(String)[7]</t>
        </is>
      </c>
      <c r="I1068" s="16" t="inlineStr">
        <is>
          <t>Đạt</t>
        </is>
      </c>
      <c r="J1068" s="16" t="n">
        <v>0.019</v>
      </c>
    </row>
    <row r="1069">
      <c r="A1069" s="16" t="n">
        <v>1065</v>
      </c>
      <c r="B1069" s="16" t="inlineStr">
        <is>
          <t>Backend</t>
        </is>
      </c>
      <c r="C1069" s="17" t="inlineStr">
        <is>
          <t>api-gateway</t>
        </is>
      </c>
      <c r="D1069" s="16" t="inlineStr">
        <is>
          <t>API slice</t>
        </is>
      </c>
      <c r="E1069" s="17" t="inlineStr">
        <is>
          <t>GatewayRouteTableTest</t>
        </is>
      </c>
      <c r="F1069" s="17" t="inlineStr"/>
      <c r="G1069" s="17" t="inlineStr">
        <is>
          <t>/internal/** và actuator KHÔNG khớp route nào với bất kỳ phương thức nào</t>
        </is>
      </c>
      <c r="H1069" s="17" t="inlineStr">
        <is>
          <t>noi_bo_khong_lo_ra(String)[8]</t>
        </is>
      </c>
      <c r="I1069" s="16" t="inlineStr">
        <is>
          <t>Đạt</t>
        </is>
      </c>
      <c r="J1069" s="16" t="n">
        <v>0.019</v>
      </c>
    </row>
    <row r="1070">
      <c r="A1070" s="16" t="n">
        <v>1066</v>
      </c>
      <c r="B1070" s="16" t="inlineStr">
        <is>
          <t>Backend</t>
        </is>
      </c>
      <c r="C1070" s="17" t="inlineStr">
        <is>
          <t>api-gateway</t>
        </is>
      </c>
      <c r="D1070" s="16" t="inlineStr">
        <is>
          <t>API slice</t>
        </is>
      </c>
      <c r="E1070" s="17" t="inlineStr">
        <is>
          <t>GatewayRouteTableTest</t>
        </is>
      </c>
      <c r="F1070" s="17" t="inlineStr"/>
      <c r="G1070" s="17" t="inlineStr">
        <is>
          <t>/internal/** và actuator KHÔNG khớp route nào với bất kỳ phương thức nào</t>
        </is>
      </c>
      <c r="H1070" s="17" t="inlineStr">
        <is>
          <t>noi_bo_khong_lo_ra(String)[9]</t>
        </is>
      </c>
      <c r="I1070" s="16" t="inlineStr">
        <is>
          <t>Đạt</t>
        </is>
      </c>
      <c r="J1070" s="16" t="n">
        <v>0.018</v>
      </c>
    </row>
    <row r="1071">
      <c r="A1071" s="16" t="n">
        <v>1067</v>
      </c>
      <c r="B1071" s="16" t="inlineStr">
        <is>
          <t>Backend</t>
        </is>
      </c>
      <c r="C1071" s="17" t="inlineStr">
        <is>
          <t>api-gateway</t>
        </is>
      </c>
      <c r="D1071" s="16" t="inlineStr">
        <is>
          <t>API slice</t>
        </is>
      </c>
      <c r="E1071" s="17" t="inlineStr">
        <is>
          <t>GatewayRouteTableTest</t>
        </is>
      </c>
      <c r="F1071" s="17" t="inlineStr"/>
      <c r="G1071" s="17" t="inlineStr">
        <is>
          <t>/internal/** và actuator KHÔNG khớp route nào với bất kỳ phương thức nào</t>
        </is>
      </c>
      <c r="H1071" s="17" t="inlineStr">
        <is>
          <t>noi_bo_khong_lo_ra(String)[10]</t>
        </is>
      </c>
      <c r="I1071" s="16" t="inlineStr">
        <is>
          <t>Đạt</t>
        </is>
      </c>
      <c r="J1071" s="16" t="n">
        <v>0.017</v>
      </c>
    </row>
    <row r="1072">
      <c r="A1072" s="16" t="n">
        <v>1068</v>
      </c>
      <c r="B1072" s="16" t="inlineStr">
        <is>
          <t>Backend</t>
        </is>
      </c>
      <c r="C1072" s="17" t="inlineStr">
        <is>
          <t>api-gateway</t>
        </is>
      </c>
      <c r="D1072" s="16" t="inlineStr">
        <is>
          <t>API slice</t>
        </is>
      </c>
      <c r="E1072" s="17" t="inlineStr">
        <is>
          <t>GatewayRouteTableTest</t>
        </is>
      </c>
      <c r="F1072" s="17" t="inlineStr"/>
      <c r="G1072" s="17" t="inlineStr">
        <is>
          <t>/internal/** và actuator KHÔNG khớp route nào với bất kỳ phương thức nào</t>
        </is>
      </c>
      <c r="H1072" s="17" t="inlineStr">
        <is>
          <t>noi_bo_khong_lo_ra(String)[11]</t>
        </is>
      </c>
      <c r="I1072" s="16" t="inlineStr">
        <is>
          <t>Đạt</t>
        </is>
      </c>
      <c r="J1072" s="16" t="n">
        <v>0.029</v>
      </c>
    </row>
    <row r="1073">
      <c r="A1073" s="16" t="n">
        <v>1069</v>
      </c>
      <c r="B1073" s="16" t="inlineStr">
        <is>
          <t>Backend</t>
        </is>
      </c>
      <c r="C1073" s="17" t="inlineStr">
        <is>
          <t>api-gateway</t>
        </is>
      </c>
      <c r="D1073" s="16" t="inlineStr">
        <is>
          <t>API slice</t>
        </is>
      </c>
      <c r="E1073" s="17" t="inlineStr">
        <is>
          <t>GatewayRouteTableTest</t>
        </is>
      </c>
      <c r="F1073" s="17" t="inlineStr"/>
      <c r="G1073" s="17" t="inlineStr">
        <is>
          <t>/internal/** và actuator KHÔNG khớp route nào với bất kỳ phương thức nào</t>
        </is>
      </c>
      <c r="H1073" s="17" t="inlineStr">
        <is>
          <t>noi_bo_khong_lo_ra(String)[12]</t>
        </is>
      </c>
      <c r="I1073" s="16" t="inlineStr">
        <is>
          <t>Đạt</t>
        </is>
      </c>
      <c r="J1073" s="16" t="n">
        <v>0.016</v>
      </c>
    </row>
    <row r="1074">
      <c r="A1074" s="16" t="n">
        <v>1070</v>
      </c>
      <c r="B1074" s="16" t="inlineStr">
        <is>
          <t>Backend</t>
        </is>
      </c>
      <c r="C1074" s="17" t="inlineStr">
        <is>
          <t>api-gateway</t>
        </is>
      </c>
      <c r="D1074" s="16" t="inlineStr">
        <is>
          <t>API slice</t>
        </is>
      </c>
      <c r="E1074" s="17" t="inlineStr">
        <is>
          <t>GatewayRouteTableTest</t>
        </is>
      </c>
      <c r="F1074" s="17" t="inlineStr"/>
      <c r="G1074" s="17" t="inlineStr">
        <is>
          <t>/internal/** và actuator KHÔNG khớp route nào với bất kỳ phương thức nào</t>
        </is>
      </c>
      <c r="H1074" s="17" t="inlineStr">
        <is>
          <t>noi_bo_khong_lo_ra(String)[13]</t>
        </is>
      </c>
      <c r="I1074" s="16" t="inlineStr">
        <is>
          <t>Đạt</t>
        </is>
      </c>
      <c r="J1074" s="16" t="n">
        <v>0.012</v>
      </c>
    </row>
    <row r="1075">
      <c r="A1075" s="16" t="n">
        <v>1071</v>
      </c>
      <c r="B1075" s="16" t="inlineStr">
        <is>
          <t>Backend</t>
        </is>
      </c>
      <c r="C1075" s="17" t="inlineStr">
        <is>
          <t>api-gateway</t>
        </is>
      </c>
      <c r="D1075" s="16" t="inlineStr">
        <is>
          <t>API slice</t>
        </is>
      </c>
      <c r="E1075" s="17" t="inlineStr">
        <is>
          <t>GatewayRouteTableTest</t>
        </is>
      </c>
      <c r="F1075" s="17" t="inlineStr"/>
      <c r="G1075" s="17" t="inlineStr">
        <is>
          <t>/internal/** và actuator KHÔNG khớp route nào với bất kỳ phương thức nào</t>
        </is>
      </c>
      <c r="H1075" s="17" t="inlineStr">
        <is>
          <t>noi_bo_khong_lo_ra(String)[14]</t>
        </is>
      </c>
      <c r="I1075" s="16" t="inlineStr">
        <is>
          <t>Đạt</t>
        </is>
      </c>
      <c r="J1075" s="16" t="n">
        <v>0.016</v>
      </c>
    </row>
    <row r="1076">
      <c r="A1076" s="16" t="n">
        <v>1072</v>
      </c>
      <c r="B1076" s="16" t="inlineStr">
        <is>
          <t>Backend</t>
        </is>
      </c>
      <c r="C1076" s="17" t="inlineStr">
        <is>
          <t>api-gateway</t>
        </is>
      </c>
      <c r="D1076" s="16" t="inlineStr">
        <is>
          <t>API slice</t>
        </is>
      </c>
      <c r="E1076" s="17" t="inlineStr">
        <is>
          <t>GatewayRouteTableTest</t>
        </is>
      </c>
      <c r="F1076" s="17" t="inlineStr"/>
      <c r="G1076" s="17" t="inlineStr">
        <is>
          <t>/internal/** và actuator KHÔNG khớp route nào với bất kỳ phương thức nào</t>
        </is>
      </c>
      <c r="H1076" s="17" t="inlineStr">
        <is>
          <t>noi_bo_khong_lo_ra(String)[15]</t>
        </is>
      </c>
      <c r="I1076" s="16" t="inlineStr">
        <is>
          <t>Đạt</t>
        </is>
      </c>
      <c r="J1076" s="16" t="n">
        <v>0.016</v>
      </c>
    </row>
    <row r="1077">
      <c r="A1077" s="16" t="n">
        <v>1073</v>
      </c>
      <c r="B1077" s="16" t="inlineStr">
        <is>
          <t>Backend</t>
        </is>
      </c>
      <c r="C1077" s="17" t="inlineStr">
        <is>
          <t>api-gateway</t>
        </is>
      </c>
      <c r="D1077" s="16" t="inlineStr">
        <is>
          <t>API slice</t>
        </is>
      </c>
      <c r="E1077" s="17" t="inlineStr">
        <is>
          <t>GatewayRouteTableTest</t>
        </is>
      </c>
      <c r="F1077" s="17" t="inlineStr"/>
      <c r="G1077" s="17" t="inlineStr">
        <is>
          <t>/internal/** và actuator KHÔNG khớp route nào với bất kỳ phương thức nào</t>
        </is>
      </c>
      <c r="H1077" s="17" t="inlineStr">
        <is>
          <t>noi_bo_khong_lo_ra(String)[16]</t>
        </is>
      </c>
      <c r="I1077" s="16" t="inlineStr">
        <is>
          <t>Đạt</t>
        </is>
      </c>
      <c r="J1077" s="16" t="n">
        <v>0.017</v>
      </c>
    </row>
    <row r="1078">
      <c r="A1078" s="16" t="n">
        <v>1074</v>
      </c>
      <c r="B1078" s="16" t="inlineStr">
        <is>
          <t>Backend</t>
        </is>
      </c>
      <c r="C1078" s="17" t="inlineStr">
        <is>
          <t>api-gateway</t>
        </is>
      </c>
      <c r="D1078" s="16" t="inlineStr">
        <is>
          <t>API slice</t>
        </is>
      </c>
      <c r="E1078" s="17" t="inlineStr">
        <is>
          <t>GatewayRouteTableTest</t>
        </is>
      </c>
      <c r="F1078" s="17" t="inlineStr"/>
      <c r="G1078" s="17" t="inlineStr">
        <is>
          <t>/internal/** và actuator KHÔNG khớp route nào với bất kỳ phương thức nào</t>
        </is>
      </c>
      <c r="H1078" s="17" t="inlineStr">
        <is>
          <t>noi_bo_khong_lo_ra(String)[17]</t>
        </is>
      </c>
      <c r="I1078" s="16" t="inlineStr">
        <is>
          <t>Đạt</t>
        </is>
      </c>
      <c r="J1078" s="16" t="n">
        <v>0.011</v>
      </c>
    </row>
    <row r="1079">
      <c r="A1079" s="16" t="n">
        <v>1075</v>
      </c>
      <c r="B1079" s="16" t="inlineStr">
        <is>
          <t>Backend</t>
        </is>
      </c>
      <c r="C1079" s="17" t="inlineStr">
        <is>
          <t>api-gateway</t>
        </is>
      </c>
      <c r="D1079" s="16" t="inlineStr">
        <is>
          <t>API slice</t>
        </is>
      </c>
      <c r="E1079" s="17" t="inlineStr">
        <is>
          <t>GatewayRouteTableTest</t>
        </is>
      </c>
      <c r="F1079" s="17" t="inlineStr"/>
      <c r="G1079" s="17" t="inlineStr">
        <is>
          <t>/internal/** và actuator KHÔNG khớp route nào với bất kỳ phương thức nào</t>
        </is>
      </c>
      <c r="H1079" s="17" t="inlineStr">
        <is>
          <t>noi_bo_khong_lo_ra(String)[18]</t>
        </is>
      </c>
      <c r="I1079" s="16" t="inlineStr">
        <is>
          <t>Đạt</t>
        </is>
      </c>
      <c r="J1079" s="16" t="n">
        <v>0.016</v>
      </c>
    </row>
    <row r="1080">
      <c r="A1080" s="16" t="n">
        <v>1076</v>
      </c>
      <c r="B1080" s="16" t="inlineStr">
        <is>
          <t>Backend</t>
        </is>
      </c>
      <c r="C1080" s="17" t="inlineStr">
        <is>
          <t>api-gateway</t>
        </is>
      </c>
      <c r="D1080" s="16" t="inlineStr">
        <is>
          <t>API slice</t>
        </is>
      </c>
      <c r="E1080" s="17" t="inlineStr">
        <is>
          <t>GatewayRouteTableTest</t>
        </is>
      </c>
      <c r="F1080" s="17" t="inlineStr"/>
      <c r="G1080" s="17" t="inlineStr">
        <is>
          <t>/internal/** và actuator KHÔNG khớp route nào với bất kỳ phương thức nào</t>
        </is>
      </c>
      <c r="H1080" s="17" t="inlineStr">
        <is>
          <t>noi_bo_khong_lo_ra(String)[19]</t>
        </is>
      </c>
      <c r="I1080" s="16" t="inlineStr">
        <is>
          <t>Đạt</t>
        </is>
      </c>
      <c r="J1080" s="16" t="n">
        <v>0.021</v>
      </c>
    </row>
    <row r="1081">
      <c r="A1081" s="16" t="n">
        <v>1077</v>
      </c>
      <c r="B1081" s="16" t="inlineStr">
        <is>
          <t>Backend</t>
        </is>
      </c>
      <c r="C1081" s="17" t="inlineStr">
        <is>
          <t>api-gateway</t>
        </is>
      </c>
      <c r="D1081" s="16" t="inlineStr">
        <is>
          <t>API slice</t>
        </is>
      </c>
      <c r="E1081" s="17" t="inlineStr">
        <is>
          <t>GatewayRouteTableTest</t>
        </is>
      </c>
      <c r="F1081" s="17" t="inlineStr"/>
      <c r="G1081" s="17" t="inlineStr">
        <is>
          <t>/internal/** và actuator KHÔNG khớp route nào với bất kỳ phương thức nào</t>
        </is>
      </c>
      <c r="H1081" s="17" t="inlineStr">
        <is>
          <t>noi_bo_khong_lo_ra(String)[20]</t>
        </is>
      </c>
      <c r="I1081" s="16" t="inlineStr">
        <is>
          <t>Đạt</t>
        </is>
      </c>
      <c r="J1081" s="16" t="n">
        <v>0.027</v>
      </c>
    </row>
    <row r="1082">
      <c r="A1082" s="16" t="n">
        <v>1078</v>
      </c>
      <c r="B1082" s="16" t="inlineStr">
        <is>
          <t>Backend</t>
        </is>
      </c>
      <c r="C1082" s="17" t="inlineStr">
        <is>
          <t>api-gateway</t>
        </is>
      </c>
      <c r="D1082" s="16" t="inlineStr">
        <is>
          <t>API slice</t>
        </is>
      </c>
      <c r="E1082" s="17" t="inlineStr">
        <is>
          <t>GatewayRouteTableTest</t>
        </is>
      </c>
      <c r="F1082" s="17" t="inlineStr"/>
      <c r="G1082" s="17" t="inlineStr">
        <is>
          <t>/internal/** và actuator KHÔNG khớp route nào với bất kỳ phương thức nào</t>
        </is>
      </c>
      <c r="H1082" s="17" t="inlineStr">
        <is>
          <t>noi_bo_khong_lo_ra(String)[21]</t>
        </is>
      </c>
      <c r="I1082" s="16" t="inlineStr">
        <is>
          <t>Đạt</t>
        </is>
      </c>
      <c r="J1082" s="16" t="n">
        <v>0.024</v>
      </c>
    </row>
    <row r="1083">
      <c r="A1083" s="16" t="n">
        <v>1079</v>
      </c>
      <c r="B1083" s="16" t="inlineStr">
        <is>
          <t>Backend</t>
        </is>
      </c>
      <c r="C1083" s="17" t="inlineStr">
        <is>
          <t>api-gateway</t>
        </is>
      </c>
      <c r="D1083" s="16" t="inlineStr">
        <is>
          <t>API slice</t>
        </is>
      </c>
      <c r="E1083" s="17" t="inlineStr">
        <is>
          <t>GatewaySecurityTest › Correlation</t>
        </is>
      </c>
      <c r="F1083" s="17" t="inlineStr">
        <is>
          <t>correlation id</t>
        </is>
      </c>
      <c r="G1083" s="17" t="inlineStr">
        <is>
          <t>không có thì sinh mới; service phía sau nhận đúng id trả về cho client</t>
        </is>
      </c>
      <c r="H1083" s="17" t="inlineStr">
        <is>
          <t>sinh_moi_va_truyen_xuong</t>
        </is>
      </c>
      <c r="I1083" s="16" t="inlineStr">
        <is>
          <t>Đạt</t>
        </is>
      </c>
      <c r="J1083" s="16" t="n">
        <v>1.165</v>
      </c>
    </row>
    <row r="1084">
      <c r="A1084" s="16" t="n">
        <v>1080</v>
      </c>
      <c r="B1084" s="16" t="inlineStr">
        <is>
          <t>Backend</t>
        </is>
      </c>
      <c r="C1084" s="17" t="inlineStr">
        <is>
          <t>api-gateway</t>
        </is>
      </c>
      <c r="D1084" s="16" t="inlineStr">
        <is>
          <t>API slice</t>
        </is>
      </c>
      <c r="E1084" s="17" t="inlineStr">
        <is>
          <t>GatewaySecurityTest › Correlation</t>
        </is>
      </c>
      <c r="F1084" s="17" t="inlineStr">
        <is>
          <t>correlation id</t>
        </is>
      </c>
      <c r="G1084" s="17" t="inlineStr">
        <is>
          <t>id quá 64 ký tự bị thay — không để client bơm chuỗi dài tuỳ ý vào log của mọi service</t>
        </is>
      </c>
      <c r="H1084" s="17" t="inlineStr">
        <is>
          <t>id_qua_dai</t>
        </is>
      </c>
      <c r="I1084" s="16" t="inlineStr">
        <is>
          <t>Đạt</t>
        </is>
      </c>
      <c r="J1084" s="16" t="n">
        <v>0.029</v>
      </c>
    </row>
    <row r="1085">
      <c r="A1085" s="16" t="n">
        <v>1081</v>
      </c>
      <c r="B1085" s="16" t="inlineStr">
        <is>
          <t>Backend</t>
        </is>
      </c>
      <c r="C1085" s="17" t="inlineStr">
        <is>
          <t>api-gateway</t>
        </is>
      </c>
      <c r="D1085" s="16" t="inlineStr">
        <is>
          <t>API slice</t>
        </is>
      </c>
      <c r="E1085" s="17" t="inlineStr">
        <is>
          <t>GatewaySecurityTest › Correlation</t>
        </is>
      </c>
      <c r="F1085" s="17" t="inlineStr">
        <is>
          <t>correlation id</t>
        </is>
      </c>
      <c r="G1085" s="17" t="inlineStr">
        <is>
          <t>id hợp lệ của client được giữ nguyên ở cả phản hồi lẫn request đi xuống</t>
        </is>
      </c>
      <c r="H1085" s="17" t="inlineStr">
        <is>
          <t>giu_id_cua_client</t>
        </is>
      </c>
      <c r="I1085" s="16" t="inlineStr">
        <is>
          <t>Đạt</t>
        </is>
      </c>
      <c r="J1085" s="16" t="n">
        <v>0.023</v>
      </c>
    </row>
    <row r="1086">
      <c r="A1086" s="16" t="n">
        <v>1082</v>
      </c>
      <c r="B1086" s="16" t="inlineStr">
        <is>
          <t>Backend</t>
        </is>
      </c>
      <c r="C1086" s="17" t="inlineStr">
        <is>
          <t>api-gateway</t>
        </is>
      </c>
      <c r="D1086" s="16" t="inlineStr">
        <is>
          <t>API slice</t>
        </is>
      </c>
      <c r="E1086" s="17" t="inlineStr">
        <is>
          <t>GatewaySecurityTest › Correlation</t>
        </is>
      </c>
      <c r="F1086" s="17" t="inlineStr">
        <is>
          <t>correlation id</t>
        </is>
      </c>
      <c r="G1086" s="17" t="inlineStr">
        <is>
          <t>phản hồi 401 cũng mang correlation id — đó là lúc người dùng cần nó nhất</t>
        </is>
      </c>
      <c r="H1086" s="17" t="inlineStr">
        <is>
          <t>loi_cung_co_id</t>
        </is>
      </c>
      <c r="I1086" s="16" t="inlineStr">
        <is>
          <t>Đạt</t>
        </is>
      </c>
      <c r="J1086" s="16" t="n">
        <v>0.047</v>
      </c>
    </row>
    <row r="1087">
      <c r="A1087" s="16" t="n">
        <v>1083</v>
      </c>
      <c r="B1087" s="16" t="inlineStr">
        <is>
          <t>Backend</t>
        </is>
      </c>
      <c r="C1087" s="17" t="inlineStr">
        <is>
          <t>api-gateway</t>
        </is>
      </c>
      <c r="D1087" s="16" t="inlineStr">
        <is>
          <t>API slice</t>
        </is>
      </c>
      <c r="E1087" s="17" t="inlineStr">
        <is>
          <t>GatewaySecurityTest › Cors</t>
        </is>
      </c>
      <c r="F1087" s="17" t="inlineStr">
        <is>
          <t>CORS</t>
        </is>
      </c>
      <c r="G1087" s="17" t="inlineStr">
        <is>
          <t>401 cross-origin vẫn mang header CORS — không thì frontend chỉ thấy 'CORS error' thay vì 'hết phiên'</t>
        </is>
      </c>
      <c r="H1087" s="17" t="inlineStr">
        <is>
          <t>loi_401_van_co_cors</t>
        </is>
      </c>
      <c r="I1087" s="16" t="inlineStr">
        <is>
          <t>Đạt</t>
        </is>
      </c>
      <c r="J1087" s="16" t="n">
        <v>0.022</v>
      </c>
    </row>
    <row r="1088">
      <c r="A1088" s="16" t="n">
        <v>1084</v>
      </c>
      <c r="B1088" s="16" t="inlineStr">
        <is>
          <t>Backend</t>
        </is>
      </c>
      <c r="C1088" s="17" t="inlineStr">
        <is>
          <t>api-gateway</t>
        </is>
      </c>
      <c r="D1088" s="16" t="inlineStr">
        <is>
          <t>API slice</t>
        </is>
      </c>
      <c r="E1088" s="17" t="inlineStr">
        <is>
          <t>GatewaySecurityTest › Cors</t>
        </is>
      </c>
      <c r="F1088" s="17" t="inlineStr">
        <is>
          <t>CORS</t>
        </is>
      </c>
      <c r="G1088" s="17" t="inlineStr">
        <is>
          <t>preflight từ app đã khai được trả lời KHÔNG cần token, với đúng header cho SDK</t>
        </is>
      </c>
      <c r="H1088" s="17" t="inlineStr">
        <is>
          <t>preflight_khong_can_token</t>
        </is>
      </c>
      <c r="I1088" s="16" t="inlineStr">
        <is>
          <t>Đạt</t>
        </is>
      </c>
      <c r="J1088" s="16" t="n">
        <v>0.018</v>
      </c>
    </row>
    <row r="1089">
      <c r="A1089" s="16" t="n">
        <v>1085</v>
      </c>
      <c r="B1089" s="16" t="inlineStr">
        <is>
          <t>Backend</t>
        </is>
      </c>
      <c r="C1089" s="17" t="inlineStr">
        <is>
          <t>api-gateway</t>
        </is>
      </c>
      <c r="D1089" s="16" t="inlineStr">
        <is>
          <t>API slice</t>
        </is>
      </c>
      <c r="E1089" s="17" t="inlineStr">
        <is>
          <t>GatewaySecurityTest › Cors</t>
        </is>
      </c>
      <c r="F1089" s="17" t="inlineStr">
        <is>
          <t>CORS</t>
        </is>
      </c>
      <c r="G1089" s="17" t="inlineStr">
        <is>
          <t>preflight từ origin lạ bị từ chối và không nhận header cho phép</t>
        </is>
      </c>
      <c r="H1089" s="17" t="inlineStr">
        <is>
          <t>origin_la</t>
        </is>
      </c>
      <c r="I1089" s="16" t="inlineStr">
        <is>
          <t>Đạt</t>
        </is>
      </c>
      <c r="J1089" s="16" t="n">
        <v>0.016</v>
      </c>
    </row>
    <row r="1090">
      <c r="A1090" s="16" t="n">
        <v>1086</v>
      </c>
      <c r="B1090" s="16" t="inlineStr">
        <is>
          <t>Backend</t>
        </is>
      </c>
      <c r="C1090" s="17" t="inlineStr">
        <is>
          <t>api-gateway</t>
        </is>
      </c>
      <c r="D1090" s="16" t="inlineStr">
        <is>
          <t>API slice</t>
        </is>
      </c>
      <c r="E1090" s="17" t="inlineStr">
        <is>
          <t>GatewaySecurityTest › Cors</t>
        </is>
      </c>
      <c r="F1090" s="17" t="inlineStr">
        <is>
          <t>CORS</t>
        </is>
      </c>
      <c r="G1090" s="17" t="inlineStr">
        <is>
          <t>preflight xin header ngoài danh sách (X-Internal-Token) bị từ chối</t>
        </is>
      </c>
      <c r="H1090" s="17" t="inlineStr">
        <is>
          <t>header_ngoai_danh_sach</t>
        </is>
      </c>
      <c r="I1090" s="16" t="inlineStr">
        <is>
          <t>Đạt</t>
        </is>
      </c>
      <c r="J1090" s="16" t="n">
        <v>0.017</v>
      </c>
    </row>
    <row r="1091">
      <c r="A1091" s="16" t="n">
        <v>1087</v>
      </c>
      <c r="B1091" s="16" t="inlineStr">
        <is>
          <t>Backend</t>
        </is>
      </c>
      <c r="C1091" s="17" t="inlineStr">
        <is>
          <t>api-gateway</t>
        </is>
      </c>
      <c r="D1091" s="16" t="inlineStr">
        <is>
          <t>API slice</t>
        </is>
      </c>
      <c r="E1091" s="17" t="inlineStr">
        <is>
          <t>GatewaySecurityTest › Cors</t>
        </is>
      </c>
      <c r="F1091" s="17" t="inlineStr">
        <is>
          <t>CORS</t>
        </is>
      </c>
      <c r="G1091" s="17" t="inlineStr">
        <is>
          <t>request thật cross-origin lộ được ETag và X-Correlation-Id cho JavaScript</t>
        </is>
      </c>
      <c r="H1091" s="17" t="inlineStr">
        <is>
          <t>request_that</t>
        </is>
      </c>
      <c r="I1091" s="16" t="inlineStr">
        <is>
          <t>Đạt</t>
        </is>
      </c>
      <c r="J1091" s="16" t="n">
        <v>0.05</v>
      </c>
    </row>
    <row r="1092">
      <c r="A1092" s="16" t="n">
        <v>1088</v>
      </c>
      <c r="B1092" s="16" t="inlineStr">
        <is>
          <t>Backend</t>
        </is>
      </c>
      <c r="C1092" s="17" t="inlineStr">
        <is>
          <t>api-gateway</t>
        </is>
      </c>
      <c r="D1092" s="16" t="inlineStr">
        <is>
          <t>API slice</t>
        </is>
      </c>
      <c r="E1092" s="17" t="inlineStr">
        <is>
          <t>GatewaySecurityTest › NoiBo</t>
        </is>
      </c>
      <c r="F1092" s="17" t="inlineStr">
        <is>
          <t>ranh giới /internal/**</t>
        </is>
      </c>
      <c r="G1092" s="17" t="inlineStr">
        <is>
          <t>dot-segment dưới đường công khai không lọt tới service phía sau — kể cả khi đã mã hoá</t>
        </is>
      </c>
      <c r="H1092" s="17" t="inlineStr">
        <is>
          <t>dot_segment_bi_chan(String)[1]</t>
        </is>
      </c>
      <c r="I1092" s="16" t="inlineStr">
        <is>
          <t>Đạt</t>
        </is>
      </c>
      <c r="J1092" s="16" t="n">
        <v>0.029</v>
      </c>
    </row>
    <row r="1093">
      <c r="A1093" s="16" t="n">
        <v>1089</v>
      </c>
      <c r="B1093" s="16" t="inlineStr">
        <is>
          <t>Backend</t>
        </is>
      </c>
      <c r="C1093" s="17" t="inlineStr">
        <is>
          <t>api-gateway</t>
        </is>
      </c>
      <c r="D1093" s="16" t="inlineStr">
        <is>
          <t>API slice</t>
        </is>
      </c>
      <c r="E1093" s="17" t="inlineStr">
        <is>
          <t>GatewaySecurityTest › NoiBo</t>
        </is>
      </c>
      <c r="F1093" s="17" t="inlineStr">
        <is>
          <t>ranh giới /internal/**</t>
        </is>
      </c>
      <c r="G1093" s="17" t="inlineStr">
        <is>
          <t>dot-segment dưới đường công khai không lọt tới service phía sau — kể cả khi đã mã hoá</t>
        </is>
      </c>
      <c r="H1093" s="17" t="inlineStr">
        <is>
          <t>dot_segment_bi_chan(String)[2]</t>
        </is>
      </c>
      <c r="I1093" s="16" t="inlineStr">
        <is>
          <t>Đạt</t>
        </is>
      </c>
      <c r="J1093" s="16" t="n">
        <v>0.013</v>
      </c>
    </row>
    <row r="1094">
      <c r="A1094" s="16" t="n">
        <v>1090</v>
      </c>
      <c r="B1094" s="16" t="inlineStr">
        <is>
          <t>Backend</t>
        </is>
      </c>
      <c r="C1094" s="17" t="inlineStr">
        <is>
          <t>api-gateway</t>
        </is>
      </c>
      <c r="D1094" s="16" t="inlineStr">
        <is>
          <t>API slice</t>
        </is>
      </c>
      <c r="E1094" s="17" t="inlineStr">
        <is>
          <t>GatewaySecurityTest › NoiBo</t>
        </is>
      </c>
      <c r="F1094" s="17" t="inlineStr">
        <is>
          <t>ranh giới /internal/**</t>
        </is>
      </c>
      <c r="G1094" s="17" t="inlineStr">
        <is>
          <t>dot-segment dưới đường công khai không lọt tới service phía sau — kể cả khi đã mã hoá</t>
        </is>
      </c>
      <c r="H1094" s="17" t="inlineStr">
        <is>
          <t>dot_segment_bi_chan(String)[3]</t>
        </is>
      </c>
      <c r="I1094" s="16" t="inlineStr">
        <is>
          <t>Đạt</t>
        </is>
      </c>
      <c r="J1094" s="16" t="n">
        <v>0.015</v>
      </c>
    </row>
    <row r="1095">
      <c r="A1095" s="16" t="n">
        <v>1091</v>
      </c>
      <c r="B1095" s="16" t="inlineStr">
        <is>
          <t>Backend</t>
        </is>
      </c>
      <c r="C1095" s="17" t="inlineStr">
        <is>
          <t>api-gateway</t>
        </is>
      </c>
      <c r="D1095" s="16" t="inlineStr">
        <is>
          <t>API slice</t>
        </is>
      </c>
      <c r="E1095" s="17" t="inlineStr">
        <is>
          <t>GatewaySecurityTest › NoiBo</t>
        </is>
      </c>
      <c r="F1095" s="17" t="inlineStr">
        <is>
          <t>ranh giới /internal/**</t>
        </is>
      </c>
      <c r="G1095" s="17" t="inlineStr">
        <is>
          <t>dot-segment dưới đường công khai không lọt tới service phía sau — kể cả khi đã mã hoá</t>
        </is>
      </c>
      <c r="H1095" s="17" t="inlineStr">
        <is>
          <t>dot_segment_bi_chan(String)[4]</t>
        </is>
      </c>
      <c r="I1095" s="16" t="inlineStr">
        <is>
          <t>Đạt</t>
        </is>
      </c>
      <c r="J1095" s="16" t="n">
        <v>0.018</v>
      </c>
    </row>
    <row r="1096">
      <c r="A1096" s="16" t="n">
        <v>1092</v>
      </c>
      <c r="B1096" s="16" t="inlineStr">
        <is>
          <t>Backend</t>
        </is>
      </c>
      <c r="C1096" s="17" t="inlineStr">
        <is>
          <t>api-gateway</t>
        </is>
      </c>
      <c r="D1096" s="16" t="inlineStr">
        <is>
          <t>API slice</t>
        </is>
      </c>
      <c r="E1096" s="17" t="inlineStr">
        <is>
          <t>GatewaySecurityTest › NoiBo</t>
        </is>
      </c>
      <c r="F1096" s="17" t="inlineStr">
        <is>
          <t>ranh giới /internal/**</t>
        </is>
      </c>
      <c r="G1096" s="17" t="inlineStr">
        <is>
          <t>dot-segment dưới đường công khai không lọt tới service phía sau — kể cả khi đã mã hoá</t>
        </is>
      </c>
      <c r="H1096" s="17" t="inlineStr">
        <is>
          <t>dot_segment_bi_chan(String)[5]</t>
        </is>
      </c>
      <c r="I1096" s="16" t="inlineStr">
        <is>
          <t>Đạt</t>
        </is>
      </c>
      <c r="J1096" s="16" t="n">
        <v>0.039</v>
      </c>
    </row>
    <row r="1097">
      <c r="A1097" s="16" t="n">
        <v>1093</v>
      </c>
      <c r="B1097" s="16" t="inlineStr">
        <is>
          <t>Backend</t>
        </is>
      </c>
      <c r="C1097" s="17" t="inlineStr">
        <is>
          <t>api-gateway</t>
        </is>
      </c>
      <c r="D1097" s="16" t="inlineStr">
        <is>
          <t>API slice</t>
        </is>
      </c>
      <c r="E1097" s="17" t="inlineStr">
        <is>
          <t>GatewaySecurityTest › NoiBo</t>
        </is>
      </c>
      <c r="F1097" s="17" t="inlineStr">
        <is>
          <t>ranh giới /internal/**</t>
        </is>
      </c>
      <c r="G1097" s="17" t="inlineStr">
        <is>
          <t>dot-segment dưới đường công khai không lọt tới service phía sau — kể cả khi đã mã hoá</t>
        </is>
      </c>
      <c r="H1097" s="17" t="inlineStr">
        <is>
          <t>dot_segment_bi_chan(String)[6]</t>
        </is>
      </c>
      <c r="I1097" s="16" t="inlineStr">
        <is>
          <t>Đạt</t>
        </is>
      </c>
      <c r="J1097" s="16" t="n">
        <v>0.014</v>
      </c>
    </row>
    <row r="1098">
      <c r="A1098" s="16" t="n">
        <v>1094</v>
      </c>
      <c r="B1098" s="16" t="inlineStr">
        <is>
          <t>Backend</t>
        </is>
      </c>
      <c r="C1098" s="17" t="inlineStr">
        <is>
          <t>api-gateway</t>
        </is>
      </c>
      <c r="D1098" s="16" t="inlineStr">
        <is>
          <t>API slice</t>
        </is>
      </c>
      <c r="E1098" s="17" t="inlineStr">
        <is>
          <t>GatewaySecurityTest › NoiBo</t>
        </is>
      </c>
      <c r="F1098" s="17" t="inlineStr">
        <is>
          <t>ranh giới /internal/**</t>
        </is>
      </c>
      <c r="G1098" s="17" t="inlineStr">
        <is>
          <t>dot-segment dưới đường công khai không lọt tới service phía sau — kể cả khi đã mã hoá</t>
        </is>
      </c>
      <c r="H1098" s="17" t="inlineStr">
        <is>
          <t>dot_segment_bi_chan(String)[7]</t>
        </is>
      </c>
      <c r="I1098" s="16" t="inlineStr">
        <is>
          <t>Đạt</t>
        </is>
      </c>
      <c r="J1098" s="16" t="n">
        <v>0.013</v>
      </c>
    </row>
    <row r="1099">
      <c r="A1099" s="16" t="n">
        <v>1095</v>
      </c>
      <c r="B1099" s="16" t="inlineStr">
        <is>
          <t>Backend</t>
        </is>
      </c>
      <c r="C1099" s="17" t="inlineStr">
        <is>
          <t>api-gateway</t>
        </is>
      </c>
      <c r="D1099" s="16" t="inlineStr">
        <is>
          <t>API slice</t>
        </is>
      </c>
      <c r="E1099" s="17" t="inlineStr">
        <is>
          <t>GatewaySecurityTest › NoiBo</t>
        </is>
      </c>
      <c r="F1099" s="17" t="inlineStr">
        <is>
          <t>ranh giới /internal/**</t>
        </is>
      </c>
      <c r="G1099" s="17" t="inlineStr">
        <is>
          <t>dot-segment dưới đường công khai không lọt tới service phía sau — kể cả khi đã mã hoá</t>
        </is>
      </c>
      <c r="H1099" s="17" t="inlineStr">
        <is>
          <t>dot_segment_bi_chan(String)[8]</t>
        </is>
      </c>
      <c r="I1099" s="16" t="inlineStr">
        <is>
          <t>Đạt</t>
        </is>
      </c>
      <c r="J1099" s="16" t="n">
        <v>0.012</v>
      </c>
    </row>
    <row r="1100">
      <c r="A1100" s="16" t="n">
        <v>1096</v>
      </c>
      <c r="B1100" s="16" t="inlineStr">
        <is>
          <t>Backend</t>
        </is>
      </c>
      <c r="C1100" s="17" t="inlineStr">
        <is>
          <t>api-gateway</t>
        </is>
      </c>
      <c r="D1100" s="16" t="inlineStr">
        <is>
          <t>API slice</t>
        </is>
      </c>
      <c r="E1100" s="17" t="inlineStr">
        <is>
          <t>GatewaySecurityTest › NoiBo</t>
        </is>
      </c>
      <c r="F1100" s="17" t="inlineStr">
        <is>
          <t>ranh giới /internal/**</t>
        </is>
      </c>
      <c r="G1100" s="17" t="inlineStr">
        <is>
          <t>người ngoài không token gọi /internal/** nhận 401 — không có lối tắt permitAll nào</t>
        </is>
      </c>
      <c r="H1100" s="17" t="inlineStr">
        <is>
          <t>khong_token(String)[1]</t>
        </is>
      </c>
      <c r="I1100" s="16" t="inlineStr">
        <is>
          <t>Đạt</t>
        </is>
      </c>
      <c r="J1100" s="16" t="n">
        <v>0.022</v>
      </c>
    </row>
    <row r="1101">
      <c r="A1101" s="16" t="n">
        <v>1097</v>
      </c>
      <c r="B1101" s="16" t="inlineStr">
        <is>
          <t>Backend</t>
        </is>
      </c>
      <c r="C1101" s="17" t="inlineStr">
        <is>
          <t>api-gateway</t>
        </is>
      </c>
      <c r="D1101" s="16" t="inlineStr">
        <is>
          <t>API slice</t>
        </is>
      </c>
      <c r="E1101" s="17" t="inlineStr">
        <is>
          <t>GatewaySecurityTest › NoiBo</t>
        </is>
      </c>
      <c r="F1101" s="17" t="inlineStr">
        <is>
          <t>ranh giới /internal/**</t>
        </is>
      </c>
      <c r="G1101" s="17" t="inlineStr">
        <is>
          <t>người ngoài không token gọi /internal/** nhận 401 — không có lối tắt permitAll nào</t>
        </is>
      </c>
      <c r="H1101" s="17" t="inlineStr">
        <is>
          <t>khong_token(String)[2]</t>
        </is>
      </c>
      <c r="I1101" s="16" t="inlineStr">
        <is>
          <t>Đạt</t>
        </is>
      </c>
      <c r="J1101" s="16" t="n">
        <v>0.022</v>
      </c>
    </row>
    <row r="1102">
      <c r="A1102" s="16" t="n">
        <v>1098</v>
      </c>
      <c r="B1102" s="16" t="inlineStr">
        <is>
          <t>Backend</t>
        </is>
      </c>
      <c r="C1102" s="17" t="inlineStr">
        <is>
          <t>api-gateway</t>
        </is>
      </c>
      <c r="D1102" s="16" t="inlineStr">
        <is>
          <t>API slice</t>
        </is>
      </c>
      <c r="E1102" s="17" t="inlineStr">
        <is>
          <t>GatewaySecurityTest › NoiBo</t>
        </is>
      </c>
      <c r="F1102" s="17" t="inlineStr">
        <is>
          <t>ranh giới /internal/**</t>
        </is>
      </c>
      <c r="G1102" s="17" t="inlineStr">
        <is>
          <t>người ngoài không token gọi /internal/** nhận 401 — không có lối tắt permitAll nào</t>
        </is>
      </c>
      <c r="H1102" s="17" t="inlineStr">
        <is>
          <t>khong_token(String)[3]</t>
        </is>
      </c>
      <c r="I1102" s="16" t="inlineStr">
        <is>
          <t>Đạt</t>
        </is>
      </c>
      <c r="J1102" s="16" t="n">
        <v>0.023</v>
      </c>
    </row>
    <row r="1103">
      <c r="A1103" s="16" t="n">
        <v>1099</v>
      </c>
      <c r="B1103" s="16" t="inlineStr">
        <is>
          <t>Backend</t>
        </is>
      </c>
      <c r="C1103" s="17" t="inlineStr">
        <is>
          <t>api-gateway</t>
        </is>
      </c>
      <c r="D1103" s="16" t="inlineStr">
        <is>
          <t>API slice</t>
        </is>
      </c>
      <c r="E1103" s="17" t="inlineStr">
        <is>
          <t>GatewaySecurityTest › XacThuc</t>
        </is>
      </c>
      <c r="F1103" s="17" t="inlineStr">
        <is>
          <t>đường công khai và đường cần đăng nhập</t>
        </is>
      </c>
      <c r="G1103" s="17" t="inlineStr">
        <is>
          <t>webhook payOS không bị CSRF chặn dù là POST không token</t>
        </is>
      </c>
      <c r="H1103" s="17" t="inlineStr">
        <is>
          <t>webhook_khong_csrf</t>
        </is>
      </c>
      <c r="I1103" s="16" t="inlineStr">
        <is>
          <t>Đạt</t>
        </is>
      </c>
      <c r="J1103" s="16" t="n">
        <v>0.019</v>
      </c>
    </row>
    <row r="1104">
      <c r="A1104" s="16" t="n">
        <v>1100</v>
      </c>
      <c r="B1104" s="16" t="inlineStr">
        <is>
          <t>Backend</t>
        </is>
      </c>
      <c r="C1104" s="17" t="inlineStr">
        <is>
          <t>api-gateway</t>
        </is>
      </c>
      <c r="D1104" s="16" t="inlineStr">
        <is>
          <t>API slice</t>
        </is>
      </c>
      <c r="E1104" s="17" t="inlineStr">
        <is>
          <t>GatewaySecurityTest › XacThuc</t>
        </is>
      </c>
      <c r="F1104" s="17" t="inlineStr">
        <is>
          <t>đường công khai và đường cần đăng nhập</t>
        </is>
      </c>
      <c r="G1104" s="17" t="inlineStr">
        <is>
          <t>đường công khai đi qua không cần token</t>
        </is>
      </c>
      <c r="H1104" s="17" t="inlineStr">
        <is>
          <t>cong_khai(String, String)[1]</t>
        </is>
      </c>
      <c r="I1104" s="16" t="inlineStr">
        <is>
          <t>Đạt</t>
        </is>
      </c>
      <c r="J1104" s="16" t="n">
        <v>0.016</v>
      </c>
    </row>
    <row r="1105">
      <c r="A1105" s="16" t="n">
        <v>1101</v>
      </c>
      <c r="B1105" s="16" t="inlineStr">
        <is>
          <t>Backend</t>
        </is>
      </c>
      <c r="C1105" s="17" t="inlineStr">
        <is>
          <t>api-gateway</t>
        </is>
      </c>
      <c r="D1105" s="16" t="inlineStr">
        <is>
          <t>API slice</t>
        </is>
      </c>
      <c r="E1105" s="17" t="inlineStr">
        <is>
          <t>GatewaySecurityTest › XacThuc</t>
        </is>
      </c>
      <c r="F1105" s="17" t="inlineStr">
        <is>
          <t>đường công khai và đường cần đăng nhập</t>
        </is>
      </c>
      <c r="G1105" s="17" t="inlineStr">
        <is>
          <t>đường công khai đi qua không cần token</t>
        </is>
      </c>
      <c r="H1105" s="17" t="inlineStr">
        <is>
          <t>cong_khai(String, String)[2]</t>
        </is>
      </c>
      <c r="I1105" s="16" t="inlineStr">
        <is>
          <t>Đạt</t>
        </is>
      </c>
      <c r="J1105" s="16" t="n">
        <v>0.013</v>
      </c>
    </row>
    <row r="1106">
      <c r="A1106" s="16" t="n">
        <v>1102</v>
      </c>
      <c r="B1106" s="16" t="inlineStr">
        <is>
          <t>Backend</t>
        </is>
      </c>
      <c r="C1106" s="17" t="inlineStr">
        <is>
          <t>api-gateway</t>
        </is>
      </c>
      <c r="D1106" s="16" t="inlineStr">
        <is>
          <t>API slice</t>
        </is>
      </c>
      <c r="E1106" s="17" t="inlineStr">
        <is>
          <t>GatewaySecurityTest › XacThuc</t>
        </is>
      </c>
      <c r="F1106" s="17" t="inlineStr">
        <is>
          <t>đường công khai và đường cần đăng nhập</t>
        </is>
      </c>
      <c r="G1106" s="17" t="inlineStr">
        <is>
          <t>đường công khai đi qua không cần token</t>
        </is>
      </c>
      <c r="H1106" s="17" t="inlineStr">
        <is>
          <t>cong_khai(String, String)[3]</t>
        </is>
      </c>
      <c r="I1106" s="16" t="inlineStr">
        <is>
          <t>Đạt</t>
        </is>
      </c>
      <c r="J1106" s="16" t="n">
        <v>0.015</v>
      </c>
    </row>
    <row r="1107">
      <c r="A1107" s="16" t="n">
        <v>1103</v>
      </c>
      <c r="B1107" s="16" t="inlineStr">
        <is>
          <t>Backend</t>
        </is>
      </c>
      <c r="C1107" s="17" t="inlineStr">
        <is>
          <t>api-gateway</t>
        </is>
      </c>
      <c r="D1107" s="16" t="inlineStr">
        <is>
          <t>API slice</t>
        </is>
      </c>
      <c r="E1107" s="17" t="inlineStr">
        <is>
          <t>GatewaySecurityTest › XacThuc</t>
        </is>
      </c>
      <c r="F1107" s="17" t="inlineStr">
        <is>
          <t>đường công khai và đường cần đăng nhập</t>
        </is>
      </c>
      <c r="G1107" s="17" t="inlineStr">
        <is>
          <t>đường công khai đi qua không cần token</t>
        </is>
      </c>
      <c r="H1107" s="17" t="inlineStr">
        <is>
          <t>cong_khai(String, String)[4]</t>
        </is>
      </c>
      <c r="I1107" s="16" t="inlineStr">
        <is>
          <t>Đạt</t>
        </is>
      </c>
      <c r="J1107" s="16" t="n">
        <v>0.014</v>
      </c>
    </row>
    <row r="1108">
      <c r="A1108" s="16" t="n">
        <v>1104</v>
      </c>
      <c r="B1108" s="16" t="inlineStr">
        <is>
          <t>Backend</t>
        </is>
      </c>
      <c r="C1108" s="17" t="inlineStr">
        <is>
          <t>api-gateway</t>
        </is>
      </c>
      <c r="D1108" s="16" t="inlineStr">
        <is>
          <t>API slice</t>
        </is>
      </c>
      <c r="E1108" s="17" t="inlineStr">
        <is>
          <t>GatewaySecurityTest › XacThuc</t>
        </is>
      </c>
      <c r="F1108" s="17" t="inlineStr">
        <is>
          <t>đường công khai và đường cần đăng nhập</t>
        </is>
      </c>
      <c r="G1108" s="17" t="inlineStr">
        <is>
          <t>đường công khai đi qua không cần token</t>
        </is>
      </c>
      <c r="H1108" s="17" t="inlineStr">
        <is>
          <t>cong_khai(String, String)[5]</t>
        </is>
      </c>
      <c r="I1108" s="16" t="inlineStr">
        <is>
          <t>Đạt</t>
        </is>
      </c>
      <c r="J1108" s="16" t="n">
        <v>0.018</v>
      </c>
    </row>
    <row r="1109">
      <c r="A1109" s="16" t="n">
        <v>1105</v>
      </c>
      <c r="B1109" s="16" t="inlineStr">
        <is>
          <t>Backend</t>
        </is>
      </c>
      <c r="C1109" s="17" t="inlineStr">
        <is>
          <t>api-gateway</t>
        </is>
      </c>
      <c r="D1109" s="16" t="inlineStr">
        <is>
          <t>API slice</t>
        </is>
      </c>
      <c r="E1109" s="17" t="inlineStr">
        <is>
          <t>GatewaySecurityTest › XacThuc</t>
        </is>
      </c>
      <c r="F1109" s="17" t="inlineStr">
        <is>
          <t>đường công khai và đường cần đăng nhập</t>
        </is>
      </c>
      <c r="G1109" s="17" t="inlineStr">
        <is>
          <t>đường công khai đi qua không cần token</t>
        </is>
      </c>
      <c r="H1109" s="17" t="inlineStr">
        <is>
          <t>cong_khai(String, String)[6]</t>
        </is>
      </c>
      <c r="I1109" s="16" t="inlineStr">
        <is>
          <t>Đạt</t>
        </is>
      </c>
      <c r="J1109" s="16" t="n">
        <v>0.015</v>
      </c>
    </row>
    <row r="1110">
      <c r="A1110" s="16" t="n">
        <v>1106</v>
      </c>
      <c r="B1110" s="16" t="inlineStr">
        <is>
          <t>Backend</t>
        </is>
      </c>
      <c r="C1110" s="17" t="inlineStr">
        <is>
          <t>api-gateway</t>
        </is>
      </c>
      <c r="D1110" s="16" t="inlineStr">
        <is>
          <t>API slice</t>
        </is>
      </c>
      <c r="E1110" s="17" t="inlineStr">
        <is>
          <t>GatewaySecurityTest › XacThuc</t>
        </is>
      </c>
      <c r="F1110" s="17" t="inlineStr">
        <is>
          <t>đường công khai và đường cần đăng nhập</t>
        </is>
      </c>
      <c r="G1110" s="17" t="inlineStr">
        <is>
          <t>đường công khai đi qua không cần token</t>
        </is>
      </c>
      <c r="H1110" s="17" t="inlineStr">
        <is>
          <t>cong_khai(String, String)[7]</t>
        </is>
      </c>
      <c r="I1110" s="16" t="inlineStr">
        <is>
          <t>Đạt</t>
        </is>
      </c>
      <c r="J1110" s="16" t="n">
        <v>0.017</v>
      </c>
    </row>
    <row r="1111">
      <c r="A1111" s="16" t="n">
        <v>1107</v>
      </c>
      <c r="B1111" s="16" t="inlineStr">
        <is>
          <t>Backend</t>
        </is>
      </c>
      <c r="C1111" s="17" t="inlineStr">
        <is>
          <t>api-gateway</t>
        </is>
      </c>
      <c r="D1111" s="16" t="inlineStr">
        <is>
          <t>API slice</t>
        </is>
      </c>
      <c r="E1111" s="17" t="inlineStr">
        <is>
          <t>GatewaySecurityTest › XacThuc</t>
        </is>
      </c>
      <c r="F1111" s="17" t="inlineStr">
        <is>
          <t>đường công khai và đường cần đăng nhập</t>
        </is>
      </c>
      <c r="G1111" s="17" t="inlineStr">
        <is>
          <t>đường công khai đi qua không cần token</t>
        </is>
      </c>
      <c r="H1111" s="17" t="inlineStr">
        <is>
          <t>cong_khai(String, String)[8]</t>
        </is>
      </c>
      <c r="I1111" s="16" t="inlineStr">
        <is>
          <t>Đạt</t>
        </is>
      </c>
      <c r="J1111" s="16" t="n">
        <v>0.013</v>
      </c>
    </row>
    <row r="1112">
      <c r="A1112" s="16" t="n">
        <v>1108</v>
      </c>
      <c r="B1112" s="16" t="inlineStr">
        <is>
          <t>Backend</t>
        </is>
      </c>
      <c r="C1112" s="17" t="inlineStr">
        <is>
          <t>api-gateway</t>
        </is>
      </c>
      <c r="D1112" s="16" t="inlineStr">
        <is>
          <t>API slice</t>
        </is>
      </c>
      <c r="E1112" s="17" t="inlineStr">
        <is>
          <t>GatewaySecurityTest › XacThuc</t>
        </is>
      </c>
      <c r="F1112" s="17" t="inlineStr">
        <is>
          <t>đường công khai và đường cần đăng nhập</t>
        </is>
      </c>
      <c r="G1112" s="17" t="inlineStr">
        <is>
          <t>token hợp lệ thì đi qua; token sai chữ ký thì 401</t>
        </is>
      </c>
      <c r="H1112" s="17" t="inlineStr">
        <is>
          <t>token</t>
        </is>
      </c>
      <c r="I1112" s="16" t="inlineStr">
        <is>
          <t>Đạt</t>
        </is>
      </c>
      <c r="J1112" s="16" t="n">
        <v>0.024</v>
      </c>
    </row>
    <row r="1113">
      <c r="A1113" s="16" t="n">
        <v>1109</v>
      </c>
      <c r="B1113" s="16" t="inlineStr">
        <is>
          <t>Backend</t>
        </is>
      </c>
      <c r="C1113" s="17" t="inlineStr">
        <is>
          <t>api-gateway</t>
        </is>
      </c>
      <c r="D1113" s="16" t="inlineStr">
        <is>
          <t>API slice</t>
        </is>
      </c>
      <c r="E1113" s="17" t="inlineStr">
        <is>
          <t>GatewaySecurityTest › XacThuc</t>
        </is>
      </c>
      <c r="F1113" s="17" t="inlineStr">
        <is>
          <t>đường công khai và đường cần đăng nhập</t>
        </is>
      </c>
      <c r="G1113" s="17" t="inlineStr">
        <is>
          <t>header Authorization rỗng hay sai lược đồ không được coi là đăng nhập</t>
        </is>
      </c>
      <c r="H1113" s="17" t="inlineStr">
        <is>
          <t>header_sai</t>
        </is>
      </c>
      <c r="I1113" s="16" t="inlineStr">
        <is>
          <t>Đạt</t>
        </is>
      </c>
      <c r="J1113" s="16" t="n">
        <v>0.015</v>
      </c>
    </row>
    <row r="1114">
      <c r="A1114" s="16" t="n">
        <v>1110</v>
      </c>
      <c r="B1114" s="16" t="inlineStr">
        <is>
          <t>Backend</t>
        </is>
      </c>
      <c r="C1114" s="17" t="inlineStr">
        <is>
          <t>api-gateway</t>
        </is>
      </c>
      <c r="D1114" s="16" t="inlineStr">
        <is>
          <t>API slice</t>
        </is>
      </c>
      <c r="E1114" s="17" t="inlineStr">
        <is>
          <t>GatewaySecurityTest › XacThuc</t>
        </is>
      </c>
      <c r="F1114" s="17" t="inlineStr">
        <is>
          <t>đường công khai và đường cần đăng nhập</t>
        </is>
      </c>
      <c r="G1114" s="17" t="inlineStr">
        <is>
          <t>mọi đường khác đòi token: 401 kèm WWW-Authenticate Bearer</t>
        </is>
      </c>
      <c r="H1114" s="17" t="inlineStr">
        <is>
          <t>can_dang_nhap(String, String)[1]</t>
        </is>
      </c>
      <c r="I1114" s="16" t="inlineStr">
        <is>
          <t>Đạt</t>
        </is>
      </c>
      <c r="J1114" s="16" t="n">
        <v>0.013</v>
      </c>
    </row>
    <row r="1115">
      <c r="A1115" s="16" t="n">
        <v>1111</v>
      </c>
      <c r="B1115" s="16" t="inlineStr">
        <is>
          <t>Backend</t>
        </is>
      </c>
      <c r="C1115" s="17" t="inlineStr">
        <is>
          <t>api-gateway</t>
        </is>
      </c>
      <c r="D1115" s="16" t="inlineStr">
        <is>
          <t>API slice</t>
        </is>
      </c>
      <c r="E1115" s="17" t="inlineStr">
        <is>
          <t>GatewaySecurityTest › XacThuc</t>
        </is>
      </c>
      <c r="F1115" s="17" t="inlineStr">
        <is>
          <t>đường công khai và đường cần đăng nhập</t>
        </is>
      </c>
      <c r="G1115" s="17" t="inlineStr">
        <is>
          <t>mọi đường khác đòi token: 401 kèm WWW-Authenticate Bearer</t>
        </is>
      </c>
      <c r="H1115" s="17" t="inlineStr">
        <is>
          <t>can_dang_nhap(String, String)[2]</t>
        </is>
      </c>
      <c r="I1115" s="16" t="inlineStr">
        <is>
          <t>Đạt</t>
        </is>
      </c>
      <c r="J1115" s="16" t="n">
        <v>0.015</v>
      </c>
    </row>
    <row r="1116">
      <c r="A1116" s="16" t="n">
        <v>1112</v>
      </c>
      <c r="B1116" s="16" t="inlineStr">
        <is>
          <t>Backend</t>
        </is>
      </c>
      <c r="C1116" s="17" t="inlineStr">
        <is>
          <t>api-gateway</t>
        </is>
      </c>
      <c r="D1116" s="16" t="inlineStr">
        <is>
          <t>API slice</t>
        </is>
      </c>
      <c r="E1116" s="17" t="inlineStr">
        <is>
          <t>GatewaySecurityTest › XacThuc</t>
        </is>
      </c>
      <c r="F1116" s="17" t="inlineStr">
        <is>
          <t>đường công khai và đường cần đăng nhập</t>
        </is>
      </c>
      <c r="G1116" s="17" t="inlineStr">
        <is>
          <t>mọi đường khác đòi token: 401 kèm WWW-Authenticate Bearer</t>
        </is>
      </c>
      <c r="H1116" s="17" t="inlineStr">
        <is>
          <t>can_dang_nhap(String, String)[3]</t>
        </is>
      </c>
      <c r="I1116" s="16" t="inlineStr">
        <is>
          <t>Đạt</t>
        </is>
      </c>
      <c r="J1116" s="16" t="n">
        <v>0.012</v>
      </c>
    </row>
    <row r="1117">
      <c r="A1117" s="16" t="n">
        <v>1113</v>
      </c>
      <c r="B1117" s="16" t="inlineStr">
        <is>
          <t>Backend</t>
        </is>
      </c>
      <c r="C1117" s="17" t="inlineStr">
        <is>
          <t>api-gateway</t>
        </is>
      </c>
      <c r="D1117" s="16" t="inlineStr">
        <is>
          <t>API slice</t>
        </is>
      </c>
      <c r="E1117" s="17" t="inlineStr">
        <is>
          <t>GatewaySecurityTest › XacThuc</t>
        </is>
      </c>
      <c r="F1117" s="17" t="inlineStr">
        <is>
          <t>đường công khai và đường cần đăng nhập</t>
        </is>
      </c>
      <c r="G1117" s="17" t="inlineStr">
        <is>
          <t>mọi đường khác đòi token: 401 kèm WWW-Authenticate Bearer</t>
        </is>
      </c>
      <c r="H1117" s="17" t="inlineStr">
        <is>
          <t>can_dang_nhap(String, String)[4]</t>
        </is>
      </c>
      <c r="I1117" s="16" t="inlineStr">
        <is>
          <t>Đạt</t>
        </is>
      </c>
      <c r="J1117" s="16" t="n">
        <v>0.014</v>
      </c>
    </row>
    <row r="1118">
      <c r="A1118" s="16" t="n">
        <v>1114</v>
      </c>
      <c r="B1118" s="16" t="inlineStr">
        <is>
          <t>Backend</t>
        </is>
      </c>
      <c r="C1118" s="17" t="inlineStr">
        <is>
          <t>api-gateway</t>
        </is>
      </c>
      <c r="D1118" s="16" t="inlineStr">
        <is>
          <t>API slice</t>
        </is>
      </c>
      <c r="E1118" s="17" t="inlineStr">
        <is>
          <t>GatewaySecurityTest › XacThuc</t>
        </is>
      </c>
      <c r="F1118" s="17" t="inlineStr">
        <is>
          <t>đường công khai và đường cần đăng nhập</t>
        </is>
      </c>
      <c r="G1118" s="17" t="inlineStr">
        <is>
          <t>mọi đường khác đòi token: 401 kèm WWW-Authenticate Bearer</t>
        </is>
      </c>
      <c r="H1118" s="17" t="inlineStr">
        <is>
          <t>can_dang_nhap(String, String)[5]</t>
        </is>
      </c>
      <c r="I1118" s="16" t="inlineStr">
        <is>
          <t>Đạt</t>
        </is>
      </c>
      <c r="J1118" s="16" t="n">
        <v>0.012</v>
      </c>
    </row>
    <row r="1119">
      <c r="A1119" s="16" t="n">
        <v>1115</v>
      </c>
      <c r="B1119" s="16" t="inlineStr">
        <is>
          <t>Backend</t>
        </is>
      </c>
      <c r="C1119" s="17" t="inlineStr">
        <is>
          <t>api-gateway</t>
        </is>
      </c>
      <c r="D1119" s="16" t="inlineStr">
        <is>
          <t>API slice</t>
        </is>
      </c>
      <c r="E1119" s="17" t="inlineStr">
        <is>
          <t>GatewaySecurityTest › XacThuc</t>
        </is>
      </c>
      <c r="F1119" s="17" t="inlineStr">
        <is>
          <t>đường công khai và đường cần đăng nhập</t>
        </is>
      </c>
      <c r="G1119" s="17" t="inlineStr">
        <is>
          <t>mọi đường khác đòi token: 401 kèm WWW-Authenticate Bearer</t>
        </is>
      </c>
      <c r="H1119" s="17" t="inlineStr">
        <is>
          <t>can_dang_nhap(String, String)[6]</t>
        </is>
      </c>
      <c r="I1119" s="16" t="inlineStr">
        <is>
          <t>Đạt</t>
        </is>
      </c>
      <c r="J1119" s="16" t="n">
        <v>0.012</v>
      </c>
    </row>
    <row r="1120">
      <c r="A1120" s="16" t="n">
        <v>1116</v>
      </c>
      <c r="B1120" s="16" t="inlineStr">
        <is>
          <t>Backend</t>
        </is>
      </c>
      <c r="C1120" s="17" t="inlineStr">
        <is>
          <t>api-gateway</t>
        </is>
      </c>
      <c r="D1120" s="16" t="inlineStr">
        <is>
          <t>API slice</t>
        </is>
      </c>
      <c r="E1120" s="17" t="inlineStr">
        <is>
          <t>GatewaySecurityTest › XacThuc</t>
        </is>
      </c>
      <c r="F1120" s="17" t="inlineStr">
        <is>
          <t>đường công khai và đường cần đăng nhập</t>
        </is>
      </c>
      <c r="G1120" s="17" t="inlineStr">
        <is>
          <t>mọi đường khác đòi token: 401 kèm WWW-Authenticate Bearer</t>
        </is>
      </c>
      <c r="H1120" s="17" t="inlineStr">
        <is>
          <t>can_dang_nhap(String, String)[7]</t>
        </is>
      </c>
      <c r="I1120" s="16" t="inlineStr">
        <is>
          <t>Đạt</t>
        </is>
      </c>
      <c r="J1120" s="16" t="n">
        <v>0.012</v>
      </c>
    </row>
    <row r="1121">
      <c r="A1121" s="16" t="n">
        <v>1117</v>
      </c>
      <c r="B1121" s="16" t="inlineStr">
        <is>
          <t>Backend</t>
        </is>
      </c>
      <c r="C1121" s="17" t="inlineStr">
        <is>
          <t>api-gateway</t>
        </is>
      </c>
      <c r="D1121" s="16" t="inlineStr">
        <is>
          <t>API slice</t>
        </is>
      </c>
      <c r="E1121" s="17" t="inlineStr">
        <is>
          <t>GatewaySecurityTest › XacThuc</t>
        </is>
      </c>
      <c r="F1121" s="17" t="inlineStr">
        <is>
          <t>đường công khai và đường cần đăng nhập</t>
        </is>
      </c>
      <c r="G1121" s="17" t="inlineStr">
        <is>
          <t>mọi đường khác đòi token: 401 kèm WWW-Authenticate Bearer</t>
        </is>
      </c>
      <c r="H1121" s="17" t="inlineStr">
        <is>
          <t>can_dang_nhap(String, String)[8]</t>
        </is>
      </c>
      <c r="I1121" s="16" t="inlineStr">
        <is>
          <t>Đạt</t>
        </is>
      </c>
      <c r="J1121" s="16" t="n">
        <v>0.015</v>
      </c>
    </row>
    <row r="1122">
      <c r="A1122" s="16" t="n">
        <v>1118</v>
      </c>
      <c r="B1122" s="16" t="inlineStr">
        <is>
          <t>Backend</t>
        </is>
      </c>
      <c r="C1122" s="17" t="inlineStr">
        <is>
          <t>api-gateway</t>
        </is>
      </c>
      <c r="D1122" s="16" t="inlineStr">
        <is>
          <t>API slice</t>
        </is>
      </c>
      <c r="E1122" s="17" t="inlineStr">
        <is>
          <t>GatewaySecurityTest › XacThuc</t>
        </is>
      </c>
      <c r="F1122" s="17" t="inlineStr">
        <is>
          <t>đường công khai và đường cần đăng nhập</t>
        </is>
      </c>
      <c r="G1122" s="17" t="inlineStr">
        <is>
          <t>mọi đường khác đòi token: 401 kèm WWW-Authenticate Bearer</t>
        </is>
      </c>
      <c r="H1122" s="17" t="inlineStr">
        <is>
          <t>can_dang_nhap(String, String)[9]</t>
        </is>
      </c>
      <c r="I1122" s="16" t="inlineStr">
        <is>
          <t>Đạt</t>
        </is>
      </c>
      <c r="J1122" s="16" t="n">
        <v>0.014</v>
      </c>
    </row>
    <row r="1123">
      <c r="A1123" s="16" t="n">
        <v>1119</v>
      </c>
      <c r="B1123" s="16" t="inlineStr">
        <is>
          <t>Backend</t>
        </is>
      </c>
      <c r="C1123" s="17" t="inlineStr">
        <is>
          <t>api-gateway</t>
        </is>
      </c>
      <c r="D1123" s="16" t="inlineStr">
        <is>
          <t>API slice</t>
        </is>
      </c>
      <c r="E1123" s="17" t="inlineStr">
        <is>
          <t>GatewaySecurityTest › XacThuc</t>
        </is>
      </c>
      <c r="F1123" s="17" t="inlineStr">
        <is>
          <t>đường công khai và đường cần đăng nhập</t>
        </is>
      </c>
      <c r="G1123" s="17" t="inlineStr">
        <is>
          <t>mọi đường khác đòi token: 401 kèm WWW-Authenticate Bearer</t>
        </is>
      </c>
      <c r="H1123" s="17" t="inlineStr">
        <is>
          <t>can_dang_nhap(String, String)[10]</t>
        </is>
      </c>
      <c r="I1123" s="16" t="inlineStr">
        <is>
          <t>Đạt</t>
        </is>
      </c>
      <c r="J1123" s="16" t="n">
        <v>0.019</v>
      </c>
    </row>
    <row r="1124">
      <c r="A1124" s="16" t="n">
        <v>1120</v>
      </c>
      <c r="B1124" s="16" t="inlineStr">
        <is>
          <t>Backend</t>
        </is>
      </c>
      <c r="C1124" s="17" t="inlineStr">
        <is>
          <t>api-gateway</t>
        </is>
      </c>
      <c r="D1124" s="16" t="inlineStr">
        <is>
          <t>API slice</t>
        </is>
      </c>
      <c r="E1124" s="17" t="inlineStr">
        <is>
          <t>GatewaySecurityTest › XacThuc</t>
        </is>
      </c>
      <c r="F1124" s="17" t="inlineStr">
        <is>
          <t>đường công khai và đường cần đăng nhập</t>
        </is>
      </c>
      <c r="G1124" s="17" t="inlineStr">
        <is>
          <t>mọi đường khác đòi token: 401 kèm WWW-Authenticate Bearer</t>
        </is>
      </c>
      <c r="H1124" s="17" t="inlineStr">
        <is>
          <t>can_dang_nhap(String, String)[11]</t>
        </is>
      </c>
      <c r="I1124" s="16" t="inlineStr">
        <is>
          <t>Đạt</t>
        </is>
      </c>
      <c r="J1124" s="16" t="n">
        <v>0.013</v>
      </c>
    </row>
    <row r="1125">
      <c r="A1125" s="16" t="n">
        <v>1121</v>
      </c>
      <c r="B1125" s="16" t="inlineStr">
        <is>
          <t>Backend</t>
        </is>
      </c>
      <c r="C1125" s="17" t="inlineStr">
        <is>
          <t>api-gateway</t>
        </is>
      </c>
      <c r="D1125" s="16" t="inlineStr">
        <is>
          <t>API slice</t>
        </is>
      </c>
      <c r="E1125" s="17" t="inlineStr">
        <is>
          <t>GatewaySecurityTest › XacThuc</t>
        </is>
      </c>
      <c r="F1125" s="17" t="inlineStr">
        <is>
          <t>đường công khai và đường cần đăng nhập</t>
        </is>
      </c>
      <c r="G1125" s="17" t="inlineStr">
        <is>
          <t>mọi đường khác đòi token: 401 kèm WWW-Authenticate Bearer</t>
        </is>
      </c>
      <c r="H1125" s="17" t="inlineStr">
        <is>
          <t>can_dang_nhap(String, String)[12]</t>
        </is>
      </c>
      <c r="I1125" s="16" t="inlineStr">
        <is>
          <t>Đạt</t>
        </is>
      </c>
      <c r="J1125" s="16" t="n">
        <v>0.012</v>
      </c>
    </row>
    <row r="1126">
      <c r="A1126" s="16" t="n">
        <v>1122</v>
      </c>
      <c r="B1126" s="16" t="inlineStr">
        <is>
          <t>Backend</t>
        </is>
      </c>
      <c r="C1126" s="17" t="inlineStr">
        <is>
          <t>api-gateway</t>
        </is>
      </c>
      <c r="D1126" s="16" t="inlineStr">
        <is>
          <t>API slice</t>
        </is>
      </c>
      <c r="E1126" s="17" t="inlineStr">
        <is>
          <t>GatewaySecurityTest › XacThuc</t>
        </is>
      </c>
      <c r="F1126" s="17" t="inlineStr">
        <is>
          <t>đường công khai và đường cần đăng nhập</t>
        </is>
      </c>
      <c r="G1126" s="17" t="inlineStr">
        <is>
          <t>mọi đường khác đòi token: 401 kèm WWW-Authenticate Bearer</t>
        </is>
      </c>
      <c r="H1126" s="17" t="inlineStr">
        <is>
          <t>can_dang_nhap(String, String)[13]</t>
        </is>
      </c>
      <c r="I1126" s="16" t="inlineStr">
        <is>
          <t>Đạt</t>
        </is>
      </c>
      <c r="J1126" s="16" t="n">
        <v>0.013</v>
      </c>
    </row>
    <row r="1127">
      <c r="A1127" s="16" t="n">
        <v>1123</v>
      </c>
      <c r="B1127" s="16" t="inlineStr">
        <is>
          <t>Backend</t>
        </is>
      </c>
      <c r="C1127" s="17" t="inlineStr">
        <is>
          <t>api-gateway</t>
        </is>
      </c>
      <c r="D1127" s="16" t="inlineStr">
        <is>
          <t>API slice</t>
        </is>
      </c>
      <c r="E1127" s="17" t="inlineStr">
        <is>
          <t>GatewaySecurityTest › XacThuc</t>
        </is>
      </c>
      <c r="F1127" s="17" t="inlineStr">
        <is>
          <t>đường công khai và đường cần đăng nhập</t>
        </is>
      </c>
      <c r="G1127" s="17" t="inlineStr">
        <is>
          <t>mọi đường khác đòi token: 401 kèm WWW-Authenticate Bearer</t>
        </is>
      </c>
      <c r="H1127" s="17" t="inlineStr">
        <is>
          <t>can_dang_nhap(String, String)[14]</t>
        </is>
      </c>
      <c r="I1127" s="16" t="inlineStr">
        <is>
          <t>Đạt</t>
        </is>
      </c>
      <c r="J1127" s="16" t="n">
        <v>0.017</v>
      </c>
    </row>
    <row r="1128">
      <c r="A1128" s="16" t="n">
        <v>1124</v>
      </c>
      <c r="B1128" s="16" t="inlineStr">
        <is>
          <t>Backend</t>
        </is>
      </c>
      <c r="C1128" s="17" t="inlineStr">
        <is>
          <t>api-gateway</t>
        </is>
      </c>
      <c r="D1128" s="16" t="inlineStr">
        <is>
          <t>API slice</t>
        </is>
      </c>
      <c r="E1128" s="17" t="inlineStr">
        <is>
          <t>GatewaySecurityTest › XacThuc</t>
        </is>
      </c>
      <c r="F1128" s="17" t="inlineStr">
        <is>
          <t>đường công khai và đường cần đăng nhập</t>
        </is>
      </c>
      <c r="G1128" s="17" t="inlineStr">
        <is>
          <t>mọi đường khác đòi token: 401 kèm WWW-Authenticate Bearer</t>
        </is>
      </c>
      <c r="H1128" s="17" t="inlineStr">
        <is>
          <t>can_dang_nhap(String, String)[15]</t>
        </is>
      </c>
      <c r="I1128" s="16" t="inlineStr">
        <is>
          <t>Đạt</t>
        </is>
      </c>
      <c r="J1128" s="16" t="n">
        <v>0.016</v>
      </c>
    </row>
    <row r="1129">
      <c r="A1129" s="16" t="n">
        <v>1125</v>
      </c>
      <c r="B1129" s="16" t="inlineStr">
        <is>
          <t>Backend</t>
        </is>
      </c>
      <c r="C1129" s="17" t="inlineStr">
        <is>
          <t>api-gateway</t>
        </is>
      </c>
      <c r="D1129" s="16" t="inlineStr">
        <is>
          <t>Unit</t>
        </is>
      </c>
      <c r="E1129" s="17" t="inlineStr">
        <is>
          <t>RateLimitKeyResolverTest</t>
        </is>
      </c>
      <c r="F1129" s="17" t="inlineStr"/>
      <c r="G1129" s="17" t="inlineStr">
        <is>
          <t>khách vãng lai khác nhau được tách hạn mức riêng</t>
        </is>
      </c>
      <c r="H1129" s="17" t="inlineStr">
        <is>
          <t>khach_vang_lai_tach_theo_ip_that</t>
        </is>
      </c>
      <c r="I1129" s="16" t="inlineStr">
        <is>
          <t>Đạt</t>
        </is>
      </c>
      <c r="J1129" s="16" t="n">
        <v>0.02</v>
      </c>
    </row>
    <row r="1130">
      <c r="A1130" s="16" t="n">
        <v>1126</v>
      </c>
      <c r="B1130" s="16" t="inlineStr">
        <is>
          <t>Backend</t>
        </is>
      </c>
      <c r="C1130" s="17" t="inlineStr">
        <is>
          <t>api-gateway</t>
        </is>
      </c>
      <c r="D1130" s="16" t="inlineStr">
        <is>
          <t>Unit</t>
        </is>
      </c>
      <c r="E1130" s="17" t="inlineStr">
        <is>
          <t>RateLimitKeyResolverTest</t>
        </is>
      </c>
      <c r="F1130" s="17" t="inlineStr"/>
      <c r="G1130" s="17" t="inlineStr">
        <is>
          <t>nhồi thật nhiều địa chỉ giả cũng vậy</t>
        </is>
      </c>
      <c r="H1130" s="17" t="inlineStr">
        <is>
          <t>nhoi_nhieu_dia_chi_gia</t>
        </is>
      </c>
      <c r="I1130" s="16" t="inlineStr">
        <is>
          <t>Đạt</t>
        </is>
      </c>
      <c r="J1130" s="16" t="n">
        <v>0.007</v>
      </c>
    </row>
    <row r="1131">
      <c r="A1131" s="16" t="n">
        <v>1127</v>
      </c>
      <c r="B1131" s="16" t="inlineStr">
        <is>
          <t>Backend</t>
        </is>
      </c>
      <c r="C1131" s="17" t="inlineStr">
        <is>
          <t>api-gateway</t>
        </is>
      </c>
      <c r="D1131" s="16" t="inlineStr">
        <is>
          <t>Unit</t>
        </is>
      </c>
      <c r="E1131" s="17" t="inlineStr">
        <is>
          <t>RateLimitKeyResolverTest</t>
        </is>
      </c>
      <c r="F1131" s="17" t="inlineStr"/>
      <c r="G1131" s="17" t="inlineStr">
        <is>
          <t>bot tự thêm địa chỉ vào đầu X-Forwarded-For KHÔNG đổi được khoá</t>
        </is>
      </c>
      <c r="H1131" s="17" t="inlineStr">
        <is>
          <t>khong_the_gia_mao_de_doi_khoa</t>
        </is>
      </c>
      <c r="I1131" s="16" t="inlineStr">
        <is>
          <t>Đạt</t>
        </is>
      </c>
      <c r="J1131" s="16" t="n">
        <v>0.01</v>
      </c>
    </row>
    <row r="1132">
      <c r="A1132" s="16" t="n">
        <v>1128</v>
      </c>
      <c r="B1132" s="16" t="inlineStr">
        <is>
          <t>Backend</t>
        </is>
      </c>
      <c r="C1132" s="17" t="inlineStr">
        <is>
          <t>api-gateway</t>
        </is>
      </c>
      <c r="D1132" s="16" t="inlineStr">
        <is>
          <t>Unit</t>
        </is>
      </c>
      <c r="E1132" s="17" t="inlineStr">
        <is>
          <t>RateLimitKeyResolverTest</t>
        </is>
      </c>
      <c r="F1132" s="17" t="inlineStr"/>
      <c r="G1132" s="17" t="inlineStr">
        <is>
          <t>khai THỪA số proxy tin cậy thì giả mạo ăn thua — ghim lại mối nguy</t>
        </is>
      </c>
      <c r="H1132" s="17" t="inlineStr">
        <is>
          <t>khai_thua_proxy_thi_gia_mao_an_thua</t>
        </is>
      </c>
      <c r="I1132" s="16" t="inlineStr">
        <is>
          <t>Đạt</t>
        </is>
      </c>
      <c r="J1132" s="16" t="n">
        <v>0.008999999999999999</v>
      </c>
    </row>
    <row r="1133">
      <c r="A1133" s="16" t="n">
        <v>1129</v>
      </c>
      <c r="B1133" s="16" t="inlineStr">
        <is>
          <t>Backend</t>
        </is>
      </c>
      <c r="C1133" s="17" t="inlineStr">
        <is>
          <t>api-gateway</t>
        </is>
      </c>
      <c r="D1133" s="16" t="inlineStr">
        <is>
          <t>Unit</t>
        </is>
      </c>
      <c r="E1133" s="17" t="inlineStr">
        <is>
          <t>RateLimitKeyResolverTest</t>
        </is>
      </c>
      <c r="F1133" s="17" t="inlineStr"/>
      <c r="G1133" s="17" t="inlineStr">
        <is>
          <t>hai người dùng khác nhau sau cùng một NAT vẫn phải tách khoá</t>
        </is>
      </c>
      <c r="H1133" s="17" t="inlineStr">
        <is>
          <t>nguoi_dung_dang_nhap_tach_theo_danh_tinh</t>
        </is>
      </c>
      <c r="I1133" s="16" t="inlineStr">
        <is>
          <t>Đạt</t>
        </is>
      </c>
      <c r="J1133" s="16" t="n">
        <v>0.016</v>
      </c>
    </row>
    <row r="1134">
      <c r="A1134" s="16" t="n">
        <v>1130</v>
      </c>
      <c r="B1134" s="16" t="inlineStr">
        <is>
          <t>Backend</t>
        </is>
      </c>
      <c r="C1134" s="17" t="inlineStr">
        <is>
          <t>catalog-service</t>
        </is>
      </c>
      <c r="D1134" s="16" t="inlineStr">
        <is>
          <t>Unit</t>
        </is>
      </c>
      <c r="E1134" s="17" t="inlineStr">
        <is>
          <t>EventLifecycleHandlersTest › Publish</t>
        </is>
      </c>
      <c r="F1134" s="17" t="inlineStr">
        <is>
          <t>Publish</t>
        </is>
      </c>
      <c r="G1134" s="17" t="inlineStr">
        <is>
          <t>đang bán hoặc đã huỷ thì không publish được: 409 INVALID_EVENT_STATE</t>
        </is>
      </c>
      <c r="H1134" s="17" t="inlineStr">
        <is>
          <t>trang_thai_khong_publish_duoc(EventStatus)[1]</t>
        </is>
      </c>
      <c r="I1134" s="16" t="inlineStr">
        <is>
          <t>Đạt</t>
        </is>
      </c>
      <c r="J1134" s="16" t="n">
        <v>0.018</v>
      </c>
    </row>
    <row r="1135">
      <c r="A1135" s="16" t="n">
        <v>1131</v>
      </c>
      <c r="B1135" s="16" t="inlineStr">
        <is>
          <t>Backend</t>
        </is>
      </c>
      <c r="C1135" s="17" t="inlineStr">
        <is>
          <t>catalog-service</t>
        </is>
      </c>
      <c r="D1135" s="16" t="inlineStr">
        <is>
          <t>Unit</t>
        </is>
      </c>
      <c r="E1135" s="17" t="inlineStr">
        <is>
          <t>EventLifecycleHandlersTest › Publish</t>
        </is>
      </c>
      <c r="F1135" s="17" t="inlineStr">
        <is>
          <t>Publish</t>
        </is>
      </c>
      <c r="G1135" s="17" t="inlineStr">
        <is>
          <t>đang bán hoặc đã huỷ thì không publish được: 409 INVALID_EVENT_STATE</t>
        </is>
      </c>
      <c r="H1135" s="17" t="inlineStr">
        <is>
          <t>trang_thai_khong_publish_duoc(EventStatus)[2]</t>
        </is>
      </c>
      <c r="I1135" s="16" t="inlineStr">
        <is>
          <t>Đạt</t>
        </is>
      </c>
      <c r="J1135" s="16" t="n">
        <v>0.013</v>
      </c>
    </row>
    <row r="1136">
      <c r="A1136" s="16" t="n">
        <v>1132</v>
      </c>
      <c r="B1136" s="16" t="inlineStr">
        <is>
          <t>Backend</t>
        </is>
      </c>
      <c r="C1136" s="17" t="inlineStr">
        <is>
          <t>catalog-service</t>
        </is>
      </c>
      <c r="D1136" s="16" t="inlineStr">
        <is>
          <t>Unit</t>
        </is>
      </c>
      <c r="E1136" s="17" t="inlineStr">
        <is>
          <t>EventLifecycleHandlersTest › Publish</t>
        </is>
      </c>
      <c r="F1136" s="17" t="inlineStr">
        <is>
          <t>Publish</t>
        </is>
      </c>
      <c r="G1136" s="17" t="inlineStr">
        <is>
          <t>publish lại sau khi rút xuống: được, và phát lại message cho mọi suất</t>
        </is>
      </c>
      <c r="H1136" s="17" t="inlineStr">
        <is>
          <t>publish_lai</t>
        </is>
      </c>
      <c r="I1136" s="16" t="inlineStr">
        <is>
          <t>Đạt</t>
        </is>
      </c>
      <c r="J1136" s="16" t="n">
        <v>0.163</v>
      </c>
    </row>
    <row r="1137">
      <c r="A1137" s="16" t="n">
        <v>1133</v>
      </c>
      <c r="B1137" s="16" t="inlineStr">
        <is>
          <t>Backend</t>
        </is>
      </c>
      <c r="C1137" s="17" t="inlineStr">
        <is>
          <t>catalog-service</t>
        </is>
      </c>
      <c r="D1137" s="16" t="inlineStr">
        <is>
          <t>Unit</t>
        </is>
      </c>
      <c r="E1137" s="17" t="inlineStr">
        <is>
          <t>EventLifecycleHandlersTest › Publish</t>
        </is>
      </c>
      <c r="F1137" s="17" t="inlineStr">
        <is>
          <t>Publish</t>
        </is>
      </c>
      <c r="G1137" s="17" t="inlineStr">
        <is>
          <t>đồng bộ lại sự kiện đang bán: phát lại mọi suất, không đổi trạng thái</t>
        </is>
      </c>
      <c r="H1137" s="17" t="inlineStr">
        <is>
          <t>dong_bo_lai</t>
        </is>
      </c>
      <c r="I1137" s="16" t="inlineStr">
        <is>
          <t>Đạt</t>
        </is>
      </c>
      <c r="J1137" s="16" t="n">
        <v>0.017</v>
      </c>
    </row>
    <row r="1138">
      <c r="A1138" s="16" t="n">
        <v>1134</v>
      </c>
      <c r="B1138" s="16" t="inlineStr">
        <is>
          <t>Backend</t>
        </is>
      </c>
      <c r="C1138" s="17" t="inlineStr">
        <is>
          <t>catalog-service</t>
        </is>
      </c>
      <c r="D1138" s="16" t="inlineStr">
        <is>
          <t>Unit</t>
        </is>
      </c>
      <c r="E1138" s="17" t="inlineStr">
        <is>
          <t>EventLifecycleHandlersTest › Publish</t>
        </is>
      </c>
      <c r="F1138" s="17" t="inlineStr">
        <is>
          <t>Publish</t>
        </is>
      </c>
      <c r="G1138" s="17" t="inlineStr">
        <is>
          <t>đủ điều kiện: PUBLISHED với mốc của đồng hồ, mỗi suất một message outbox</t>
        </is>
      </c>
      <c r="H1138" s="17" t="inlineStr">
        <is>
          <t>publish_thanh_cong</t>
        </is>
      </c>
      <c r="I1138" s="16" t="inlineStr">
        <is>
          <t>Đạt</t>
        </is>
      </c>
      <c r="J1138" s="16" t="n">
        <v>0.019</v>
      </c>
    </row>
    <row r="1139">
      <c r="A1139" s="16" t="n">
        <v>1135</v>
      </c>
      <c r="B1139" s="16" t="inlineStr">
        <is>
          <t>Backend</t>
        </is>
      </c>
      <c r="C1139" s="17" t="inlineStr">
        <is>
          <t>catalog-service</t>
        </is>
      </c>
      <c r="D1139" s="16" t="inlineStr">
        <is>
          <t>Unit</t>
        </is>
      </c>
      <c r="E1139" s="17" t="inlineStr">
        <is>
          <t>EventLifecycleHandlersTest › Publish</t>
        </is>
      </c>
      <c r="F1139" s="17" t="inlineStr">
        <is>
          <t>Publish</t>
        </is>
      </c>
      <c r="G1139" s="17" t="inlineStr">
        <is>
          <t>chưa có suất: 409 PUBLISH_BLOCKED kèm danh sách vướng mắc, không đổi trạng thái</t>
        </is>
      </c>
      <c r="H1139" s="17" t="inlineStr">
        <is>
          <t>chua_co_suat</t>
        </is>
      </c>
      <c r="I1139" s="16" t="inlineStr">
        <is>
          <t>Đạt</t>
        </is>
      </c>
      <c r="J1139" s="16" t="n">
        <v>0.064</v>
      </c>
    </row>
    <row r="1140">
      <c r="A1140" s="16" t="n">
        <v>1136</v>
      </c>
      <c r="B1140" s="16" t="inlineStr">
        <is>
          <t>Backend</t>
        </is>
      </c>
      <c r="C1140" s="17" t="inlineStr">
        <is>
          <t>catalog-service</t>
        </is>
      </c>
      <c r="D1140" s="16" t="inlineStr">
        <is>
          <t>Unit</t>
        </is>
      </c>
      <c r="E1140" s="17" t="inlineStr">
        <is>
          <t>EventLifecycleHandlersTest › Publish</t>
        </is>
      </c>
      <c r="F1140" s="17" t="inlineStr">
        <is>
          <t>Publish</t>
        </is>
      </c>
      <c r="G1140" s="17" t="inlineStr">
        <is>
          <t>đồng bộ lại chỉ cho sự kiện đang bán — nếu không là publish lén không qua preflight</t>
        </is>
      </c>
      <c r="H1140" s="17" t="inlineStr">
        <is>
          <t>dong_bo_lai_chi_khi_dang_ban(EventStatus)[1]</t>
        </is>
      </c>
      <c r="I1140" s="16" t="inlineStr">
        <is>
          <t>Đạt</t>
        </is>
      </c>
      <c r="J1140" s="16" t="n">
        <v>0.01</v>
      </c>
    </row>
    <row r="1141">
      <c r="A1141" s="16" t="n">
        <v>1137</v>
      </c>
      <c r="B1141" s="16" t="inlineStr">
        <is>
          <t>Backend</t>
        </is>
      </c>
      <c r="C1141" s="17" t="inlineStr">
        <is>
          <t>catalog-service</t>
        </is>
      </c>
      <c r="D1141" s="16" t="inlineStr">
        <is>
          <t>Unit</t>
        </is>
      </c>
      <c r="E1141" s="17" t="inlineStr">
        <is>
          <t>EventLifecycleHandlersTest › Publish</t>
        </is>
      </c>
      <c r="F1141" s="17" t="inlineStr">
        <is>
          <t>Publish</t>
        </is>
      </c>
      <c r="G1141" s="17" t="inlineStr">
        <is>
          <t>đồng bộ lại chỉ cho sự kiện đang bán — nếu không là publish lén không qua preflight</t>
        </is>
      </c>
      <c r="H1141" s="17" t="inlineStr">
        <is>
          <t>dong_bo_lai_chi_khi_dang_ban(EventStatus)[2]</t>
        </is>
      </c>
      <c r="I1141" s="16" t="inlineStr">
        <is>
          <t>Đạt</t>
        </is>
      </c>
      <c r="J1141" s="16" t="n">
        <v>0.013</v>
      </c>
    </row>
    <row r="1142">
      <c r="A1142" s="16" t="n">
        <v>1138</v>
      </c>
      <c r="B1142" s="16" t="inlineStr">
        <is>
          <t>Backend</t>
        </is>
      </c>
      <c r="C1142" s="17" t="inlineStr">
        <is>
          <t>catalog-service</t>
        </is>
      </c>
      <c r="D1142" s="16" t="inlineStr">
        <is>
          <t>Unit</t>
        </is>
      </c>
      <c r="E1142" s="17" t="inlineStr">
        <is>
          <t>EventLifecycleHandlersTest › Publish</t>
        </is>
      </c>
      <c r="F1142" s="17" t="inlineStr">
        <is>
          <t>Publish</t>
        </is>
      </c>
      <c r="G1142" s="17" t="inlineStr">
        <is>
          <t>đồng bộ lại chỉ cho sự kiện đang bán — nếu không là publish lén không qua preflight</t>
        </is>
      </c>
      <c r="H1142" s="17" t="inlineStr">
        <is>
          <t>dong_bo_lai_chi_khi_dang_ban(EventStatus)[3]</t>
        </is>
      </c>
      <c r="I1142" s="16" t="inlineStr">
        <is>
          <t>Đạt</t>
        </is>
      </c>
      <c r="J1142" s="16" t="n">
        <v>0.01</v>
      </c>
    </row>
    <row r="1143">
      <c r="A1143" s="16" t="n">
        <v>1139</v>
      </c>
      <c r="B1143" s="16" t="inlineStr">
        <is>
          <t>Backend</t>
        </is>
      </c>
      <c r="C1143" s="17" t="inlineStr">
        <is>
          <t>catalog-service</t>
        </is>
      </c>
      <c r="D1143" s="16" t="inlineStr">
        <is>
          <t>Unit</t>
        </is>
      </c>
      <c r="E1143" s="17" t="inlineStr">
        <is>
          <t>EventLifecycleHandlersTest › Publish</t>
        </is>
      </c>
      <c r="F1143" s="17" t="inlineStr">
        <is>
          <t>Publish</t>
        </is>
      </c>
      <c r="G1143" s="17" t="inlineStr">
        <is>
          <t>không đủ quyền: không đọc, không phát gì</t>
        </is>
      </c>
      <c r="H1143" s="17" t="inlineStr">
        <is>
          <t>khong_du_quyen</t>
        </is>
      </c>
      <c r="I1143" s="16" t="inlineStr">
        <is>
          <t>Đạt</t>
        </is>
      </c>
      <c r="J1143" s="16" t="n">
        <v>0.024</v>
      </c>
    </row>
    <row r="1144">
      <c r="A1144" s="16" t="n">
        <v>1140</v>
      </c>
      <c r="B1144" s="16" t="inlineStr">
        <is>
          <t>Backend</t>
        </is>
      </c>
      <c r="C1144" s="17" t="inlineStr">
        <is>
          <t>catalog-service</t>
        </is>
      </c>
      <c r="D1144" s="16" t="inlineStr">
        <is>
          <t>Unit</t>
        </is>
      </c>
      <c r="E1144" s="17" t="inlineStr">
        <is>
          <t>EventLifecycleHandlersTest › Publish</t>
        </is>
      </c>
      <c r="F1144" s="17" t="inlineStr">
        <is>
          <t>Publish</t>
        </is>
      </c>
      <c r="G1144" s="17" t="inlineStr">
        <is>
          <t>có suất không bán gì và địa điểm không có khu: trả về HẾT vướng mắc</t>
        </is>
      </c>
      <c r="H1144" s="17" t="inlineStr">
        <is>
          <t>nhieu_vuong_mac</t>
        </is>
      </c>
      <c r="I1144" s="16" t="inlineStr">
        <is>
          <t>Đạt</t>
        </is>
      </c>
      <c r="J1144" s="16" t="n">
        <v>0.162</v>
      </c>
    </row>
    <row r="1145">
      <c r="A1145" s="16" t="n">
        <v>1141</v>
      </c>
      <c r="B1145" s="16" t="inlineStr">
        <is>
          <t>Backend</t>
        </is>
      </c>
      <c r="C1145" s="17" t="inlineStr">
        <is>
          <t>catalog-service</t>
        </is>
      </c>
      <c r="D1145" s="16" t="inlineStr">
        <is>
          <t>Unit</t>
        </is>
      </c>
      <c r="E1145" s="17" t="inlineStr">
        <is>
          <t>EventLifecycleHandlersTest › Publish</t>
        </is>
      </c>
      <c r="F1145" s="17" t="inlineStr">
        <is>
          <t>Publish</t>
        </is>
      </c>
      <c r="G1145" s="17" t="inlineStr">
        <is>
          <t>sự kiện không thuộc tổ chức: 404 trước khi chạm địa điểm</t>
        </is>
      </c>
      <c r="H1145" s="17" t="inlineStr">
        <is>
          <t>khong_thuoc_to_chuc</t>
        </is>
      </c>
      <c r="I1145" s="16" t="inlineStr">
        <is>
          <t>Đạt</t>
        </is>
      </c>
      <c r="J1145" s="16" t="n">
        <v>0.005</v>
      </c>
    </row>
    <row r="1146">
      <c r="A1146" s="16" t="n">
        <v>1142</v>
      </c>
      <c r="B1146" s="16" t="inlineStr">
        <is>
          <t>Backend</t>
        </is>
      </c>
      <c r="C1146" s="17" t="inlineStr">
        <is>
          <t>catalog-service</t>
        </is>
      </c>
      <c r="D1146" s="16" t="inlineStr">
        <is>
          <t>Unit</t>
        </is>
      </c>
      <c r="E1146" s="17" t="inlineStr">
        <is>
          <t>EventLifecycleHandlersTest › RutHuyXoa</t>
        </is>
      </c>
      <c r="F1146" s="17" t="inlineStr">
        <is>
          <t>Rút xuống, huỷ, xoá</t>
        </is>
      </c>
      <c r="G1146" s="17" t="inlineStr">
        <is>
          <t>xoá sự kiện của tổ chức khác: 404</t>
        </is>
      </c>
      <c r="H1146" s="17" t="inlineStr">
        <is>
          <t>xoa_cua_to_chuc_khac</t>
        </is>
      </c>
      <c r="I1146" s="16" t="inlineStr">
        <is>
          <t>Đạt</t>
        </is>
      </c>
      <c r="J1146" s="16" t="n">
        <v>0.011</v>
      </c>
    </row>
    <row r="1147">
      <c r="A1147" s="16" t="n">
        <v>1143</v>
      </c>
      <c r="B1147" s="16" t="inlineStr">
        <is>
          <t>Backend</t>
        </is>
      </c>
      <c r="C1147" s="17" t="inlineStr">
        <is>
          <t>catalog-service</t>
        </is>
      </c>
      <c r="D1147" s="16" t="inlineStr">
        <is>
          <t>Unit</t>
        </is>
      </c>
      <c r="E1147" s="17" t="inlineStr">
        <is>
          <t>EventLifecycleHandlersTest › RutHuyXoa</t>
        </is>
      </c>
      <c r="F1147" s="17" t="inlineStr">
        <is>
          <t>Rút xuống, huỷ, xoá</t>
        </is>
      </c>
      <c r="G1147" s="17" t="inlineStr">
        <is>
          <t>rút xuống sự kiện không đang bán: 409 EVENT_NOT_PUBLISHED</t>
        </is>
      </c>
      <c r="H1147" s="17" t="inlineStr">
        <is>
          <t>rut_xuong_khi_khong_ban(EventStatus)[1]</t>
        </is>
      </c>
      <c r="I1147" s="16" t="inlineStr">
        <is>
          <t>Đạt</t>
        </is>
      </c>
      <c r="J1147" s="16" t="n">
        <v>0.07099999999999999</v>
      </c>
    </row>
    <row r="1148">
      <c r="A1148" s="16" t="n">
        <v>1144</v>
      </c>
      <c r="B1148" s="16" t="inlineStr">
        <is>
          <t>Backend</t>
        </is>
      </c>
      <c r="C1148" s="17" t="inlineStr">
        <is>
          <t>catalog-service</t>
        </is>
      </c>
      <c r="D1148" s="16" t="inlineStr">
        <is>
          <t>Unit</t>
        </is>
      </c>
      <c r="E1148" s="17" t="inlineStr">
        <is>
          <t>EventLifecycleHandlersTest › RutHuyXoa</t>
        </is>
      </c>
      <c r="F1148" s="17" t="inlineStr">
        <is>
          <t>Rút xuống, huỷ, xoá</t>
        </is>
      </c>
      <c r="G1148" s="17" t="inlineStr">
        <is>
          <t>rút xuống sự kiện không đang bán: 409 EVENT_NOT_PUBLISHED</t>
        </is>
      </c>
      <c r="H1148" s="17" t="inlineStr">
        <is>
          <t>rut_xuong_khi_khong_ban(EventStatus)[2]</t>
        </is>
      </c>
      <c r="I1148" s="16" t="inlineStr">
        <is>
          <t>Đạt</t>
        </is>
      </c>
      <c r="J1148" s="16" t="n">
        <v>0.008999999999999999</v>
      </c>
    </row>
    <row r="1149">
      <c r="A1149" s="16" t="n">
        <v>1145</v>
      </c>
      <c r="B1149" s="16" t="inlineStr">
        <is>
          <t>Backend</t>
        </is>
      </c>
      <c r="C1149" s="17" t="inlineStr">
        <is>
          <t>catalog-service</t>
        </is>
      </c>
      <c r="D1149" s="16" t="inlineStr">
        <is>
          <t>Unit</t>
        </is>
      </c>
      <c r="E1149" s="17" t="inlineStr">
        <is>
          <t>EventLifecycleHandlersTest › RutHuyXoa</t>
        </is>
      </c>
      <c r="F1149" s="17" t="inlineStr">
        <is>
          <t>Rút xuống, huỷ, xoá</t>
        </is>
      </c>
      <c r="G1149" s="17" t="inlineStr">
        <is>
          <t>rút xuống sự kiện không đang bán: 409 EVENT_NOT_PUBLISHED</t>
        </is>
      </c>
      <c r="H1149" s="17" t="inlineStr">
        <is>
          <t>rut_xuong_khi_khong_ban(EventStatus)[3]</t>
        </is>
      </c>
      <c r="I1149" s="16" t="inlineStr">
        <is>
          <t>Đạt</t>
        </is>
      </c>
      <c r="J1149" s="16" t="n">
        <v>0.008</v>
      </c>
    </row>
    <row r="1150">
      <c r="A1150" s="16" t="n">
        <v>1146</v>
      </c>
      <c r="B1150" s="16" t="inlineStr">
        <is>
          <t>Backend</t>
        </is>
      </c>
      <c r="C1150" s="17" t="inlineStr">
        <is>
          <t>catalog-service</t>
        </is>
      </c>
      <c r="D1150" s="16" t="inlineStr">
        <is>
          <t>Unit</t>
        </is>
      </c>
      <c r="E1150" s="17" t="inlineStr">
        <is>
          <t>EventLifecycleHandlersTest › RutHuyXoa</t>
        </is>
      </c>
      <c r="F1150" s="17" t="inlineStr">
        <is>
          <t>Rút xuống, huỷ, xoá</t>
        </is>
      </c>
      <c r="G1150" s="17" t="inlineStr">
        <is>
          <t>huỷ lần hai: 409, không phải 500 từ IllegalStateException của domain</t>
        </is>
      </c>
      <c r="H1150" s="17" t="inlineStr">
        <is>
          <t>huy_hai_lan</t>
        </is>
      </c>
      <c r="I1150" s="16" t="inlineStr">
        <is>
          <t>Đạt</t>
        </is>
      </c>
      <c r="J1150" s="16" t="n">
        <v>0.011</v>
      </c>
    </row>
    <row r="1151">
      <c r="A1151" s="16" t="n">
        <v>1147</v>
      </c>
      <c r="B1151" s="16" t="inlineStr">
        <is>
          <t>Backend</t>
        </is>
      </c>
      <c r="C1151" s="17" t="inlineStr">
        <is>
          <t>catalog-service</t>
        </is>
      </c>
      <c r="D1151" s="16" t="inlineStr">
        <is>
          <t>Unit</t>
        </is>
      </c>
      <c r="E1151" s="17" t="inlineStr">
        <is>
          <t>EventLifecycleHandlersTest › RutHuyXoa</t>
        </is>
      </c>
      <c r="F1151" s="17" t="inlineStr">
        <is>
          <t>Rút xuống, huỷ, xoá</t>
        </is>
      </c>
      <c r="G1151" s="17" t="inlineStr">
        <is>
          <t>huỷ được từ mọi trạng thái chưa huỷ, không xoá gì</t>
        </is>
      </c>
      <c r="H1151" s="17" t="inlineStr">
        <is>
          <t>huy(EventStatus)[1]</t>
        </is>
      </c>
      <c r="I1151" s="16" t="inlineStr">
        <is>
          <t>Đạt</t>
        </is>
      </c>
      <c r="J1151" s="16" t="n">
        <v>0.019</v>
      </c>
    </row>
    <row r="1152">
      <c r="A1152" s="16" t="n">
        <v>1148</v>
      </c>
      <c r="B1152" s="16" t="inlineStr">
        <is>
          <t>Backend</t>
        </is>
      </c>
      <c r="C1152" s="17" t="inlineStr">
        <is>
          <t>catalog-service</t>
        </is>
      </c>
      <c r="D1152" s="16" t="inlineStr">
        <is>
          <t>Unit</t>
        </is>
      </c>
      <c r="E1152" s="17" t="inlineStr">
        <is>
          <t>EventLifecycleHandlersTest › RutHuyXoa</t>
        </is>
      </c>
      <c r="F1152" s="17" t="inlineStr">
        <is>
          <t>Rút xuống, huỷ, xoá</t>
        </is>
      </c>
      <c r="G1152" s="17" t="inlineStr">
        <is>
          <t>huỷ được từ mọi trạng thái chưa huỷ, không xoá gì</t>
        </is>
      </c>
      <c r="H1152" s="17" t="inlineStr">
        <is>
          <t>huy(EventStatus)[2]</t>
        </is>
      </c>
      <c r="I1152" s="16" t="inlineStr">
        <is>
          <t>Đạt</t>
        </is>
      </c>
      <c r="J1152" s="16" t="n">
        <v>0.013</v>
      </c>
    </row>
    <row r="1153">
      <c r="A1153" s="16" t="n">
        <v>1149</v>
      </c>
      <c r="B1153" s="16" t="inlineStr">
        <is>
          <t>Backend</t>
        </is>
      </c>
      <c r="C1153" s="17" t="inlineStr">
        <is>
          <t>catalog-service</t>
        </is>
      </c>
      <c r="D1153" s="16" t="inlineStr">
        <is>
          <t>Unit</t>
        </is>
      </c>
      <c r="E1153" s="17" t="inlineStr">
        <is>
          <t>EventLifecycleHandlersTest › RutHuyXoa</t>
        </is>
      </c>
      <c r="F1153" s="17" t="inlineStr">
        <is>
          <t>Rút xuống, huỷ, xoá</t>
        </is>
      </c>
      <c r="G1153" s="17" t="inlineStr">
        <is>
          <t>huỷ được từ mọi trạng thái chưa huỷ, không xoá gì</t>
        </is>
      </c>
      <c r="H1153" s="17" t="inlineStr">
        <is>
          <t>huy(EventStatus)[3]</t>
        </is>
      </c>
      <c r="I1153" s="16" t="inlineStr">
        <is>
          <t>Đạt</t>
        </is>
      </c>
      <c r="J1153" s="16" t="n">
        <v>0.011</v>
      </c>
    </row>
    <row r="1154">
      <c r="A1154" s="16" t="n">
        <v>1150</v>
      </c>
      <c r="B1154" s="16" t="inlineStr">
        <is>
          <t>Backend</t>
        </is>
      </c>
      <c r="C1154" s="17" t="inlineStr">
        <is>
          <t>catalog-service</t>
        </is>
      </c>
      <c r="D1154" s="16" t="inlineStr">
        <is>
          <t>Unit</t>
        </is>
      </c>
      <c r="E1154" s="17" t="inlineStr">
        <is>
          <t>EventLifecycleHandlersTest › RutHuyXoa</t>
        </is>
      </c>
      <c r="F1154" s="17" t="inlineStr">
        <is>
          <t>Rút xuống, huỷ, xoá</t>
        </is>
      </c>
      <c r="G1154" s="17" t="inlineStr">
        <is>
          <t>đã từng lên bán thì không xoá được: 409</t>
        </is>
      </c>
      <c r="H1154" s="17" t="inlineStr">
        <is>
          <t>khong_xoa_khi_da_ban(EventStatus)[1]</t>
        </is>
      </c>
      <c r="I1154" s="16" t="inlineStr">
        <is>
          <t>Đạt</t>
        </is>
      </c>
      <c r="J1154" s="16" t="n">
        <v>0.012</v>
      </c>
    </row>
    <row r="1155">
      <c r="A1155" s="16" t="n">
        <v>1151</v>
      </c>
      <c r="B1155" s="16" t="inlineStr">
        <is>
          <t>Backend</t>
        </is>
      </c>
      <c r="C1155" s="17" t="inlineStr">
        <is>
          <t>catalog-service</t>
        </is>
      </c>
      <c r="D1155" s="16" t="inlineStr">
        <is>
          <t>Unit</t>
        </is>
      </c>
      <c r="E1155" s="17" t="inlineStr">
        <is>
          <t>EventLifecycleHandlersTest › RutHuyXoa</t>
        </is>
      </c>
      <c r="F1155" s="17" t="inlineStr">
        <is>
          <t>Rút xuống, huỷ, xoá</t>
        </is>
      </c>
      <c r="G1155" s="17" t="inlineStr">
        <is>
          <t>đã từng lên bán thì không xoá được: 409</t>
        </is>
      </c>
      <c r="H1155" s="17" t="inlineStr">
        <is>
          <t>khong_xoa_khi_da_ban(EventStatus)[2]</t>
        </is>
      </c>
      <c r="I1155" s="16" t="inlineStr">
        <is>
          <t>Đạt</t>
        </is>
      </c>
      <c r="J1155" s="16" t="n">
        <v>0.01</v>
      </c>
    </row>
    <row r="1156">
      <c r="A1156" s="16" t="n">
        <v>1152</v>
      </c>
      <c r="B1156" s="16" t="inlineStr">
        <is>
          <t>Backend</t>
        </is>
      </c>
      <c r="C1156" s="17" t="inlineStr">
        <is>
          <t>catalog-service</t>
        </is>
      </c>
      <c r="D1156" s="16" t="inlineStr">
        <is>
          <t>Unit</t>
        </is>
      </c>
      <c r="E1156" s="17" t="inlineStr">
        <is>
          <t>EventLifecycleHandlersTest › RutHuyXoa</t>
        </is>
      </c>
      <c r="F1156" s="17" t="inlineStr">
        <is>
          <t>Rút xuống, huỷ, xoá</t>
        </is>
      </c>
      <c r="G1156" s="17" t="inlineStr">
        <is>
          <t>đã từng lên bán thì không xoá được: 409</t>
        </is>
      </c>
      <c r="H1156" s="17" t="inlineStr">
        <is>
          <t>khong_xoa_khi_da_ban(EventStatus)[3]</t>
        </is>
      </c>
      <c r="I1156" s="16" t="inlineStr">
        <is>
          <t>Đạt</t>
        </is>
      </c>
      <c r="J1156" s="16" t="n">
        <v>0.008999999999999999</v>
      </c>
    </row>
    <row r="1157">
      <c r="A1157" s="16" t="n">
        <v>1153</v>
      </c>
      <c r="B1157" s="16" t="inlineStr">
        <is>
          <t>Backend</t>
        </is>
      </c>
      <c r="C1157" s="17" t="inlineStr">
        <is>
          <t>catalog-service</t>
        </is>
      </c>
      <c r="D1157" s="16" t="inlineStr">
        <is>
          <t>Unit</t>
        </is>
      </c>
      <c r="E1157" s="17" t="inlineStr">
        <is>
          <t>EventLifecycleHandlersTest › RutHuyXoa</t>
        </is>
      </c>
      <c r="F1157" s="17" t="inlineStr">
        <is>
          <t>Rút xuống, huỷ, xoá</t>
        </is>
      </c>
      <c r="G1157" s="17" t="inlineStr">
        <is>
          <t>rút xuống sự kiện đang bán: UNPUBLISHED và được lưu</t>
        </is>
      </c>
      <c r="H1157" s="17" t="inlineStr">
        <is>
          <t>rut_xuong</t>
        </is>
      </c>
      <c r="I1157" s="16" t="inlineStr">
        <is>
          <t>Đạt</t>
        </is>
      </c>
      <c r="J1157" s="16" t="n">
        <v>0.008</v>
      </c>
    </row>
    <row r="1158">
      <c r="A1158" s="16" t="n">
        <v>1154</v>
      </c>
      <c r="B1158" s="16" t="inlineStr">
        <is>
          <t>Backend</t>
        </is>
      </c>
      <c r="C1158" s="17" t="inlineStr">
        <is>
          <t>catalog-service</t>
        </is>
      </c>
      <c r="D1158" s="16" t="inlineStr">
        <is>
          <t>Unit</t>
        </is>
      </c>
      <c r="E1158" s="17" t="inlineStr">
        <is>
          <t>EventLifecycleHandlersTest › RutHuyXoa</t>
        </is>
      </c>
      <c r="F1158" s="17" t="inlineStr">
        <is>
          <t>Rút xuống, huỷ, xoá</t>
        </is>
      </c>
      <c r="G1158" s="17" t="inlineStr">
        <is>
          <t>xoá bản nháp: xoá hẳn</t>
        </is>
      </c>
      <c r="H1158" s="17" t="inlineStr">
        <is>
          <t>xoa_ban_nhap</t>
        </is>
      </c>
      <c r="I1158" s="16" t="inlineStr">
        <is>
          <t>Đạt</t>
        </is>
      </c>
      <c r="J1158" s="16" t="n">
        <v>0.008999999999999999</v>
      </c>
    </row>
    <row r="1159">
      <c r="A1159" s="16" t="n">
        <v>1155</v>
      </c>
      <c r="B1159" s="16" t="inlineStr">
        <is>
          <t>Backend</t>
        </is>
      </c>
      <c r="C1159" s="17" t="inlineStr">
        <is>
          <t>catalog-service</t>
        </is>
      </c>
      <c r="D1159" s="16" t="inlineStr">
        <is>
          <t>Unit</t>
        </is>
      </c>
      <c r="E1159" s="17" t="inlineStr">
        <is>
          <t>EventLifecycleHandlersTest › SlugCuaSuKien</t>
        </is>
      </c>
      <c r="F1159" s="17" t="inlineStr">
        <is>
          <t>Slug</t>
        </is>
      </c>
      <c r="G1159" s="17" t="inlineStr">
        <is>
          <t>hết 20 lần thử: 409 thay vì lặp mãi</t>
        </is>
      </c>
      <c r="H1159" s="17" t="inlineStr">
        <is>
          <t>het_lan_thu</t>
        </is>
      </c>
      <c r="I1159" s="16" t="inlineStr">
        <is>
          <t>Đạt</t>
        </is>
      </c>
      <c r="J1159" s="16" t="n">
        <v>3.409</v>
      </c>
    </row>
    <row r="1160">
      <c r="A1160" s="16" t="n">
        <v>1156</v>
      </c>
      <c r="B1160" s="16" t="inlineStr">
        <is>
          <t>Backend</t>
        </is>
      </c>
      <c r="C1160" s="17" t="inlineStr">
        <is>
          <t>catalog-service</t>
        </is>
      </c>
      <c r="D1160" s="16" t="inlineStr">
        <is>
          <t>Unit</t>
        </is>
      </c>
      <c r="E1160" s="17" t="inlineStr">
        <is>
          <t>EventLifecycleHandlersTest › SlugCuaSuKien</t>
        </is>
      </c>
      <c r="F1160" s="17" t="inlineStr">
        <is>
          <t>Slug</t>
        </is>
      </c>
      <c r="G1160" s="17" t="inlineStr">
        <is>
          <t>tiêu đề không sinh được slug (toàn ký hiệu): lỗi 4xx có mã, không phải 500</t>
        </is>
      </c>
      <c r="H1160" s="17" t="inlineStr">
        <is>
          <t>tieu_de_khong_sinh_duoc_slug</t>
        </is>
      </c>
      <c r="I1160" s="16" t="inlineStr">
        <is>
          <t>Đạt</t>
        </is>
      </c>
      <c r="J1160" s="16" t="n">
        <v>0.026</v>
      </c>
    </row>
    <row r="1161">
      <c r="A1161" s="16" t="n">
        <v>1157</v>
      </c>
      <c r="B1161" s="16" t="inlineStr">
        <is>
          <t>Backend</t>
        </is>
      </c>
      <c r="C1161" s="17" t="inlineStr">
        <is>
          <t>catalog-service</t>
        </is>
      </c>
      <c r="D1161" s="16" t="inlineStr">
        <is>
          <t>Unit</t>
        </is>
      </c>
      <c r="E1161" s="17" t="inlineStr">
        <is>
          <t>EventLifecycleHandlersTest › SlugCuaSuKien</t>
        </is>
      </c>
      <c r="F1161" s="17" t="inlineStr">
        <is>
          <t>Slug</t>
        </is>
      </c>
      <c r="G1161" s="17" t="inlineStr">
        <is>
          <t>slug tự gõ sai định dạng: lỗi 4xx có mã, không phải 500</t>
        </is>
      </c>
      <c r="H1161" s="17" t="inlineStr">
        <is>
          <t>slug_tu_go_sai_dinh_dang</t>
        </is>
      </c>
      <c r="I1161" s="16" t="inlineStr">
        <is>
          <t>Đạt</t>
        </is>
      </c>
      <c r="J1161" s="16" t="n">
        <v>0.008999999999999999</v>
      </c>
    </row>
    <row r="1162">
      <c r="A1162" s="16" t="n">
        <v>1158</v>
      </c>
      <c r="B1162" s="16" t="inlineStr">
        <is>
          <t>Backend</t>
        </is>
      </c>
      <c r="C1162" s="17" t="inlineStr">
        <is>
          <t>catalog-service</t>
        </is>
      </c>
      <c r="D1162" s="16" t="inlineStr">
        <is>
          <t>Unit</t>
        </is>
      </c>
      <c r="E1162" s="17" t="inlineStr">
        <is>
          <t>EventLifecycleHandlersTest › SlugCuaSuKien</t>
        </is>
      </c>
      <c r="F1162" s="17" t="inlineStr">
        <is>
          <t>Slug</t>
        </is>
      </c>
      <c r="G1162" s="17" t="inlineStr">
        <is>
          <t>slug sinh từ tiêu đề bị trùng thì thêm hậu tố -2, -3…</t>
        </is>
      </c>
      <c r="H1162" s="17" t="inlineStr">
        <is>
          <t>slug_sinh_ra_bi_trung</t>
        </is>
      </c>
      <c r="I1162" s="16" t="inlineStr">
        <is>
          <t>Đạt</t>
        </is>
      </c>
      <c r="J1162" s="16" t="n">
        <v>0.032</v>
      </c>
    </row>
    <row r="1163">
      <c r="A1163" s="16" t="n">
        <v>1159</v>
      </c>
      <c r="B1163" s="16" t="inlineStr">
        <is>
          <t>Backend</t>
        </is>
      </c>
      <c r="C1163" s="17" t="inlineStr">
        <is>
          <t>catalog-service</t>
        </is>
      </c>
      <c r="D1163" s="16" t="inlineStr">
        <is>
          <t>Unit</t>
        </is>
      </c>
      <c r="E1163" s="17" t="inlineStr">
        <is>
          <t>EventLifecycleHandlersTest › SlugCuaSuKien</t>
        </is>
      </c>
      <c r="F1163" s="17" t="inlineStr">
        <is>
          <t>Slug</t>
        </is>
      </c>
      <c r="G1163" s="17" t="inlineStr">
        <is>
          <t>slug tự gõ đã có người dùng: 409, không lặng lẽ thêm hậu tố</t>
        </is>
      </c>
      <c r="H1163" s="17" t="inlineStr">
        <is>
          <t>slug_tu_go_bi_trung</t>
        </is>
      </c>
      <c r="I1163" s="16" t="inlineStr">
        <is>
          <t>Đạt</t>
        </is>
      </c>
      <c r="J1163" s="16" t="n">
        <v>0.008999999999999999</v>
      </c>
    </row>
    <row r="1164">
      <c r="A1164" s="16" t="n">
        <v>1160</v>
      </c>
      <c r="B1164" s="16" t="inlineStr">
        <is>
          <t>Backend</t>
        </is>
      </c>
      <c r="C1164" s="17" t="inlineStr">
        <is>
          <t>catalog-service</t>
        </is>
      </c>
      <c r="D1164" s="16" t="inlineStr">
        <is>
          <t>Unit</t>
        </is>
      </c>
      <c r="E1164" s="17" t="inlineStr">
        <is>
          <t>EventLifecycleHandlersTest › SuaMoTa</t>
        </is>
      </c>
      <c r="F1164" s="17" t="inlineStr">
        <is>
          <t>Sửa mô tả</t>
        </is>
      </c>
      <c r="G1164" s="17" t="inlineStr">
        <is>
          <t>sửa được cả khi đang bán; chuỗi rỗng ở ảnh bìa nghĩa là xoá ảnh</t>
        </is>
      </c>
      <c r="H1164" s="17" t="inlineStr">
        <is>
          <t>sua_khi_dang_ban</t>
        </is>
      </c>
      <c r="I1164" s="16" t="inlineStr">
        <is>
          <t>Đạt</t>
        </is>
      </c>
      <c r="J1164" s="16" t="n">
        <v>0.005</v>
      </c>
    </row>
    <row r="1165">
      <c r="A1165" s="16" t="n">
        <v>1161</v>
      </c>
      <c r="B1165" s="16" t="inlineStr">
        <is>
          <t>Backend</t>
        </is>
      </c>
      <c r="C1165" s="17" t="inlineStr">
        <is>
          <t>catalog-service</t>
        </is>
      </c>
      <c r="D1165" s="16" t="inlineStr">
        <is>
          <t>Unit</t>
        </is>
      </c>
      <c r="E1165" s="17" t="inlineStr">
        <is>
          <t>EventLifecycleHandlersTest › SuaMoTa</t>
        </is>
      </c>
      <c r="F1165" s="17" t="inlineStr">
        <is>
          <t>Sửa mô tả</t>
        </is>
      </c>
      <c r="G1165" s="17" t="inlineStr">
        <is>
          <t>sự kiện không thuộc tổ chức: 404</t>
        </is>
      </c>
      <c r="H1165" s="17" t="inlineStr">
        <is>
          <t>khong_thuoc_to_chuc</t>
        </is>
      </c>
      <c r="I1165" s="16" t="inlineStr">
        <is>
          <t>Đạt</t>
        </is>
      </c>
      <c r="J1165" s="16" t="n">
        <v>0.005</v>
      </c>
    </row>
    <row r="1166">
      <c r="A1166" s="16" t="n">
        <v>1162</v>
      </c>
      <c r="B1166" s="16" t="inlineStr">
        <is>
          <t>Backend</t>
        </is>
      </c>
      <c r="C1166" s="17" t="inlineStr">
        <is>
          <t>catalog-service</t>
        </is>
      </c>
      <c r="D1166" s="16" t="inlineStr">
        <is>
          <t>Unit</t>
        </is>
      </c>
      <c r="E1166" s="17" t="inlineStr">
        <is>
          <t>EventLifecycleHandlersTest › TaoSuKien</t>
        </is>
      </c>
      <c r="F1166" s="17" t="inlineStr">
        <is>
          <t>Tạo sự kiện</t>
        </is>
      </c>
      <c r="G1166" s="17" t="inlineStr">
        <is>
          <t>địa điểm của tổ chức khác (hoặc không tồn tại): 404, không ghi gì</t>
        </is>
      </c>
      <c r="H1166" s="17" t="inlineStr">
        <is>
          <t>dia_diem_cua_to_chuc_khac</t>
        </is>
      </c>
      <c r="I1166" s="16" t="inlineStr">
        <is>
          <t>Đạt</t>
        </is>
      </c>
      <c r="J1166" s="16" t="n">
        <v>0.006</v>
      </c>
    </row>
    <row r="1167">
      <c r="A1167" s="16" t="n">
        <v>1163</v>
      </c>
      <c r="B1167" s="16" t="inlineStr">
        <is>
          <t>Backend</t>
        </is>
      </c>
      <c r="C1167" s="17" t="inlineStr">
        <is>
          <t>catalog-service</t>
        </is>
      </c>
      <c r="D1167" s="16" t="inlineStr">
        <is>
          <t>Unit</t>
        </is>
      </c>
      <c r="E1167" s="17" t="inlineStr">
        <is>
          <t>EventLifecycleHandlersTest › TaoSuKien</t>
        </is>
      </c>
      <c r="F1167" s="17" t="inlineStr">
        <is>
          <t>Tạo sự kiện</t>
        </is>
      </c>
      <c r="G1167" s="17" t="inlineStr">
        <is>
          <t>ảnh bìa bị chính sách từ chối thì không có sự kiện nào được lưu</t>
        </is>
      </c>
      <c r="H1167" s="17" t="inlineStr">
        <is>
          <t>anh_bia_bi_tu_choi</t>
        </is>
      </c>
      <c r="I1167" s="16" t="inlineStr">
        <is>
          <t>Đạt</t>
        </is>
      </c>
      <c r="J1167" s="16" t="n">
        <v>0.005</v>
      </c>
    </row>
    <row r="1168">
      <c r="A1168" s="16" t="n">
        <v>1164</v>
      </c>
      <c r="B1168" s="16" t="inlineStr">
        <is>
          <t>Backend</t>
        </is>
      </c>
      <c r="C1168" s="17" t="inlineStr">
        <is>
          <t>catalog-service</t>
        </is>
      </c>
      <c r="D1168" s="16" t="inlineStr">
        <is>
          <t>Unit</t>
        </is>
      </c>
      <c r="E1168" s="17" t="inlineStr">
        <is>
          <t>EventLifecycleHandlersTest › TaoSuKien</t>
        </is>
      </c>
      <c r="F1168" s="17" t="inlineStr">
        <is>
          <t>Tạo sự kiện</t>
        </is>
      </c>
      <c r="G1168" s="17" t="inlineStr">
        <is>
          <t>không đủ quyền: dừng trước khi đọc địa điểm</t>
        </is>
      </c>
      <c r="H1168" s="17" t="inlineStr">
        <is>
          <t>khong_du_quyen</t>
        </is>
      </c>
      <c r="I1168" s="16" t="inlineStr">
        <is>
          <t>Đạt</t>
        </is>
      </c>
      <c r="J1168" s="16" t="n">
        <v>0.007</v>
      </c>
    </row>
    <row r="1169">
      <c r="A1169" s="16" t="n">
        <v>1165</v>
      </c>
      <c r="B1169" s="16" t="inlineStr">
        <is>
          <t>Backend</t>
        </is>
      </c>
      <c r="C1169" s="17" t="inlineStr">
        <is>
          <t>catalog-service</t>
        </is>
      </c>
      <c r="D1169" s="16" t="inlineStr">
        <is>
          <t>Unit</t>
        </is>
      </c>
      <c r="E1169" s="17" t="inlineStr">
        <is>
          <t>EventLifecycleHandlersTest › TaoSuKien</t>
        </is>
      </c>
      <c r="F1169" s="17" t="inlineStr">
        <is>
          <t>Tạo sự kiện</t>
        </is>
      </c>
      <c r="G1169" s="17" t="inlineStr">
        <is>
          <t>tạo bản nháp với slug sinh từ tiêu đề, ảnh bìa đã qua chính sách ảnh</t>
        </is>
      </c>
      <c r="H1169" s="17" t="inlineStr">
        <is>
          <t>tao_ban_nhap</t>
        </is>
      </c>
      <c r="I1169" s="16" t="inlineStr">
        <is>
          <t>Đạt</t>
        </is>
      </c>
      <c r="J1169" s="16" t="n">
        <v>0.01</v>
      </c>
    </row>
    <row r="1170">
      <c r="A1170" s="16" t="n">
        <v>1166</v>
      </c>
      <c r="B1170" s="16" t="inlineStr">
        <is>
          <t>Backend</t>
        </is>
      </c>
      <c r="C1170" s="17" t="inlineStr">
        <is>
          <t>catalog-service</t>
        </is>
      </c>
      <c r="D1170" s="16" t="inlineStr">
        <is>
          <t>Unit</t>
        </is>
      </c>
      <c r="E1170" s="17" t="inlineStr">
        <is>
          <t>SeatingAndTemplateHandlersTest › ThayKhuCuaKhung</t>
        </is>
      </c>
      <c r="F1170" s="17" t="inlineStr">
        <is>
          <t>Khung concert — thay tập khu</t>
        </is>
      </c>
      <c r="G1170" s="17" t="inlineStr">
        <is>
          <t>khu đứng thiếu sức chứa: lỗi 4xx có mã, không phải 500</t>
        </is>
      </c>
      <c r="H1170" s="17" t="inlineStr">
        <is>
          <t>khu_dung_thieu_suc_chua</t>
        </is>
      </c>
      <c r="I1170" s="16" t="inlineStr">
        <is>
          <t>Đạt</t>
        </is>
      </c>
      <c r="J1170" s="16" t="n">
        <v>0.014</v>
      </c>
    </row>
    <row r="1171">
      <c r="A1171" s="16" t="n">
        <v>1167</v>
      </c>
      <c r="B1171" s="16" t="inlineStr">
        <is>
          <t>Backend</t>
        </is>
      </c>
      <c r="C1171" s="17" t="inlineStr">
        <is>
          <t>catalog-service</t>
        </is>
      </c>
      <c r="D1171" s="16" t="inlineStr">
        <is>
          <t>Unit</t>
        </is>
      </c>
      <c r="E1171" s="17" t="inlineStr">
        <is>
          <t>SeatingAndTemplateHandlersTest › ThayKhuCuaKhung</t>
        </is>
      </c>
      <c r="F1171" s="17" t="inlineStr">
        <is>
          <t>Khung concert — thay tập khu</t>
        </is>
      </c>
      <c r="G1171" s="17" t="inlineStr">
        <is>
          <t>loại khu lạ: lỗi có mã</t>
        </is>
      </c>
      <c r="H1171" s="17" t="inlineStr">
        <is>
          <t>loai_khu_la</t>
        </is>
      </c>
      <c r="I1171" s="16" t="inlineStr">
        <is>
          <t>Đạt</t>
        </is>
      </c>
      <c r="J1171" s="16" t="n">
        <v>0.003</v>
      </c>
    </row>
    <row r="1172">
      <c r="A1172" s="16" t="n">
        <v>1168</v>
      </c>
      <c r="B1172" s="16" t="inlineStr">
        <is>
          <t>Backend</t>
        </is>
      </c>
      <c r="C1172" s="17" t="inlineStr">
        <is>
          <t>catalog-service</t>
        </is>
      </c>
      <c r="D1172" s="16" t="inlineStr">
        <is>
          <t>Unit</t>
        </is>
      </c>
      <c r="E1172" s="17" t="inlineStr">
        <is>
          <t>SeatingAndTemplateHandlersTest › ThayKhuCuaKhung</t>
        </is>
      </c>
      <c r="F1172" s="17" t="inlineStr">
        <is>
          <t>Khung concert — thay tập khu</t>
        </is>
      </c>
      <c r="G1172" s="17" t="inlineStr">
        <is>
          <t>mã khu trùng trong khung: lỗi 4xx có mã, không phải 500</t>
        </is>
      </c>
      <c r="H1172" s="17" t="inlineStr">
        <is>
          <t>ma_trung</t>
        </is>
      </c>
      <c r="I1172" s="16" t="inlineStr">
        <is>
          <t>Đạt</t>
        </is>
      </c>
      <c r="J1172" s="16" t="n">
        <v>0.005</v>
      </c>
    </row>
    <row r="1173">
      <c r="A1173" s="16" t="n">
        <v>1169</v>
      </c>
      <c r="B1173" s="16" t="inlineStr">
        <is>
          <t>Backend</t>
        </is>
      </c>
      <c r="C1173" s="17" t="inlineStr">
        <is>
          <t>catalog-service</t>
        </is>
      </c>
      <c r="D1173" s="16" t="inlineStr">
        <is>
          <t>Unit</t>
        </is>
      </c>
      <c r="E1173" s="17" t="inlineStr">
        <is>
          <t>SeatingAndTemplateHandlersTest › ThayKhuCuaKhung</t>
        </is>
      </c>
      <c r="F1173" s="17" t="inlineStr">
        <is>
          <t>Khung concert — thay tập khu</t>
        </is>
      </c>
      <c r="G1173" s="17" t="inlineStr">
        <is>
          <t>thay tập khu hợp lệ: trả về chi tiết với sức chứa mới</t>
        </is>
      </c>
      <c r="H1173" s="17" t="inlineStr">
        <is>
          <t>thay_hop_le</t>
        </is>
      </c>
      <c r="I1173" s="16" t="inlineStr">
        <is>
          <t>Đạt</t>
        </is>
      </c>
      <c r="J1173" s="16" t="n">
        <v>0.065</v>
      </c>
    </row>
    <row r="1174">
      <c r="A1174" s="16" t="n">
        <v>1170</v>
      </c>
      <c r="B1174" s="16" t="inlineStr">
        <is>
          <t>Backend</t>
        </is>
      </c>
      <c r="C1174" s="17" t="inlineStr">
        <is>
          <t>catalog-service</t>
        </is>
      </c>
      <c r="D1174" s="16" t="inlineStr">
        <is>
          <t>Unit</t>
        </is>
      </c>
      <c r="E1174" s="17" t="inlineStr">
        <is>
          <t>SeatingAndTemplateHandlersTest › ThaySoDo</t>
        </is>
      </c>
      <c r="F1174" s="17" t="inlineStr">
        <is>
          <t>Thay cả sơ đồ khu của địa điểm</t>
        </is>
      </c>
      <c r="G1174" s="17" t="inlineStr">
        <is>
          <t>sân khấu bề ngang 0: 422 ZONE_LAYOUT_INVALID</t>
        </is>
      </c>
      <c r="H1174" s="17" t="inlineStr">
        <is>
          <t>san_khau_hong</t>
        </is>
      </c>
      <c r="I1174" s="16" t="inlineStr">
        <is>
          <t>Đạt</t>
        </is>
      </c>
      <c r="J1174" s="16" t="n">
        <v>0.037</v>
      </c>
    </row>
    <row r="1175">
      <c r="A1175" s="16" t="n">
        <v>1171</v>
      </c>
      <c r="B1175" s="16" t="inlineStr">
        <is>
          <t>Backend</t>
        </is>
      </c>
      <c r="C1175" s="17" t="inlineStr">
        <is>
          <t>catalog-service</t>
        </is>
      </c>
      <c r="D1175" s="16" t="inlineStr">
        <is>
          <t>Unit</t>
        </is>
      </c>
      <c r="E1175" s="17" t="inlineStr">
        <is>
          <t>SeatingAndTemplateHandlersTest › ThaySoDo</t>
        </is>
      </c>
      <c r="F1175" s="17" t="inlineStr">
        <is>
          <t>Thay cả sơ đồ khu của địa điểm</t>
        </is>
      </c>
      <c r="G1175" s="17" t="inlineStr">
        <is>
          <t>địa điểm đã có sự kiện từng lên bán: 409 VENUE_IN_USE</t>
        </is>
      </c>
      <c r="H1175" s="17" t="inlineStr">
        <is>
          <t>dang_dung</t>
        </is>
      </c>
      <c r="I1175" s="16" t="inlineStr">
        <is>
          <t>Đạt</t>
        </is>
      </c>
      <c r="J1175" s="16" t="n">
        <v>0.004</v>
      </c>
    </row>
    <row r="1176">
      <c r="A1176" s="16" t="n">
        <v>1172</v>
      </c>
      <c r="B1176" s="16" t="inlineStr">
        <is>
          <t>Backend</t>
        </is>
      </c>
      <c r="C1176" s="17" t="inlineStr">
        <is>
          <t>catalog-service</t>
        </is>
      </c>
      <c r="D1176" s="16" t="inlineStr">
        <is>
          <t>Unit</t>
        </is>
      </c>
      <c r="E1176" s="17" t="inlineStr">
        <is>
          <t>SeatingAndTemplateHandlersTest › ThaySoDo</t>
        </is>
      </c>
      <c r="F1176" s="17" t="inlineStr">
        <is>
          <t>Thay cả sơ đồ khu của địa điểm</t>
        </is>
      </c>
      <c r="G1176" s="17" t="inlineStr">
        <is>
          <t>địa điểm dựng từ khung: 409 VENUE_LAYOUT_LOCKED</t>
        </is>
      </c>
      <c r="H1176" s="17" t="inlineStr">
        <is>
          <t>tu_khung</t>
        </is>
      </c>
      <c r="I1176" s="16" t="inlineStr">
        <is>
          <t>Đạt</t>
        </is>
      </c>
      <c r="J1176" s="16" t="n">
        <v>0.008</v>
      </c>
    </row>
    <row r="1177">
      <c r="A1177" s="16" t="n">
        <v>1173</v>
      </c>
      <c r="B1177" s="16" t="inlineStr">
        <is>
          <t>Backend</t>
        </is>
      </c>
      <c r="C1177" s="17" t="inlineStr">
        <is>
          <t>catalog-service</t>
        </is>
      </c>
      <c r="D1177" s="16" t="inlineStr">
        <is>
          <t>Unit</t>
        </is>
      </c>
      <c r="E1177" s="17" t="inlineStr">
        <is>
          <t>SeatingAndTemplateHandlersTest › ThaySoDo</t>
        </is>
      </c>
      <c r="F1177" s="17" t="inlineStr">
        <is>
          <t>Thay cả sơ đồ khu của địa điểm</t>
        </is>
      </c>
      <c r="G1177" s="17" t="inlineStr">
        <is>
          <t>mã khu trùng nhau: 409, không ghi gì</t>
        </is>
      </c>
      <c r="H1177" s="17" t="inlineStr">
        <is>
          <t>ma_trung</t>
        </is>
      </c>
      <c r="I1177" s="16" t="inlineStr">
        <is>
          <t>Đạt</t>
        </is>
      </c>
      <c r="J1177" s="16" t="n">
        <v>0.006</v>
      </c>
    </row>
    <row r="1178">
      <c r="A1178" s="16" t="n">
        <v>1174</v>
      </c>
      <c r="B1178" s="16" t="inlineStr">
        <is>
          <t>Backend</t>
        </is>
      </c>
      <c r="C1178" s="17" t="inlineStr">
        <is>
          <t>catalog-service</t>
        </is>
      </c>
      <c r="D1178" s="16" t="inlineStr">
        <is>
          <t>Unit</t>
        </is>
      </c>
      <c r="E1178" s="17" t="inlineStr">
        <is>
          <t>SeatingAndTemplateHandlersTest › ThaySoDo</t>
        </is>
      </c>
      <c r="F1178" s="17" t="inlineStr">
        <is>
          <t>Thay cả sơ đồ khu của địa điểm</t>
        </is>
      </c>
      <c r="G1178" s="17" t="inlineStr">
        <is>
          <t>sơ đồ rỗng bị từ chối có mã</t>
        </is>
      </c>
      <c r="H1178" s="17" t="inlineStr">
        <is>
          <t>so_do_rong</t>
        </is>
      </c>
      <c r="I1178" s="16" t="inlineStr">
        <is>
          <t>Đạt</t>
        </is>
      </c>
      <c r="J1178" s="16" t="n">
        <v>0.004</v>
      </c>
    </row>
    <row r="1179">
      <c r="A1179" s="16" t="n">
        <v>1175</v>
      </c>
      <c r="B1179" s="16" t="inlineStr">
        <is>
          <t>Backend</t>
        </is>
      </c>
      <c r="C1179" s="17" t="inlineStr">
        <is>
          <t>catalog-service</t>
        </is>
      </c>
      <c r="D1179" s="16" t="inlineStr">
        <is>
          <t>Unit</t>
        </is>
      </c>
      <c r="E1179" s="17" t="inlineStr">
        <is>
          <t>SeatingAndTemplateHandlersTest › ThaySoDo</t>
        </is>
      </c>
      <c r="F1179" s="17" t="inlineStr">
        <is>
          <t>Thay cả sơ đồ khu của địa điểm</t>
        </is>
      </c>
      <c r="G1179" s="17" t="inlineStr">
        <is>
          <t>cung quét ngược: 422 ZONE_LAYOUT_INVALID</t>
        </is>
      </c>
      <c r="H1179" s="17" t="inlineStr">
        <is>
          <t>cung_quet_nguoc</t>
        </is>
      </c>
      <c r="I1179" s="16" t="inlineStr">
        <is>
          <t>Đạt</t>
        </is>
      </c>
      <c r="J1179" s="16" t="n">
        <v>0.011</v>
      </c>
    </row>
    <row r="1180">
      <c r="A1180" s="16" t="n">
        <v>1176</v>
      </c>
      <c r="B1180" s="16" t="inlineStr">
        <is>
          <t>Backend</t>
        </is>
      </c>
      <c r="C1180" s="17" t="inlineStr">
        <is>
          <t>catalog-service</t>
        </is>
      </c>
      <c r="D1180" s="16" t="inlineStr">
        <is>
          <t>Unit</t>
        </is>
      </c>
      <c r="E1180" s="17" t="inlineStr">
        <is>
          <t>SeatingAndTemplateHandlersTest › ThaySoDo</t>
        </is>
      </c>
      <c r="F1180" s="17" t="inlineStr">
        <is>
          <t>Thay cả sơ đồ khu của địa điểm</t>
        </is>
      </c>
      <c r="G1180" s="17" t="inlineStr">
        <is>
          <t>sơ đồ hợp lệ: thay cả tập, sortOrder mặc định theo thứ tự trong request</t>
        </is>
      </c>
      <c r="H1180" s="17" t="inlineStr">
        <is>
          <t>thay_ca_tap</t>
        </is>
      </c>
      <c r="I1180" s="16" t="inlineStr">
        <is>
          <t>Đạt</t>
        </is>
      </c>
      <c r="J1180" s="16" t="n">
        <v>0.015</v>
      </c>
    </row>
    <row r="1181">
      <c r="A1181" s="16" t="n">
        <v>1177</v>
      </c>
      <c r="B1181" s="16" t="inlineStr">
        <is>
          <t>Backend</t>
        </is>
      </c>
      <c r="C1181" s="17" t="inlineStr">
        <is>
          <t>catalog-service</t>
        </is>
      </c>
      <c r="D1181" s="16" t="inlineStr">
        <is>
          <t>Unit</t>
        </is>
      </c>
      <c r="E1181" s="17" t="inlineStr">
        <is>
          <t>SeatingAndTemplateHandlersTest › ThaySoDo</t>
        </is>
      </c>
      <c r="F1181" s="17" t="inlineStr">
        <is>
          <t>Thay cả sơ đồ khu của địa điểm</t>
        </is>
      </c>
      <c r="G1181" s="17" t="inlineStr">
        <is>
          <t>không đủ quyền: không đọc địa điểm</t>
        </is>
      </c>
      <c r="H1181" s="17" t="inlineStr">
        <is>
          <t>khong_du_quyen</t>
        </is>
      </c>
      <c r="I1181" s="16" t="inlineStr">
        <is>
          <t>Đạt</t>
        </is>
      </c>
      <c r="J1181" s="16" t="n">
        <v>0.004</v>
      </c>
    </row>
    <row r="1182">
      <c r="A1182" s="16" t="n">
        <v>1178</v>
      </c>
      <c r="B1182" s="16" t="inlineStr">
        <is>
          <t>Backend</t>
        </is>
      </c>
      <c r="C1182" s="17" t="inlineStr">
        <is>
          <t>catalog-service</t>
        </is>
      </c>
      <c r="D1182" s="16" t="inlineStr">
        <is>
          <t>Unit</t>
        </is>
      </c>
      <c r="E1182" s="17" t="inlineStr">
        <is>
          <t>SeatingAndTemplateHandlersTest › ThaySoDo</t>
        </is>
      </c>
      <c r="F1182" s="17" t="inlineStr">
        <is>
          <t>Thay cả sơ đồ khu của địa điểm</t>
        </is>
      </c>
      <c r="G1182" s="17" t="inlineStr">
        <is>
          <t>khu ngồi thiếu số ghế mỗi hàng: lỗi 4xx có mã, không phải 500</t>
        </is>
      </c>
      <c r="H1182" s="17" t="inlineStr">
        <is>
          <t>khu_ngoi_thieu_so_ghe</t>
        </is>
      </c>
      <c r="I1182" s="16" t="inlineStr">
        <is>
          <t>Đạt</t>
        </is>
      </c>
      <c r="J1182" s="16" t="n">
        <v>0.006</v>
      </c>
    </row>
    <row r="1183">
      <c r="A1183" s="16" t="n">
        <v>1179</v>
      </c>
      <c r="B1183" s="16" t="inlineStr">
        <is>
          <t>Backend</t>
        </is>
      </c>
      <c r="C1183" s="17" t="inlineStr">
        <is>
          <t>catalog-service</t>
        </is>
      </c>
      <c r="D1183" s="16" t="inlineStr">
        <is>
          <t>Unit</t>
        </is>
      </c>
      <c r="E1183" s="17" t="inlineStr">
        <is>
          <t>SeatingAndTemplateHandlersTest › ThemKhu</t>
        </is>
      </c>
      <c r="F1183" s="17" t="inlineStr">
        <is>
          <t>Thêm một khu</t>
        </is>
      </c>
      <c r="G1183" s="17" t="inlineStr">
        <is>
          <t>địa điểm của tổ chức khác: 404</t>
        </is>
      </c>
      <c r="H1183" s="17" t="inlineStr">
        <is>
          <t>dia_diem_khac</t>
        </is>
      </c>
      <c r="I1183" s="16" t="inlineStr">
        <is>
          <t>Đạt</t>
        </is>
      </c>
      <c r="J1183" s="16" t="n">
        <v>0.004</v>
      </c>
    </row>
    <row r="1184">
      <c r="A1184" s="16" t="n">
        <v>1180</v>
      </c>
      <c r="B1184" s="16" t="inlineStr">
        <is>
          <t>Backend</t>
        </is>
      </c>
      <c r="C1184" s="17" t="inlineStr">
        <is>
          <t>catalog-service</t>
        </is>
      </c>
      <c r="D1184" s="16" t="inlineStr">
        <is>
          <t>Unit</t>
        </is>
      </c>
      <c r="E1184" s="17" t="inlineStr">
        <is>
          <t>SeatingAndTemplateHandlersTest › ThemKhu</t>
        </is>
      </c>
      <c r="F1184" s="17" t="inlineStr">
        <is>
          <t>Thêm một khu</t>
        </is>
      </c>
      <c r="G1184" s="17" t="inlineStr">
        <is>
          <t>khu đứng: trả về số chỗ = sức chứa, chưa có bố cục</t>
        </is>
      </c>
      <c r="H1184" s="17" t="inlineStr">
        <is>
          <t>khu_dung</t>
        </is>
      </c>
      <c r="I1184" s="16" t="inlineStr">
        <is>
          <t>Đạt</t>
        </is>
      </c>
      <c r="J1184" s="16" t="n">
        <v>0.015</v>
      </c>
    </row>
    <row r="1185">
      <c r="A1185" s="16" t="n">
        <v>1181</v>
      </c>
      <c r="B1185" s="16" t="inlineStr">
        <is>
          <t>Backend</t>
        </is>
      </c>
      <c r="C1185" s="17" t="inlineStr">
        <is>
          <t>catalog-service</t>
        </is>
      </c>
      <c r="D1185" s="16" t="inlineStr">
        <is>
          <t>Unit</t>
        </is>
      </c>
      <c r="E1185" s="17" t="inlineStr">
        <is>
          <t>SeatingAndTemplateHandlersTest › ThemKhu</t>
        </is>
      </c>
      <c r="F1185" s="17" t="inlineStr">
        <is>
          <t>Thêm một khu</t>
        </is>
      </c>
      <c r="G1185" s="17" t="inlineStr">
        <is>
          <t>loại khu lạ: lỗi có mã, không phải 500</t>
        </is>
      </c>
      <c r="H1185" s="17" t="inlineStr">
        <is>
          <t>loai_khu_la</t>
        </is>
      </c>
      <c r="I1185" s="16" t="inlineStr">
        <is>
          <t>Đạt</t>
        </is>
      </c>
      <c r="J1185" s="16" t="n">
        <v>0.008999999999999999</v>
      </c>
    </row>
    <row r="1186">
      <c r="A1186" s="16" t="n">
        <v>1182</v>
      </c>
      <c r="B1186" s="16" t="inlineStr">
        <is>
          <t>Backend</t>
        </is>
      </c>
      <c r="C1186" s="17" t="inlineStr">
        <is>
          <t>catalog-service</t>
        </is>
      </c>
      <c r="D1186" s="16" t="inlineStr">
        <is>
          <t>Unit</t>
        </is>
      </c>
      <c r="E1186" s="17" t="inlineStr">
        <is>
          <t>SeatingAndTemplateHandlersTest › ThemKhu</t>
        </is>
      </c>
      <c r="F1186" s="17" t="inlineStr">
        <is>
          <t>Thêm một khu</t>
        </is>
      </c>
      <c r="G1186" s="17" t="inlineStr">
        <is>
          <t>khu ngồi thiếu số hàng: lỗi 4xx có mã, không phải IllegalArgumentException → 500</t>
        </is>
      </c>
      <c r="H1186" s="17" t="inlineStr">
        <is>
          <t>khu_ngoi_thieu_so_hang</t>
        </is>
      </c>
      <c r="I1186" s="16" t="inlineStr">
        <is>
          <t>Đạt</t>
        </is>
      </c>
      <c r="J1186" s="16" t="n">
        <v>0.003</v>
      </c>
    </row>
    <row r="1187">
      <c r="A1187" s="16" t="n">
        <v>1183</v>
      </c>
      <c r="B1187" s="16" t="inlineStr">
        <is>
          <t>Backend</t>
        </is>
      </c>
      <c r="C1187" s="17" t="inlineStr">
        <is>
          <t>catalog-service</t>
        </is>
      </c>
      <c r="D1187" s="16" t="inlineStr">
        <is>
          <t>Unit</t>
        </is>
      </c>
      <c r="E1187" s="17" t="inlineStr">
        <is>
          <t>SeatingAndTemplateHandlersTest › TuKhung</t>
        </is>
      </c>
      <c r="F1187" s="17" t="inlineStr">
        <is>
          <t>Dựng sự kiện từ khung</t>
        </is>
      </c>
      <c r="G1187" s="17" t="inlineStr">
        <is>
          <t>giá âm: 422, không dựng gì</t>
        </is>
      </c>
      <c r="H1187" s="17" t="inlineStr">
        <is>
          <t>gia_am</t>
        </is>
      </c>
      <c r="I1187" s="16" t="inlineStr">
        <is>
          <t>Đạt</t>
        </is>
      </c>
      <c r="J1187" s="16" t="n">
        <v>0.132</v>
      </c>
    </row>
    <row r="1188">
      <c r="A1188" s="16" t="n">
        <v>1184</v>
      </c>
      <c r="B1188" s="16" t="inlineStr">
        <is>
          <t>Backend</t>
        </is>
      </c>
      <c r="C1188" s="17" t="inlineStr">
        <is>
          <t>catalog-service</t>
        </is>
      </c>
      <c r="D1188" s="16" t="inlineStr">
        <is>
          <t>Unit</t>
        </is>
      </c>
      <c r="E1188" s="17" t="inlineStr">
        <is>
          <t>SeatingAndTemplateHandlersTest › TuKhung</t>
        </is>
      </c>
      <c r="F1188" s="17" t="inlineStr">
        <is>
          <t>Dựng sự kiện từ khung</t>
        </is>
      </c>
      <c r="G1188" s="17" t="inlineStr">
        <is>
          <t>thiếu giá cho khu không có giá gợi ý: 422 kèm danh sách mã khu</t>
        </is>
      </c>
      <c r="H1188" s="17" t="inlineStr">
        <is>
          <t>thieu_gia</t>
        </is>
      </c>
      <c r="I1188" s="16" t="inlineStr">
        <is>
          <t>Đạt</t>
        </is>
      </c>
      <c r="J1188" s="16" t="n">
        <v>0.011</v>
      </c>
    </row>
    <row r="1189">
      <c r="A1189" s="16" t="n">
        <v>1185</v>
      </c>
      <c r="B1189" s="16" t="inlineStr">
        <is>
          <t>Backend</t>
        </is>
      </c>
      <c r="C1189" s="17" t="inlineStr">
        <is>
          <t>catalog-service</t>
        </is>
      </c>
      <c r="D1189" s="16" t="inlineStr">
        <is>
          <t>Unit</t>
        </is>
      </c>
      <c r="E1189" s="17" t="inlineStr">
        <is>
          <t>SeatingAndTemplateHandlersTest › TuKhung</t>
        </is>
      </c>
      <c r="F1189" s="17" t="inlineStr">
        <is>
          <t>Dựng sự kiện từ khung</t>
        </is>
      </c>
      <c r="G1189" s="17" t="inlineStr">
        <is>
          <t>giá của tổ chức thắng giá gợi ý; khu không khai giá thì lấy giá gợi ý</t>
        </is>
      </c>
      <c r="H1189" s="17" t="inlineStr">
        <is>
          <t>gia_to_chuc_thang</t>
        </is>
      </c>
      <c r="I1189" s="16" t="inlineStr">
        <is>
          <t>Đạt</t>
        </is>
      </c>
      <c r="J1189" s="16" t="n">
        <v>0.01</v>
      </c>
    </row>
    <row r="1190">
      <c r="A1190" s="16" t="n">
        <v>1186</v>
      </c>
      <c r="B1190" s="16" t="inlineStr">
        <is>
          <t>Backend</t>
        </is>
      </c>
      <c r="C1190" s="17" t="inlineStr">
        <is>
          <t>catalog-service</t>
        </is>
      </c>
      <c r="D1190" s="16" t="inlineStr">
        <is>
          <t>Unit</t>
        </is>
      </c>
      <c r="E1190" s="17" t="inlineStr">
        <is>
          <t>SeatingAndTemplateHandlersTest › TuKhung</t>
        </is>
      </c>
      <c r="F1190" s="17" t="inlineStr">
        <is>
          <t>Dựng sự kiện từ khung</t>
        </is>
      </c>
      <c r="G1190" s="17" t="inlineStr">
        <is>
          <t>khung không ACTIVE: 409 TEMPLATE_NOT_USABLE, không dựng địa điểm</t>
        </is>
      </c>
      <c r="H1190" s="17" t="inlineStr">
        <is>
          <t>khung_khong_dung_duoc</t>
        </is>
      </c>
      <c r="I1190" s="16" t="inlineStr">
        <is>
          <t>Đạt</t>
        </is>
      </c>
      <c r="J1190" s="16" t="n">
        <v>0.006</v>
      </c>
    </row>
    <row r="1191">
      <c r="A1191" s="16" t="n">
        <v>1187</v>
      </c>
      <c r="B1191" s="16" t="inlineStr">
        <is>
          <t>Backend</t>
        </is>
      </c>
      <c r="C1191" s="17" t="inlineStr">
        <is>
          <t>catalog-service</t>
        </is>
      </c>
      <c r="D1191" s="16" t="inlineStr">
        <is>
          <t>Unit</t>
        </is>
      </c>
      <c r="E1191" s="17" t="inlineStr">
        <is>
          <t>SeatingAndTemplateHandlersTest › VongDoiKhung</t>
        </is>
      </c>
      <c r="F1191" s="17" t="inlineStr">
        <is>
          <t>Khung concert — vòng đời</t>
        </is>
      </c>
      <c r="G1191" s="17" t="inlineStr">
        <is>
          <t>không phải superadmin: 403 trước mọi thao tác, kể cả xoá</t>
        </is>
      </c>
      <c r="H1191" s="17" t="inlineStr">
        <is>
          <t>khong_phai_superadmin</t>
        </is>
      </c>
      <c r="I1191" s="16" t="inlineStr">
        <is>
          <t>Đạt</t>
        </is>
      </c>
      <c r="J1191" s="16" t="n">
        <v>0.011</v>
      </c>
    </row>
    <row r="1192">
      <c r="A1192" s="16" t="n">
        <v>1188</v>
      </c>
      <c r="B1192" s="16" t="inlineStr">
        <is>
          <t>Backend</t>
        </is>
      </c>
      <c r="C1192" s="17" t="inlineStr">
        <is>
          <t>catalog-service</t>
        </is>
      </c>
      <c r="D1192" s="16" t="inlineStr">
        <is>
          <t>Unit</t>
        </is>
      </c>
      <c r="E1192" s="17" t="inlineStr">
        <is>
          <t>SeatingAndTemplateHandlersTest › VongDoiKhung</t>
        </is>
      </c>
      <c r="F1192" s="17" t="inlineStr">
        <is>
          <t>Khung concert — vòng đời</t>
        </is>
      </c>
      <c r="G1192" s="17" t="inlineStr">
        <is>
          <t>xoá khung đã có địa điểm dùng: 409 TEMPLATE_IN_USE</t>
        </is>
      </c>
      <c r="H1192" s="17" t="inlineStr">
        <is>
          <t>xoa_khung_dang_dung</t>
        </is>
      </c>
      <c r="I1192" s="16" t="inlineStr">
        <is>
          <t>Đạt</t>
        </is>
      </c>
      <c r="J1192" s="16" t="n">
        <v>0.006</v>
      </c>
    </row>
    <row r="1193">
      <c r="A1193" s="16" t="n">
        <v>1189</v>
      </c>
      <c r="B1193" s="16" t="inlineStr">
        <is>
          <t>Backend</t>
        </is>
      </c>
      <c r="C1193" s="17" t="inlineStr">
        <is>
          <t>catalog-service</t>
        </is>
      </c>
      <c r="D1193" s="16" t="inlineStr">
        <is>
          <t>Unit</t>
        </is>
      </c>
      <c r="E1193" s="17" t="inlineStr">
        <is>
          <t>SeatingAndTemplateHandlersTest › VongDoiKhung</t>
        </is>
      </c>
      <c r="F1193" s="17" t="inlineStr">
        <is>
          <t>Khung concert — vòng đời</t>
        </is>
      </c>
      <c r="G1193" s="17" t="inlineStr">
        <is>
          <t>mở, lưu trữ, về nháp: mỗi bước lưu trạng thái mới</t>
        </is>
      </c>
      <c r="H1193" s="17" t="inlineStr">
        <is>
          <t>chuyen_trang_thai</t>
        </is>
      </c>
      <c r="I1193" s="16" t="inlineStr">
        <is>
          <t>Đạt</t>
        </is>
      </c>
      <c r="J1193" s="16" t="n">
        <v>0.006</v>
      </c>
    </row>
    <row r="1194">
      <c r="A1194" s="16" t="n">
        <v>1190</v>
      </c>
      <c r="B1194" s="16" t="inlineStr">
        <is>
          <t>Backend</t>
        </is>
      </c>
      <c r="C1194" s="17" t="inlineStr">
        <is>
          <t>catalog-service</t>
        </is>
      </c>
      <c r="D1194" s="16" t="inlineStr">
        <is>
          <t>Unit</t>
        </is>
      </c>
      <c r="E1194" s="17" t="inlineStr">
        <is>
          <t>SeatingAndTemplateHandlersTest › VongDoiKhung</t>
        </is>
      </c>
      <c r="F1194" s="17" t="inlineStr">
        <is>
          <t>Khung concert — vòng đời</t>
        </is>
      </c>
      <c r="G1194" s="17" t="inlineStr">
        <is>
          <t>mã trùng (khác hoa thường): 409 TEMPLATE_CODE_TAKEN</t>
        </is>
      </c>
      <c r="H1194" s="17" t="inlineStr">
        <is>
          <t>ma_trung</t>
        </is>
      </c>
      <c r="I1194" s="16" t="inlineStr">
        <is>
          <t>Đạt</t>
        </is>
      </c>
      <c r="J1194" s="16" t="n">
        <v>0.008</v>
      </c>
    </row>
    <row r="1195">
      <c r="A1195" s="16" t="n">
        <v>1191</v>
      </c>
      <c r="B1195" s="16" t="inlineStr">
        <is>
          <t>Backend</t>
        </is>
      </c>
      <c r="C1195" s="17" t="inlineStr">
        <is>
          <t>catalog-service</t>
        </is>
      </c>
      <c r="D1195" s="16" t="inlineStr">
        <is>
          <t>Unit</t>
        </is>
      </c>
      <c r="E1195" s="17" t="inlineStr">
        <is>
          <t>SeatingAndTemplateHandlersTest › VongDoiKhung</t>
        </is>
      </c>
      <c r="F1195" s="17" t="inlineStr">
        <is>
          <t>Khung concert — vòng đời</t>
        </is>
      </c>
      <c r="G1195" s="17" t="inlineStr">
        <is>
          <t>tạo: mã được chuẩn hoá in hoa và cắt khoảng trắng trước khi kiểm trùng</t>
        </is>
      </c>
      <c r="H1195" s="17" t="inlineStr">
        <is>
          <t>tao_chuan_hoa_ma</t>
        </is>
      </c>
      <c r="I1195" s="16" t="inlineStr">
        <is>
          <t>Đạt</t>
        </is>
      </c>
      <c r="J1195" s="16" t="n">
        <v>0.004</v>
      </c>
    </row>
    <row r="1196">
      <c r="A1196" s="16" t="n">
        <v>1192</v>
      </c>
      <c r="B1196" s="16" t="inlineStr">
        <is>
          <t>Backend</t>
        </is>
      </c>
      <c r="C1196" s="17" t="inlineStr">
        <is>
          <t>catalog-service</t>
        </is>
      </c>
      <c r="D1196" s="16" t="inlineStr">
        <is>
          <t>Unit</t>
        </is>
      </c>
      <c r="E1196" s="17" t="inlineStr">
        <is>
          <t>SeatingAndTemplateHandlersTest › VongDoiKhung</t>
        </is>
      </c>
      <c r="F1196" s="17" t="inlineStr">
        <is>
          <t>Khung concert — vòng đời</t>
        </is>
      </c>
      <c r="G1196" s="17" t="inlineStr">
        <is>
          <t>xoá khung chưa ai dùng</t>
        </is>
      </c>
      <c r="H1196" s="17" t="inlineStr">
        <is>
          <t>xoa_khung</t>
        </is>
      </c>
      <c r="I1196" s="16" t="inlineStr">
        <is>
          <t>Đạt</t>
        </is>
      </c>
      <c r="J1196" s="16" t="n">
        <v>0.006</v>
      </c>
    </row>
    <row r="1197">
      <c r="A1197" s="16" t="n">
        <v>1193</v>
      </c>
      <c r="B1197" s="16" t="inlineStr">
        <is>
          <t>Backend</t>
        </is>
      </c>
      <c r="C1197" s="17" t="inlineStr">
        <is>
          <t>catalog-service</t>
        </is>
      </c>
      <c r="D1197" s="16" t="inlineStr">
        <is>
          <t>Unit</t>
        </is>
      </c>
      <c r="E1197" s="17" t="inlineStr">
        <is>
          <t>SeatingAndTemplateHandlersTest › VongDoiKhung</t>
        </is>
      </c>
      <c r="F1197" s="17" t="inlineStr">
        <is>
          <t>Khung concert — vòng đời</t>
        </is>
      </c>
      <c r="G1197" s="17" t="inlineStr">
        <is>
          <t>khung không tồn tại: 404</t>
        </is>
      </c>
      <c r="H1197" s="17" t="inlineStr">
        <is>
          <t>khong_ton_tai</t>
        </is>
      </c>
      <c r="I1197" s="16" t="inlineStr">
        <is>
          <t>Đạt</t>
        </is>
      </c>
      <c r="J1197" s="16" t="n">
        <v>0.008999999999999999</v>
      </c>
    </row>
    <row r="1198">
      <c r="A1198" s="16" t="n">
        <v>1194</v>
      </c>
      <c r="B1198" s="16" t="inlineStr">
        <is>
          <t>Backend</t>
        </is>
      </c>
      <c r="C1198" s="17" t="inlineStr">
        <is>
          <t>catalog-service</t>
        </is>
      </c>
      <c r="D1198" s="16" t="inlineStr">
        <is>
          <t>Unit</t>
        </is>
      </c>
      <c r="E1198" s="17" t="inlineStr">
        <is>
          <t>SeatingAndTemplateHandlersTest › VongDoiKhung</t>
        </is>
      </c>
      <c r="F1198" s="17" t="inlineStr">
        <is>
          <t>Khung concert — vòng đời</t>
        </is>
      </c>
      <c r="G1198" s="17" t="inlineStr">
        <is>
          <t>mở khung rỗng: 409 TEMPLATE_WITHOUT_ZONE, không phải 500 từ IllegalStateException</t>
        </is>
      </c>
      <c r="H1198" s="17" t="inlineStr">
        <is>
          <t>mo_khung_rong</t>
        </is>
      </c>
      <c r="I1198" s="16" t="inlineStr">
        <is>
          <t>Đạt</t>
        </is>
      </c>
      <c r="J1198" s="16" t="n">
        <v>0.004</v>
      </c>
    </row>
    <row r="1199">
      <c r="A1199" s="16" t="n">
        <v>1195</v>
      </c>
      <c r="B1199" s="16" t="inlineStr">
        <is>
          <t>Backend</t>
        </is>
      </c>
      <c r="C1199" s="17" t="inlineStr">
        <is>
          <t>catalog-service</t>
        </is>
      </c>
      <c r="D1199" s="16" t="inlineStr">
        <is>
          <t>Unit</t>
        </is>
      </c>
      <c r="E1199" s="17" t="inlineStr">
        <is>
          <t>SessionAndTicketTypeHandlersTest › SuaHangVe</t>
        </is>
      </c>
      <c r="F1199" s="17" t="inlineStr">
        <is>
          <t>Sửa và xoá hạng vé</t>
        </is>
      </c>
      <c r="G1199" s="17" t="inlineStr">
        <is>
          <t>sửa giá thành 5.000.000</t>
        </is>
      </c>
      <c r="H1199" s="17" t="inlineStr">
        <is>
          <t>sua_gia</t>
        </is>
      </c>
      <c r="I1199" s="16" t="inlineStr">
        <is>
          <t>Đạt</t>
        </is>
      </c>
      <c r="J1199" s="16" t="n">
        <v>0.012</v>
      </c>
    </row>
    <row r="1200">
      <c r="A1200" s="16" t="n">
        <v>1196</v>
      </c>
      <c r="B1200" s="16" t="inlineStr">
        <is>
          <t>Backend</t>
        </is>
      </c>
      <c r="C1200" s="17" t="inlineStr">
        <is>
          <t>catalog-service</t>
        </is>
      </c>
      <c r="D1200" s="16" t="inlineStr">
        <is>
          <t>Unit</t>
        </is>
      </c>
      <c r="E1200" s="17" t="inlineStr">
        <is>
          <t>SessionAndTicketTypeHandlersTest › SuaHangVe</t>
        </is>
      </c>
      <c r="F1200" s="17" t="inlineStr">
        <is>
          <t>Sửa và xoá hạng vé</t>
        </is>
      </c>
      <c r="G1200" s="17" t="inlineStr">
        <is>
          <t>giá âm (giá trị canh của controller) và tên trống nghĩa là giữ nguyên</t>
        </is>
      </c>
      <c r="H1200" s="17" t="inlineStr">
        <is>
          <t>giu_nguyen</t>
        </is>
      </c>
      <c r="I1200" s="16" t="inlineStr">
        <is>
          <t>Đạt</t>
        </is>
      </c>
      <c r="J1200" s="16" t="n">
        <v>0.005</v>
      </c>
    </row>
    <row r="1201">
      <c r="A1201" s="16" t="n">
        <v>1197</v>
      </c>
      <c r="B1201" s="16" t="inlineStr">
        <is>
          <t>Backend</t>
        </is>
      </c>
      <c r="C1201" s="17" t="inlineStr">
        <is>
          <t>catalog-service</t>
        </is>
      </c>
      <c r="D1201" s="16" t="inlineStr">
        <is>
          <t>Unit</t>
        </is>
      </c>
      <c r="E1201" s="17" t="inlineStr">
        <is>
          <t>SessionAndTicketTypeHandlersTest › SuaHangVe</t>
        </is>
      </c>
      <c r="F1201" s="17" t="inlineStr">
        <is>
          <t>Sửa và xoá hạng vé</t>
        </is>
      </c>
      <c r="G1201" s="17" t="inlineStr">
        <is>
          <t>xoá hạng vé của bản nháp</t>
        </is>
      </c>
      <c r="H1201" s="17" t="inlineStr">
        <is>
          <t>xoa</t>
        </is>
      </c>
      <c r="I1201" s="16" t="inlineStr">
        <is>
          <t>Đạt</t>
        </is>
      </c>
      <c r="J1201" s="16" t="n">
        <v>0.004</v>
      </c>
    </row>
    <row r="1202">
      <c r="A1202" s="16" t="n">
        <v>1198</v>
      </c>
      <c r="B1202" s="16" t="inlineStr">
        <is>
          <t>Backend</t>
        </is>
      </c>
      <c r="C1202" s="17" t="inlineStr">
        <is>
          <t>catalog-service</t>
        </is>
      </c>
      <c r="D1202" s="16" t="inlineStr">
        <is>
          <t>Unit</t>
        </is>
      </c>
      <c r="E1202" s="17" t="inlineStr">
        <is>
          <t>SessionAndTicketTypeHandlersTest › SuaHangVe</t>
        </is>
      </c>
      <c r="F1202" s="17" t="inlineStr">
        <is>
          <t>Sửa và xoá hạng vé</t>
        </is>
      </c>
      <c r="G1202" s="17" t="inlineStr">
        <is>
          <t>hạng vé nằm ở suất khác của cùng sự kiện: 404, không sửa xuyên suất</t>
        </is>
      </c>
      <c r="H1202" s="17" t="inlineStr">
        <is>
          <t>hang_ve_cua_suat_khac</t>
        </is>
      </c>
      <c r="I1202" s="16" t="inlineStr">
        <is>
          <t>Đạt</t>
        </is>
      </c>
      <c r="J1202" s="16" t="n">
        <v>0.007</v>
      </c>
    </row>
    <row r="1203">
      <c r="A1203" s="16" t="n">
        <v>1199</v>
      </c>
      <c r="B1203" s="16" t="inlineStr">
        <is>
          <t>Backend</t>
        </is>
      </c>
      <c r="C1203" s="17" t="inlineStr">
        <is>
          <t>catalog-service</t>
        </is>
      </c>
      <c r="D1203" s="16" t="inlineStr">
        <is>
          <t>Unit</t>
        </is>
      </c>
      <c r="E1203" s="17" t="inlineStr">
        <is>
          <t>SessionAndTicketTypeHandlersTest › SuaHangVe</t>
        </is>
      </c>
      <c r="F1203" s="17" t="inlineStr">
        <is>
          <t>Sửa và xoá hạng vé</t>
        </is>
      </c>
      <c r="G1203" s="17" t="inlineStr">
        <is>
          <t>đang bán: không sửa giá, không xoá hạng vé</t>
        </is>
      </c>
      <c r="H1203" s="17" t="inlineStr">
        <is>
          <t>dang_ban(EventStatus)[1]</t>
        </is>
      </c>
      <c r="I1203" s="16" t="inlineStr">
        <is>
          <t>Đạt</t>
        </is>
      </c>
      <c r="J1203" s="16" t="n">
        <v>0.004</v>
      </c>
    </row>
    <row r="1204">
      <c r="A1204" s="16" t="n">
        <v>1200</v>
      </c>
      <c r="B1204" s="16" t="inlineStr">
        <is>
          <t>Backend</t>
        </is>
      </c>
      <c r="C1204" s="17" t="inlineStr">
        <is>
          <t>catalog-service</t>
        </is>
      </c>
      <c r="D1204" s="16" t="inlineStr">
        <is>
          <t>Unit</t>
        </is>
      </c>
      <c r="E1204" s="17" t="inlineStr">
        <is>
          <t>SessionAndTicketTypeHandlersTest › SuaSuat</t>
        </is>
      </c>
      <c r="F1204" s="17" t="inlineStr">
        <is>
          <t>Sửa và xoá suất diễn</t>
        </is>
      </c>
      <c r="G1204" s="17" t="inlineStr">
        <is>
          <t>sửa cửa bán thành đóng-trước-mở: lỗi nghiệp vụ 4xx, không phải 500 từ ràng buộc database</t>
        </is>
      </c>
      <c r="H1204" s="17" t="inlineStr">
        <is>
          <t>sua_cua_ban_nguoc</t>
        </is>
      </c>
      <c r="I1204" s="16" t="inlineStr">
        <is>
          <t>Đạt</t>
        </is>
      </c>
      <c r="J1204" s="16" t="n">
        <v>0.004</v>
      </c>
    </row>
    <row r="1205">
      <c r="A1205" s="16" t="n">
        <v>1201</v>
      </c>
      <c r="B1205" s="16" t="inlineStr">
        <is>
          <t>Backend</t>
        </is>
      </c>
      <c r="C1205" s="17" t="inlineStr">
        <is>
          <t>catalog-service</t>
        </is>
      </c>
      <c r="D1205" s="16" t="inlineStr">
        <is>
          <t>Unit</t>
        </is>
      </c>
      <c r="E1205" s="17" t="inlineStr">
        <is>
          <t>SessionAndTicketTypeHandlersTest › SuaSuat</t>
        </is>
      </c>
      <c r="F1205" s="17" t="inlineStr">
        <is>
          <t>Sửa và xoá suất diễn</t>
        </is>
      </c>
      <c r="G1205" s="17" t="inlineStr">
        <is>
          <t>mốc null giữ nguyên; trần mua vé null nghĩa là về mặc định nền tảng</t>
        </is>
      </c>
      <c r="H1205" s="17" t="inlineStr">
        <is>
          <t>moc_null_giu_nguyen</t>
        </is>
      </c>
      <c r="I1205" s="16" t="inlineStr">
        <is>
          <t>Đạt</t>
        </is>
      </c>
      <c r="J1205" s="16" t="n">
        <v>0.006</v>
      </c>
    </row>
    <row r="1206">
      <c r="A1206" s="16" t="n">
        <v>1202</v>
      </c>
      <c r="B1206" s="16" t="inlineStr">
        <is>
          <t>Backend</t>
        </is>
      </c>
      <c r="C1206" s="17" t="inlineStr">
        <is>
          <t>catalog-service</t>
        </is>
      </c>
      <c r="D1206" s="16" t="inlineStr">
        <is>
          <t>Unit</t>
        </is>
      </c>
      <c r="E1206" s="17" t="inlineStr">
        <is>
          <t>SessionAndTicketTypeHandlersTest › SuaSuat</t>
        </is>
      </c>
      <c r="F1206" s="17" t="inlineStr">
        <is>
          <t>Sửa và xoá suất diễn</t>
        </is>
      </c>
      <c r="G1206" s="17" t="inlineStr">
        <is>
          <t>suất không thuộc sự kiện này: 404, kể cả khi id có thật ở sự kiện khác</t>
        </is>
      </c>
      <c r="H1206" s="17" t="inlineStr">
        <is>
          <t>suat_cua_su_kien_khac</t>
        </is>
      </c>
      <c r="I1206" s="16" t="inlineStr">
        <is>
          <t>Đạt</t>
        </is>
      </c>
      <c r="J1206" s="16" t="n">
        <v>0.004</v>
      </c>
    </row>
    <row r="1207">
      <c r="A1207" s="16" t="n">
        <v>1203</v>
      </c>
      <c r="B1207" s="16" t="inlineStr">
        <is>
          <t>Backend</t>
        </is>
      </c>
      <c r="C1207" s="17" t="inlineStr">
        <is>
          <t>catalog-service</t>
        </is>
      </c>
      <c r="D1207" s="16" t="inlineStr">
        <is>
          <t>Unit</t>
        </is>
      </c>
      <c r="E1207" s="17" t="inlineStr">
        <is>
          <t>SessionAndTicketTypeHandlersTest › SuaSuat</t>
        </is>
      </c>
      <c r="F1207" s="17" t="inlineStr">
        <is>
          <t>Sửa và xoá suất diễn</t>
        </is>
      </c>
      <c r="G1207" s="17" t="inlineStr">
        <is>
          <t>xoá suất của bản nháp: gọi đúng id</t>
        </is>
      </c>
      <c r="H1207" s="17" t="inlineStr">
        <is>
          <t>xoa_suat</t>
        </is>
      </c>
      <c r="I1207" s="16" t="inlineStr">
        <is>
          <t>Đạt</t>
        </is>
      </c>
      <c r="J1207" s="16" t="n">
        <v>0.003</v>
      </c>
    </row>
    <row r="1208">
      <c r="A1208" s="16" t="n">
        <v>1204</v>
      </c>
      <c r="B1208" s="16" t="inlineStr">
        <is>
          <t>Backend</t>
        </is>
      </c>
      <c r="C1208" s="17" t="inlineStr">
        <is>
          <t>catalog-service</t>
        </is>
      </c>
      <c r="D1208" s="16" t="inlineStr">
        <is>
          <t>Unit</t>
        </is>
      </c>
      <c r="E1208" s="17" t="inlineStr">
        <is>
          <t>SessionAndTicketTypeHandlersTest › SuaSuat</t>
        </is>
      </c>
      <c r="F1208" s="17" t="inlineStr">
        <is>
          <t>Sửa và xoá suất diễn</t>
        </is>
      </c>
      <c r="G1208" s="17" t="inlineStr">
        <is>
          <t>đang bán: không sửa, không xoá</t>
        </is>
      </c>
      <c r="H1208" s="17" t="inlineStr">
        <is>
          <t>dang_ban</t>
        </is>
      </c>
      <c r="I1208" s="16" t="inlineStr">
        <is>
          <t>Đạt</t>
        </is>
      </c>
      <c r="J1208" s="16" t="n">
        <v>0.007</v>
      </c>
    </row>
    <row r="1209">
      <c r="A1209" s="16" t="n">
        <v>1205</v>
      </c>
      <c r="B1209" s="16" t="inlineStr">
        <is>
          <t>Backend</t>
        </is>
      </c>
      <c r="C1209" s="17" t="inlineStr">
        <is>
          <t>catalog-service</t>
        </is>
      </c>
      <c r="D1209" s="16" t="inlineStr">
        <is>
          <t>Unit</t>
        </is>
      </c>
      <c r="E1209" s="17" t="inlineStr">
        <is>
          <t>SessionAndTicketTypeHandlersTest › ThemHangVe</t>
        </is>
      </c>
      <c r="F1209" s="17" t="inlineStr">
        <is>
          <t>Thêm hạng vé</t>
        </is>
      </c>
      <c r="G1209" s="17" t="inlineStr">
        <is>
          <t>khai giá cho một khu của đúng địa điểm</t>
        </is>
      </c>
      <c r="H1209" s="17" t="inlineStr">
        <is>
          <t>khai_gia</t>
        </is>
      </c>
      <c r="I1209" s="16" t="inlineStr">
        <is>
          <t>Đạt</t>
        </is>
      </c>
      <c r="J1209" s="16" t="n">
        <v>0.012</v>
      </c>
    </row>
    <row r="1210">
      <c r="A1210" s="16" t="n">
        <v>1206</v>
      </c>
      <c r="B1210" s="16" t="inlineStr">
        <is>
          <t>Backend</t>
        </is>
      </c>
      <c r="C1210" s="17" t="inlineStr">
        <is>
          <t>catalog-service</t>
        </is>
      </c>
      <c r="D1210" s="16" t="inlineStr">
        <is>
          <t>Unit</t>
        </is>
      </c>
      <c r="E1210" s="17" t="inlineStr">
        <is>
          <t>SessionAndTicketTypeHandlersTest › ThemHangVe</t>
        </is>
      </c>
      <c r="F1210" s="17" t="inlineStr">
        <is>
          <t>Thêm hạng vé</t>
        </is>
      </c>
      <c r="G1210" s="17" t="inlineStr">
        <is>
          <t>giá vé 0 đồng được nhận — vé mời</t>
        </is>
      </c>
      <c r="H1210" s="17" t="inlineStr">
        <is>
          <t>gia_khong_dong</t>
        </is>
      </c>
      <c r="I1210" s="16" t="inlineStr">
        <is>
          <t>Đạt</t>
        </is>
      </c>
      <c r="J1210" s="16" t="n">
        <v>0.003</v>
      </c>
    </row>
    <row r="1211">
      <c r="A1211" s="16" t="n">
        <v>1207</v>
      </c>
      <c r="B1211" s="16" t="inlineStr">
        <is>
          <t>Backend</t>
        </is>
      </c>
      <c r="C1211" s="17" t="inlineStr">
        <is>
          <t>catalog-service</t>
        </is>
      </c>
      <c r="D1211" s="16" t="inlineStr">
        <is>
          <t>Unit</t>
        </is>
      </c>
      <c r="E1211" s="17" t="inlineStr">
        <is>
          <t>SessionAndTicketTypeHandlersTest › ThemHangVe</t>
        </is>
      </c>
      <c r="F1211" s="17" t="inlineStr">
        <is>
          <t>Thêm hạng vé</t>
        </is>
      </c>
      <c r="G1211" s="17" t="inlineStr">
        <is>
          <t>khai giá lần hai cho cùng khu: 409 ZONE_ALREADY_PRICED</t>
        </is>
      </c>
      <c r="H1211" s="17" t="inlineStr">
        <is>
          <t>khai_hai_lan</t>
        </is>
      </c>
      <c r="I1211" s="16" t="inlineStr">
        <is>
          <t>Đạt</t>
        </is>
      </c>
      <c r="J1211" s="16" t="n">
        <v>0.003</v>
      </c>
    </row>
    <row r="1212">
      <c r="A1212" s="16" t="n">
        <v>1208</v>
      </c>
      <c r="B1212" s="16" t="inlineStr">
        <is>
          <t>Backend</t>
        </is>
      </c>
      <c r="C1212" s="17" t="inlineStr">
        <is>
          <t>catalog-service</t>
        </is>
      </c>
      <c r="D1212" s="16" t="inlineStr">
        <is>
          <t>Unit</t>
        </is>
      </c>
      <c r="E1212" s="17" t="inlineStr">
        <is>
          <t>SessionAndTicketTypeHandlersTest › ThemHangVe</t>
        </is>
      </c>
      <c r="F1212" s="17" t="inlineStr">
        <is>
          <t>Thêm hạng vé</t>
        </is>
      </c>
      <c r="G1212" s="17" t="inlineStr">
        <is>
          <t>khu của địa điểm khác: 404 ZONE_NOT_FOUND — không dựng tồn kho với mã khu của người khác</t>
        </is>
      </c>
      <c r="H1212" s="17" t="inlineStr">
        <is>
          <t>khu_cua_dia_diem_khac</t>
        </is>
      </c>
      <c r="I1212" s="16" t="inlineStr">
        <is>
          <t>Đạt</t>
        </is>
      </c>
      <c r="J1212" s="16" t="n">
        <v>0.003</v>
      </c>
    </row>
    <row r="1213">
      <c r="A1213" s="16" t="n">
        <v>1209</v>
      </c>
      <c r="B1213" s="16" t="inlineStr">
        <is>
          <t>Backend</t>
        </is>
      </c>
      <c r="C1213" s="17" t="inlineStr">
        <is>
          <t>catalog-service</t>
        </is>
      </c>
      <c r="D1213" s="16" t="inlineStr">
        <is>
          <t>Unit</t>
        </is>
      </c>
      <c r="E1213" s="17" t="inlineStr">
        <is>
          <t>SessionAndTicketTypeHandlersTest › ThemHangVe</t>
        </is>
      </c>
      <c r="F1213" s="17" t="inlineStr">
        <is>
          <t>Thêm hạng vé</t>
        </is>
      </c>
      <c r="G1213" s="17" t="inlineStr">
        <is>
          <t>suất không thuộc sự kiện: 404 SESSION_NOT_FOUND</t>
        </is>
      </c>
      <c r="H1213" s="17" t="inlineStr">
        <is>
          <t>suat_khong_thuoc</t>
        </is>
      </c>
      <c r="I1213" s="16" t="inlineStr">
        <is>
          <t>Đạt</t>
        </is>
      </c>
      <c r="J1213" s="16" t="n">
        <v>0.003</v>
      </c>
    </row>
    <row r="1214">
      <c r="A1214" s="16" t="n">
        <v>1210</v>
      </c>
      <c r="B1214" s="16" t="inlineStr">
        <is>
          <t>Backend</t>
        </is>
      </c>
      <c r="C1214" s="17" t="inlineStr">
        <is>
          <t>catalog-service</t>
        </is>
      </c>
      <c r="D1214" s="16" t="inlineStr">
        <is>
          <t>Unit</t>
        </is>
      </c>
      <c r="E1214" s="17" t="inlineStr">
        <is>
          <t>SessionAndTicketTypeHandlersTest › ThemHangVe</t>
        </is>
      </c>
      <c r="F1214" s="17" t="inlineStr">
        <is>
          <t>Thêm hạng vé</t>
        </is>
      </c>
      <c r="G1214" s="17" t="inlineStr">
        <is>
          <t>đang bán: 409 trước khi chạm địa điểm</t>
        </is>
      </c>
      <c r="H1214" s="17" t="inlineStr">
        <is>
          <t>dang_ban</t>
        </is>
      </c>
      <c r="I1214" s="16" t="inlineStr">
        <is>
          <t>Đạt</t>
        </is>
      </c>
      <c r="J1214" s="16" t="n">
        <v>0.004</v>
      </c>
    </row>
    <row r="1215">
      <c r="A1215" s="16" t="n">
        <v>1211</v>
      </c>
      <c r="B1215" s="16" t="inlineStr">
        <is>
          <t>Backend</t>
        </is>
      </c>
      <c r="C1215" s="17" t="inlineStr">
        <is>
          <t>catalog-service</t>
        </is>
      </c>
      <c r="D1215" s="16" t="inlineStr">
        <is>
          <t>Unit</t>
        </is>
      </c>
      <c r="E1215" s="17" t="inlineStr">
        <is>
          <t>SessionAndTicketTypeHandlersTest › ThemSuat</t>
        </is>
      </c>
      <c r="F1215" s="17" t="inlineStr">
        <is>
          <t>Thêm suất diễn</t>
        </is>
      </c>
      <c r="G1215" s="17" t="inlineStr">
        <is>
          <t>bản nháp: thêm được, mốc thời gian và trần mua vé đi nguyên vào repository</t>
        </is>
      </c>
      <c r="H1215" s="17" t="inlineStr">
        <is>
          <t>them_suat</t>
        </is>
      </c>
      <c r="I1215" s="16" t="inlineStr">
        <is>
          <t>Đạt</t>
        </is>
      </c>
      <c r="J1215" s="16" t="n">
        <v>0.005</v>
      </c>
    </row>
    <row r="1216">
      <c r="A1216" s="16" t="n">
        <v>1212</v>
      </c>
      <c r="B1216" s="16" t="inlineStr">
        <is>
          <t>Backend</t>
        </is>
      </c>
      <c r="C1216" s="17" t="inlineStr">
        <is>
          <t>catalog-service</t>
        </is>
      </c>
      <c r="D1216" s="16" t="inlineStr">
        <is>
          <t>Unit</t>
        </is>
      </c>
      <c r="E1216" s="17" t="inlineStr">
        <is>
          <t>SessionAndTicketTypeHandlersTest › ThemSuat</t>
        </is>
      </c>
      <c r="F1216" s="17" t="inlineStr">
        <is>
          <t>Thêm suất diễn</t>
        </is>
      </c>
      <c r="G1216" s="17" t="inlineStr">
        <is>
          <t>cửa bán đóng trước khi mở: lỗi nghiệp vụ 4xx, không đẩy xuống ràng buộc database</t>
        </is>
      </c>
      <c r="H1216" s="17" t="inlineStr">
        <is>
          <t>cua_ban_nguoc</t>
        </is>
      </c>
      <c r="I1216" s="16" t="inlineStr">
        <is>
          <t>Đạt</t>
        </is>
      </c>
      <c r="J1216" s="16" t="n">
        <v>0.004</v>
      </c>
    </row>
    <row r="1217">
      <c r="A1217" s="16" t="n">
        <v>1213</v>
      </c>
      <c r="B1217" s="16" t="inlineStr">
        <is>
          <t>Backend</t>
        </is>
      </c>
      <c r="C1217" s="17" t="inlineStr">
        <is>
          <t>catalog-service</t>
        </is>
      </c>
      <c r="D1217" s="16" t="inlineStr">
        <is>
          <t>Unit</t>
        </is>
      </c>
      <c r="E1217" s="17" t="inlineStr">
        <is>
          <t>SessionAndTicketTypeHandlersTest › ThemSuat</t>
        </is>
      </c>
      <c r="F1217" s="17" t="inlineStr">
        <is>
          <t>Thêm suất diễn</t>
        </is>
      </c>
      <c r="G1217" s="17" t="inlineStr">
        <is>
          <t>không đủ quyền: 403 và không đọc sự kiện</t>
        </is>
      </c>
      <c r="H1217" s="17" t="inlineStr">
        <is>
          <t>khong_du_quyen</t>
        </is>
      </c>
      <c r="I1217" s="16" t="inlineStr">
        <is>
          <t>Đạt</t>
        </is>
      </c>
      <c r="J1217" s="16" t="n">
        <v>0.004</v>
      </c>
    </row>
    <row r="1218">
      <c r="A1218" s="16" t="n">
        <v>1214</v>
      </c>
      <c r="B1218" s="16" t="inlineStr">
        <is>
          <t>Backend</t>
        </is>
      </c>
      <c r="C1218" s="17" t="inlineStr">
        <is>
          <t>catalog-service</t>
        </is>
      </c>
      <c r="D1218" s="16" t="inlineStr">
        <is>
          <t>Unit</t>
        </is>
      </c>
      <c r="E1218" s="17" t="inlineStr">
        <is>
          <t>SessionAndTicketTypeHandlersTest › ThemSuat</t>
        </is>
      </c>
      <c r="F1218" s="17" t="inlineStr">
        <is>
          <t>Thêm suất diễn</t>
        </is>
      </c>
      <c r="G1218" s="17" t="inlineStr">
        <is>
          <t>đang bán: 409 — suất mới sẽ không có tồn kho</t>
        </is>
      </c>
      <c r="H1218" s="17" t="inlineStr">
        <is>
          <t>dang_ban</t>
        </is>
      </c>
      <c r="I1218" s="16" t="inlineStr">
        <is>
          <t>Đạt</t>
        </is>
      </c>
      <c r="J1218" s="16" t="n">
        <v>0.003</v>
      </c>
    </row>
    <row r="1219">
      <c r="A1219" s="16" t="n">
        <v>1215</v>
      </c>
      <c r="B1219" s="16" t="inlineStr">
        <is>
          <t>Backend</t>
        </is>
      </c>
      <c r="C1219" s="17" t="inlineStr">
        <is>
          <t>catalog-service</t>
        </is>
      </c>
      <c r="D1219" s="16" t="inlineStr">
        <is>
          <t>Unit</t>
        </is>
      </c>
      <c r="E1219" s="17" t="inlineStr">
        <is>
          <t>SessionAndTicketTypeHandlersTest › ThemSuat</t>
        </is>
      </c>
      <c r="F1219" s="17" t="inlineStr">
        <is>
          <t>Thêm suất diễn</t>
        </is>
      </c>
      <c r="G1219" s="17" t="inlineStr">
        <is>
          <t>sự kiện của tổ chức khác: 404</t>
        </is>
      </c>
      <c r="H1219" s="17" t="inlineStr">
        <is>
          <t>cua_to_chuc_khac</t>
        </is>
      </c>
      <c r="I1219" s="16" t="inlineStr">
        <is>
          <t>Đạt</t>
        </is>
      </c>
      <c r="J1219" s="16" t="n">
        <v>0.004</v>
      </c>
    </row>
    <row r="1220">
      <c r="A1220" s="16" t="n">
        <v>1216</v>
      </c>
      <c r="B1220" s="16" t="inlineStr">
        <is>
          <t>Backend</t>
        </is>
      </c>
      <c r="C1220" s="17" t="inlineStr">
        <is>
          <t>catalog-service</t>
        </is>
      </c>
      <c r="D1220" s="16" t="inlineStr">
        <is>
          <t>Unit</t>
        </is>
      </c>
      <c r="E1220" s="17" t="inlineStr">
        <is>
          <t>FloorPlanPreviewTest</t>
        </is>
      </c>
      <c r="F1220" s="17" t="inlineStr"/>
      <c r="G1220" s="17" t="inlineStr">
        <is>
          <t>khu chưa đặt vị trí vẫn nhận được bố cục ĐÃ GIẢI</t>
        </is>
      </c>
      <c r="H1220" s="17" t="inlineStr">
        <is>
          <t>khu_tu_xep_van_co_bo_cuc</t>
        </is>
      </c>
      <c r="I1220" s="16" t="inlineStr">
        <is>
          <t>Đạt</t>
        </is>
      </c>
      <c r="J1220" s="16" t="n">
        <v>0.058</v>
      </c>
    </row>
    <row r="1221">
      <c r="A1221" s="16" t="n">
        <v>1217</v>
      </c>
      <c r="B1221" s="16" t="inlineStr">
        <is>
          <t>Backend</t>
        </is>
      </c>
      <c r="C1221" s="17" t="inlineStr">
        <is>
          <t>catalog-service</t>
        </is>
      </c>
      <c r="D1221" s="16" t="inlineStr">
        <is>
          <t>Unit</t>
        </is>
      </c>
      <c r="E1221" s="17" t="inlineStr">
        <is>
          <t>FloorPlanPreviewTest</t>
        </is>
      </c>
      <c r="F1221" s="17" t="inlineStr"/>
      <c r="G1221" s="17" t="inlineStr">
        <is>
          <t>bản xem trước mang theo toạ độ từng ghế</t>
        </is>
      </c>
      <c r="H1221" s="17" t="inlineStr">
        <is>
          <t>co_toa_do_tung_ghe</t>
        </is>
      </c>
      <c r="I1221" s="16" t="inlineStr">
        <is>
          <t>Đạt</t>
        </is>
      </c>
      <c r="J1221" s="16" t="n">
        <v>0.001</v>
      </c>
    </row>
    <row r="1222">
      <c r="A1222" s="16" t="n">
        <v>1218</v>
      </c>
      <c r="B1222" s="16" t="inlineStr">
        <is>
          <t>Backend</t>
        </is>
      </c>
      <c r="C1222" s="17" t="inlineStr">
        <is>
          <t>catalog-service</t>
        </is>
      </c>
      <c r="D1222" s="16" t="inlineStr">
        <is>
          <t>Unit</t>
        </is>
      </c>
      <c r="E1222" s="17" t="inlineStr">
        <is>
          <t>FloorPlanPreviewTest</t>
        </is>
      </c>
      <c r="F1222" s="17" t="inlineStr"/>
      <c r="G1222" s="17" t="inlineStr">
        <is>
          <t>xem trước đọc BẢN NHÁP, không đọc khu đã lưu</t>
        </is>
      </c>
      <c r="H1222" s="17" t="inlineStr">
        <is>
          <t>doc_ban_nhap_khong_doc_database</t>
        </is>
      </c>
      <c r="I1222" s="16" t="inlineStr">
        <is>
          <t>Đạt</t>
        </is>
      </c>
      <c r="J1222" s="16" t="n">
        <v>0.002</v>
      </c>
    </row>
    <row r="1223">
      <c r="A1223" s="16" t="n">
        <v>1219</v>
      </c>
      <c r="B1223" s="16" t="inlineStr">
        <is>
          <t>Backend</t>
        </is>
      </c>
      <c r="C1223" s="17" t="inlineStr">
        <is>
          <t>catalog-service</t>
        </is>
      </c>
      <c r="D1223" s="16" t="inlineStr">
        <is>
          <t>Unit</t>
        </is>
      </c>
      <c r="E1223" s="17" t="inlineStr">
        <is>
          <t>FloorPlanPreviewTest</t>
        </is>
      </c>
      <c r="F1223" s="17" t="inlineStr"/>
      <c r="G1223" s="17" t="inlineStr">
        <is>
          <t>sân khấu trong bản nháp thắng sân khấu đã lưu</t>
        </is>
      </c>
      <c r="H1223" s="17" t="inlineStr">
        <is>
          <t>san_khau_ban_nhap_thang</t>
        </is>
      </c>
      <c r="I1223" s="16" t="inlineStr">
        <is>
          <t>Đạt</t>
        </is>
      </c>
      <c r="J1223" s="16" t="n">
        <v>0.005</v>
      </c>
    </row>
    <row r="1224">
      <c r="A1224" s="16" t="n">
        <v>1220</v>
      </c>
      <c r="B1224" s="16" t="inlineStr">
        <is>
          <t>Backend</t>
        </is>
      </c>
      <c r="C1224" s="17" t="inlineStr">
        <is>
          <t>catalog-service</t>
        </is>
      </c>
      <c r="D1224" s="16" t="inlineStr">
        <is>
          <t>Unit</t>
        </is>
      </c>
      <c r="E1224" s="17" t="inlineStr">
        <is>
          <t>FloorPlanPreviewTest</t>
        </is>
      </c>
      <c r="F1224" s="17" t="inlineStr"/>
      <c r="G1224" s="17" t="inlineStr">
        <is>
          <t>khu hình cung trong bản nháp cho ra đường bao cong, không phải chữ nhật</t>
        </is>
      </c>
      <c r="H1224" s="17" t="inlineStr">
        <is>
          <t>ban_nhap_cung_ra_hinh_cung</t>
        </is>
      </c>
      <c r="I1224" s="16" t="inlineStr">
        <is>
          <t>Đạt</t>
        </is>
      </c>
      <c r="J1224" s="16" t="n">
        <v>0.006</v>
      </c>
    </row>
    <row r="1225">
      <c r="A1225" s="16" t="n">
        <v>1221</v>
      </c>
      <c r="B1225" s="16" t="inlineStr">
        <is>
          <t>Backend</t>
        </is>
      </c>
      <c r="C1225" s="17" t="inlineStr">
        <is>
          <t>catalog-service</t>
        </is>
      </c>
      <c r="D1225" s="16" t="inlineStr">
        <is>
          <t>Unit</t>
        </is>
      </c>
      <c r="E1225" s="17" t="inlineStr">
        <is>
          <t>FloorPlanPreviewTest</t>
        </is>
      </c>
      <c r="F1225" s="17" t="inlineStr"/>
      <c r="G1225" s="17" t="inlineStr">
        <is>
          <t>không ghi một dòng nào</t>
        </is>
      </c>
      <c r="H1225" s="17" t="inlineStr">
        <is>
          <t>khong_ghi_gi</t>
        </is>
      </c>
      <c r="I1225" s="16" t="inlineStr">
        <is>
          <t>Đạt</t>
        </is>
      </c>
      <c r="J1225" s="16" t="n">
        <v>0.001</v>
      </c>
    </row>
    <row r="1226">
      <c r="A1226" s="16" t="n">
        <v>1222</v>
      </c>
      <c r="B1226" s="16" t="inlineStr">
        <is>
          <t>Backend</t>
        </is>
      </c>
      <c r="C1226" s="17" t="inlineStr">
        <is>
          <t>catalog-service</t>
        </is>
      </c>
      <c r="D1226" s="16" t="inlineStr">
        <is>
          <t>Unit</t>
        </is>
      </c>
      <c r="E1226" s="17" t="inlineStr">
        <is>
          <t>MediaUseCasesTest › AnhSoDo</t>
        </is>
      </c>
      <c r="F1226" s="17" t="inlineStr">
        <is>
          <t>Ảnh sơ đồ ghế</t>
        </is>
      </c>
      <c r="G1226" s="17" t="inlineStr">
        <is>
          <t>null nghĩa là gỡ ảnh: lưu chuỗi rỗng, không phải giữ nguyên</t>
        </is>
      </c>
      <c r="H1226" s="17" t="inlineStr">
        <is>
          <t>null_la_go_anh</t>
        </is>
      </c>
      <c r="I1226" s="16" t="inlineStr">
        <is>
          <t>Đạt</t>
        </is>
      </c>
      <c r="J1226" s="16" t="n">
        <v>0.135</v>
      </c>
    </row>
    <row r="1227">
      <c r="A1227" s="16" t="n">
        <v>1223</v>
      </c>
      <c r="B1227" s="16" t="inlineStr">
        <is>
          <t>Backend</t>
        </is>
      </c>
      <c r="C1227" s="17" t="inlineStr">
        <is>
          <t>catalog-service</t>
        </is>
      </c>
      <c r="D1227" s="16" t="inlineStr">
        <is>
          <t>Unit</t>
        </is>
      </c>
      <c r="E1227" s="17" t="inlineStr">
        <is>
          <t>MediaUseCasesTest › AnhSoDo</t>
        </is>
      </c>
      <c r="F1227" s="17" t="inlineStr">
        <is>
          <t>Ảnh sơ đồ ghế</t>
        </is>
      </c>
      <c r="G1227" s="17" t="inlineStr">
        <is>
          <t>địa điểm không thuộc tổ chức (0 dòng bị sửa): 404 VENUE_NOT_FOUND</t>
        </is>
      </c>
      <c r="H1227" s="17" t="inlineStr">
        <is>
          <t>dia_diem_khong_thuoc</t>
        </is>
      </c>
      <c r="I1227" s="16" t="inlineStr">
        <is>
          <t>Đạt</t>
        </is>
      </c>
      <c r="J1227" s="16" t="n">
        <v>0.005</v>
      </c>
    </row>
    <row r="1228">
      <c r="A1228" s="16" t="n">
        <v>1224</v>
      </c>
      <c r="B1228" s="16" t="inlineStr">
        <is>
          <t>Backend</t>
        </is>
      </c>
      <c r="C1228" s="17" t="inlineStr">
        <is>
          <t>catalog-service</t>
        </is>
      </c>
      <c r="D1228" s="16" t="inlineStr">
        <is>
          <t>Unit</t>
        </is>
      </c>
      <c r="E1228" s="17" t="inlineStr">
        <is>
          <t>MediaUseCasesTest › AnhSoDo</t>
        </is>
      </c>
      <c r="F1228" s="17" t="inlineStr">
        <is>
          <t>Ảnh sơ đồ ghế</t>
        </is>
      </c>
      <c r="G1228" s="17" t="inlineStr">
        <is>
          <t>sự kiện không thuộc tổ chức: 404 EVENT_NOT_FOUND</t>
        </is>
      </c>
      <c r="H1228" s="17" t="inlineStr">
        <is>
          <t>su_kien_khong_thuoc</t>
        </is>
      </c>
      <c r="I1228" s="16" t="inlineStr">
        <is>
          <t>Đạt</t>
        </is>
      </c>
      <c r="J1228" s="16" t="n">
        <v>0.006</v>
      </c>
    </row>
    <row r="1229">
      <c r="A1229" s="16" t="n">
        <v>1225</v>
      </c>
      <c r="B1229" s="16" t="inlineStr">
        <is>
          <t>Backend</t>
        </is>
      </c>
      <c r="C1229" s="17" t="inlineStr">
        <is>
          <t>catalog-service</t>
        </is>
      </c>
      <c r="D1229" s="16" t="inlineStr">
        <is>
          <t>Unit</t>
        </is>
      </c>
      <c r="E1229" s="17" t="inlineStr">
        <is>
          <t>MediaUseCasesTest › AnhSoDo</t>
        </is>
      </c>
      <c r="F1229" s="17" t="inlineStr">
        <is>
          <t>Ảnh sơ đồ ghế</t>
        </is>
      </c>
      <c r="G1229" s="17" t="inlineStr">
        <is>
          <t>đường dẫn ngoài khi cấu hình cấm: 422 và không ghi gì</t>
        </is>
      </c>
      <c r="H1229" s="17" t="inlineStr">
        <is>
          <t>duong_dan_ngoai</t>
        </is>
      </c>
      <c r="I1229" s="16" t="inlineStr">
        <is>
          <t>Đạt</t>
        </is>
      </c>
      <c r="J1229" s="16" t="n">
        <v>0.003</v>
      </c>
    </row>
    <row r="1230">
      <c r="A1230" s="16" t="n">
        <v>1226</v>
      </c>
      <c r="B1230" s="16" t="inlineStr">
        <is>
          <t>Backend</t>
        </is>
      </c>
      <c r="C1230" s="17" t="inlineStr">
        <is>
          <t>catalog-service</t>
        </is>
      </c>
      <c r="D1230" s="16" t="inlineStr">
        <is>
          <t>Unit</t>
        </is>
      </c>
      <c r="E1230" s="17" t="inlineStr">
        <is>
          <t>MediaUseCasesTest › AnhSoDo</t>
        </is>
      </c>
      <c r="F1230" s="17" t="inlineStr">
        <is>
          <t>Ảnh sơ đồ ghế</t>
        </is>
      </c>
      <c r="G1230" s="17" t="inlineStr">
        <is>
          <t>không đủ quyền: không ghi gì</t>
        </is>
      </c>
      <c r="H1230" s="17" t="inlineStr">
        <is>
          <t>khong_du_quyen</t>
        </is>
      </c>
      <c r="I1230" s="16" t="inlineStr">
        <is>
          <t>Đạt</t>
        </is>
      </c>
      <c r="J1230" s="16" t="n">
        <v>0.004</v>
      </c>
    </row>
    <row r="1231">
      <c r="A1231" s="16" t="n">
        <v>1227</v>
      </c>
      <c r="B1231" s="16" t="inlineStr">
        <is>
          <t>Backend</t>
        </is>
      </c>
      <c r="C1231" s="17" t="inlineStr">
        <is>
          <t>catalog-service</t>
        </is>
      </c>
      <c r="D1231" s="16" t="inlineStr">
        <is>
          <t>Unit</t>
        </is>
      </c>
      <c r="E1231" s="17" t="inlineStr">
        <is>
          <t>MediaUseCasesTest › CapLuotTai</t>
        </is>
      </c>
      <c r="F1231" s="17" t="inlineStr">
        <is>
          <t>Cấp lượt tải ảnh bìa</t>
        </is>
      </c>
      <c r="G1231" s="17" t="inlineStr">
        <is>
          <t>ảnh PNG: khoá mang id tổ chức, tên ngẫu nhiên và đuôi đúng kiểu; trả kèm trần kích thước</t>
        </is>
      </c>
      <c r="H1231" s="17" t="inlineStr">
        <is>
          <t>anh_png</t>
        </is>
      </c>
      <c r="I1231" s="16" t="inlineStr">
        <is>
          <t>Đạt</t>
        </is>
      </c>
      <c r="J1231" s="16" t="n">
        <v>0.007</v>
      </c>
    </row>
    <row r="1232">
      <c r="A1232" s="16" t="n">
        <v>1228</v>
      </c>
      <c r="B1232" s="16" t="inlineStr">
        <is>
          <t>Backend</t>
        </is>
      </c>
      <c r="C1232" s="17" t="inlineStr">
        <is>
          <t>catalog-service</t>
        </is>
      </c>
      <c r="D1232" s="16" t="inlineStr">
        <is>
          <t>Unit</t>
        </is>
      </c>
      <c r="E1232" s="17" t="inlineStr">
        <is>
          <t>MediaUseCasesTest › CapLuotTai</t>
        </is>
      </c>
      <c r="F1232" s="17" t="inlineStr">
        <is>
          <t>Cấp lượt tải ảnh bìa</t>
        </is>
      </c>
      <c r="G1232" s="17" t="inlineStr">
        <is>
          <t>kiểu viết hoa và có khoảng trắng được chuẩn hoá trước khi ký</t>
        </is>
      </c>
      <c r="H1232" s="17" t="inlineStr">
        <is>
          <t>chuan_hoa_kieu</t>
        </is>
      </c>
      <c r="I1232" s="16" t="inlineStr">
        <is>
          <t>Đạt</t>
        </is>
      </c>
      <c r="J1232" s="16" t="n">
        <v>0.004</v>
      </c>
    </row>
    <row r="1233">
      <c r="A1233" s="16" t="n">
        <v>1229</v>
      </c>
      <c r="B1233" s="16" t="inlineStr">
        <is>
          <t>Backend</t>
        </is>
      </c>
      <c r="C1233" s="17" t="inlineStr">
        <is>
          <t>catalog-service</t>
        </is>
      </c>
      <c r="D1233" s="16" t="inlineStr">
        <is>
          <t>Unit</t>
        </is>
      </c>
      <c r="E1233" s="17" t="inlineStr">
        <is>
          <t>MediaUseCasesTest › CapLuotTai</t>
        </is>
      </c>
      <c r="F1233" s="17" t="inlineStr">
        <is>
          <t>Cấp lượt tải ảnh bìa</t>
        </is>
      </c>
      <c r="G1233" s="17" t="inlineStr">
        <is>
          <t>kiểu không nằm trong danh sách trắng: 422 POSTER_URL_INVALID và không ký gì</t>
        </is>
      </c>
      <c r="H1233" s="17" t="inlineStr">
        <is>
          <t>kieu_khong_cho_phep(String)[1]</t>
        </is>
      </c>
      <c r="I1233" s="16" t="inlineStr">
        <is>
          <t>Đạt</t>
        </is>
      </c>
      <c r="J1233" s="16" t="n">
        <v>0.005</v>
      </c>
    </row>
    <row r="1234">
      <c r="A1234" s="16" t="n">
        <v>1230</v>
      </c>
      <c r="B1234" s="16" t="inlineStr">
        <is>
          <t>Backend</t>
        </is>
      </c>
      <c r="C1234" s="17" t="inlineStr">
        <is>
          <t>catalog-service</t>
        </is>
      </c>
      <c r="D1234" s="16" t="inlineStr">
        <is>
          <t>Unit</t>
        </is>
      </c>
      <c r="E1234" s="17" t="inlineStr">
        <is>
          <t>MediaUseCasesTest › CapLuotTai</t>
        </is>
      </c>
      <c r="F1234" s="17" t="inlineStr">
        <is>
          <t>Cấp lượt tải ảnh bìa</t>
        </is>
      </c>
      <c r="G1234" s="17" t="inlineStr">
        <is>
          <t>kiểu không nằm trong danh sách trắng: 422 POSTER_URL_INVALID và không ký gì</t>
        </is>
      </c>
      <c r="H1234" s="17" t="inlineStr">
        <is>
          <t>kieu_khong_cho_phep(String)[2]</t>
        </is>
      </c>
      <c r="I1234" s="16" t="inlineStr">
        <is>
          <t>Đạt</t>
        </is>
      </c>
      <c r="J1234" s="16" t="n">
        <v>0.008</v>
      </c>
    </row>
    <row r="1235">
      <c r="A1235" s="16" t="n">
        <v>1231</v>
      </c>
      <c r="B1235" s="16" t="inlineStr">
        <is>
          <t>Backend</t>
        </is>
      </c>
      <c r="C1235" s="17" t="inlineStr">
        <is>
          <t>catalog-service</t>
        </is>
      </c>
      <c r="D1235" s="16" t="inlineStr">
        <is>
          <t>Unit</t>
        </is>
      </c>
      <c r="E1235" s="17" t="inlineStr">
        <is>
          <t>MediaUseCasesTest › CapLuotTai</t>
        </is>
      </c>
      <c r="F1235" s="17" t="inlineStr">
        <is>
          <t>Cấp lượt tải ảnh bìa</t>
        </is>
      </c>
      <c r="G1235" s="17" t="inlineStr">
        <is>
          <t>kiểu không nằm trong danh sách trắng: 422 POSTER_URL_INVALID và không ký gì</t>
        </is>
      </c>
      <c r="H1235" s="17" t="inlineStr">
        <is>
          <t>kieu_khong_cho_phep(String)[3]</t>
        </is>
      </c>
      <c r="I1235" s="16" t="inlineStr">
        <is>
          <t>Đạt</t>
        </is>
      </c>
      <c r="J1235" s="16" t="n">
        <v>0.003</v>
      </c>
    </row>
    <row r="1236">
      <c r="A1236" s="16" t="n">
        <v>1232</v>
      </c>
      <c r="B1236" s="16" t="inlineStr">
        <is>
          <t>Backend</t>
        </is>
      </c>
      <c r="C1236" s="17" t="inlineStr">
        <is>
          <t>catalog-service</t>
        </is>
      </c>
      <c r="D1236" s="16" t="inlineStr">
        <is>
          <t>Unit</t>
        </is>
      </c>
      <c r="E1236" s="17" t="inlineStr">
        <is>
          <t>MediaUseCasesTest › CapLuotTai</t>
        </is>
      </c>
      <c r="F1236" s="17" t="inlineStr">
        <is>
          <t>Cấp lượt tải ảnh bìa</t>
        </is>
      </c>
      <c r="G1236" s="17" t="inlineStr">
        <is>
          <t>kiểu không nằm trong danh sách trắng: 422 POSTER_URL_INVALID và không ký gì</t>
        </is>
      </c>
      <c r="H1236" s="17" t="inlineStr">
        <is>
          <t>kieu_khong_cho_phep(String)[4]</t>
        </is>
      </c>
      <c r="I1236" s="16" t="inlineStr">
        <is>
          <t>Đạt</t>
        </is>
      </c>
      <c r="J1236" s="16" t="n">
        <v>0.003</v>
      </c>
    </row>
    <row r="1237">
      <c r="A1237" s="16" t="n">
        <v>1233</v>
      </c>
      <c r="B1237" s="16" t="inlineStr">
        <is>
          <t>Backend</t>
        </is>
      </c>
      <c r="C1237" s="17" t="inlineStr">
        <is>
          <t>catalog-service</t>
        </is>
      </c>
      <c r="D1237" s="16" t="inlineStr">
        <is>
          <t>Unit</t>
        </is>
      </c>
      <c r="E1237" s="17" t="inlineStr">
        <is>
          <t>MediaUseCasesTest › CapLuotTai</t>
        </is>
      </c>
      <c r="F1237" s="17" t="inlineStr">
        <is>
          <t>Cấp lượt tải ảnh bìa</t>
        </is>
      </c>
      <c r="G1237" s="17" t="inlineStr">
        <is>
          <t>kiểu không nằm trong danh sách trắng: 422 POSTER_URL_INVALID và không ký gì</t>
        </is>
      </c>
      <c r="H1237" s="17" t="inlineStr">
        <is>
          <t>kieu_khong_cho_phep(String)[5]</t>
        </is>
      </c>
      <c r="I1237" s="16" t="inlineStr">
        <is>
          <t>Đạt</t>
        </is>
      </c>
      <c r="J1237" s="16" t="n">
        <v>0.005</v>
      </c>
    </row>
    <row r="1238">
      <c r="A1238" s="16" t="n">
        <v>1234</v>
      </c>
      <c r="B1238" s="16" t="inlineStr">
        <is>
          <t>Backend</t>
        </is>
      </c>
      <c r="C1238" s="17" t="inlineStr">
        <is>
          <t>catalog-service</t>
        </is>
      </c>
      <c r="D1238" s="16" t="inlineStr">
        <is>
          <t>Unit</t>
        </is>
      </c>
      <c r="E1238" s="17" t="inlineStr">
        <is>
          <t>MediaUseCasesTest › CapLuotTai</t>
        </is>
      </c>
      <c r="F1238" s="17" t="inlineStr">
        <is>
          <t>Cấp lượt tải ảnh bìa</t>
        </is>
      </c>
      <c r="G1238" s="17" t="inlineStr">
        <is>
          <t>kiểu không nằm trong danh sách trắng: 422 POSTER_URL_INVALID và không ký gì</t>
        </is>
      </c>
      <c r="H1238" s="17" t="inlineStr">
        <is>
          <t>kieu_khong_cho_phep(String)[6]</t>
        </is>
      </c>
      <c r="I1238" s="16" t="inlineStr">
        <is>
          <t>Đạt</t>
        </is>
      </c>
      <c r="J1238" s="16" t="n">
        <v>0.005</v>
      </c>
    </row>
    <row r="1239">
      <c r="A1239" s="16" t="n">
        <v>1235</v>
      </c>
      <c r="B1239" s="16" t="inlineStr">
        <is>
          <t>Backend</t>
        </is>
      </c>
      <c r="C1239" s="17" t="inlineStr">
        <is>
          <t>catalog-service</t>
        </is>
      </c>
      <c r="D1239" s="16" t="inlineStr">
        <is>
          <t>Unit</t>
        </is>
      </c>
      <c r="E1239" s="17" t="inlineStr">
        <is>
          <t>MediaUseCasesTest › CapLuotTai</t>
        </is>
      </c>
      <c r="F1239" s="17" t="inlineStr">
        <is>
          <t>Cấp lượt tải ảnh bìa</t>
        </is>
      </c>
      <c r="G1239" s="17" t="inlineStr">
        <is>
          <t>kiểu không nằm trong danh sách trắng: 422 POSTER_URL_INVALID và không ký gì</t>
        </is>
      </c>
      <c r="H1239" s="17" t="inlineStr">
        <is>
          <t>kieu_khong_cho_phep(String)[7]</t>
        </is>
      </c>
      <c r="I1239" s="16" t="inlineStr">
        <is>
          <t>Đạt</t>
        </is>
      </c>
      <c r="J1239" s="16" t="n">
        <v>0.003</v>
      </c>
    </row>
    <row r="1240">
      <c r="A1240" s="16" t="n">
        <v>1236</v>
      </c>
      <c r="B1240" s="16" t="inlineStr">
        <is>
          <t>Backend</t>
        </is>
      </c>
      <c r="C1240" s="17" t="inlineStr">
        <is>
          <t>catalog-service</t>
        </is>
      </c>
      <c r="D1240" s="16" t="inlineStr">
        <is>
          <t>Unit</t>
        </is>
      </c>
      <c r="E1240" s="17" t="inlineStr">
        <is>
          <t>MediaUseCasesTest › CapLuotTai</t>
        </is>
      </c>
      <c r="F1240" s="17" t="inlineStr">
        <is>
          <t>Cấp lượt tải ảnh bìa</t>
        </is>
      </c>
      <c r="G1240" s="17" t="inlineStr">
        <is>
          <t>kiểu không nằm trong danh sách trắng: 422 POSTER_URL_INVALID và không ký gì</t>
        </is>
      </c>
      <c r="H1240" s="17" t="inlineStr">
        <is>
          <t>kieu_khong_cho_phep(String)[8]</t>
        </is>
      </c>
      <c r="I1240" s="16" t="inlineStr">
        <is>
          <t>Đạt</t>
        </is>
      </c>
      <c r="J1240" s="16" t="n">
        <v>0.007</v>
      </c>
    </row>
    <row r="1241">
      <c r="A1241" s="16" t="n">
        <v>1237</v>
      </c>
      <c r="B1241" s="16" t="inlineStr">
        <is>
          <t>Backend</t>
        </is>
      </c>
      <c r="C1241" s="17" t="inlineStr">
        <is>
          <t>catalog-service</t>
        </is>
      </c>
      <c r="D1241" s="16" t="inlineStr">
        <is>
          <t>Unit</t>
        </is>
      </c>
      <c r="E1241" s="17" t="inlineStr">
        <is>
          <t>MediaUseCasesTest › CapLuotTai</t>
        </is>
      </c>
      <c r="F1241" s="17" t="inlineStr">
        <is>
          <t>Cấp lượt tải ảnh bìa</t>
        </is>
      </c>
      <c r="G1241" s="17" t="inlineStr">
        <is>
          <t>kiểu không nằm trong danh sách trắng: 422 POSTER_URL_INVALID và không ký gì</t>
        </is>
      </c>
      <c r="H1241" s="17" t="inlineStr">
        <is>
          <t>kieu_khong_cho_phep(String)[9]</t>
        </is>
      </c>
      <c r="I1241" s="16" t="inlineStr">
        <is>
          <t>Đạt</t>
        </is>
      </c>
      <c r="J1241" s="16" t="n">
        <v>0.004</v>
      </c>
    </row>
    <row r="1242">
      <c r="A1242" s="16" t="n">
        <v>1238</v>
      </c>
      <c r="B1242" s="16" t="inlineStr">
        <is>
          <t>Backend</t>
        </is>
      </c>
      <c r="C1242" s="17" t="inlineStr">
        <is>
          <t>catalog-service</t>
        </is>
      </c>
      <c r="D1242" s="16" t="inlineStr">
        <is>
          <t>Unit</t>
        </is>
      </c>
      <c r="E1242" s="17" t="inlineStr">
        <is>
          <t>MediaUseCasesTest › CapLuotTai</t>
        </is>
      </c>
      <c r="F1242" s="17" t="inlineStr">
        <is>
          <t>Cấp lượt tải ảnh bìa</t>
        </is>
      </c>
      <c r="G1242" s="17" t="inlineStr">
        <is>
          <t>kiểu không nằm trong danh sách trắng: 422 POSTER_URL_INVALID và không ký gì</t>
        </is>
      </c>
      <c r="H1242" s="17" t="inlineStr">
        <is>
          <t>kieu_khong_cho_phep(String)[10]</t>
        </is>
      </c>
      <c r="I1242" s="16" t="inlineStr">
        <is>
          <t>Đạt</t>
        </is>
      </c>
      <c r="J1242" s="16" t="n">
        <v>0.004</v>
      </c>
    </row>
    <row r="1243">
      <c r="A1243" s="16" t="n">
        <v>1239</v>
      </c>
      <c r="B1243" s="16" t="inlineStr">
        <is>
          <t>Backend</t>
        </is>
      </c>
      <c r="C1243" s="17" t="inlineStr">
        <is>
          <t>catalog-service</t>
        </is>
      </c>
      <c r="D1243" s="16" t="inlineStr">
        <is>
          <t>Unit</t>
        </is>
      </c>
      <c r="E1243" s="17" t="inlineStr">
        <is>
          <t>MediaUseCasesTest › CapLuotTai</t>
        </is>
      </c>
      <c r="F1243" s="17" t="inlineStr">
        <is>
          <t>Cấp lượt tải ảnh bìa</t>
        </is>
      </c>
      <c r="G1243" s="17" t="inlineStr">
        <is>
          <t>kiểu null: 422, không NullPointerException</t>
        </is>
      </c>
      <c r="H1243" s="17" t="inlineStr">
        <is>
          <t>kieu_null</t>
        </is>
      </c>
      <c r="I1243" s="16" t="inlineStr">
        <is>
          <t>Đạt</t>
        </is>
      </c>
      <c r="J1243" s="16" t="n">
        <v>0.005</v>
      </c>
    </row>
    <row r="1244">
      <c r="A1244" s="16" t="n">
        <v>1240</v>
      </c>
      <c r="B1244" s="16" t="inlineStr">
        <is>
          <t>Backend</t>
        </is>
      </c>
      <c r="C1244" s="17" t="inlineStr">
        <is>
          <t>catalog-service</t>
        </is>
      </c>
      <c r="D1244" s="16" t="inlineStr">
        <is>
          <t>Unit</t>
        </is>
      </c>
      <c r="E1244" s="17" t="inlineStr">
        <is>
          <t>MediaUseCasesTest › CapLuotTai</t>
        </is>
      </c>
      <c r="F1244" s="17" t="inlineStr">
        <is>
          <t>Cấp lượt tải ảnh bìa</t>
        </is>
      </c>
      <c r="G1244" s="17" t="inlineStr">
        <is>
          <t>không đủ quyền: không ký URL nào</t>
        </is>
      </c>
      <c r="H1244" s="17" t="inlineStr">
        <is>
          <t>khong_du_quyen</t>
        </is>
      </c>
      <c r="I1244" s="16" t="inlineStr">
        <is>
          <t>Đạt</t>
        </is>
      </c>
      <c r="J1244" s="16" t="n">
        <v>0.008</v>
      </c>
    </row>
    <row r="1245">
      <c r="A1245" s="16" t="n">
        <v>1241</v>
      </c>
      <c r="B1245" s="16" t="inlineStr">
        <is>
          <t>Backend</t>
        </is>
      </c>
      <c r="C1245" s="17" t="inlineStr">
        <is>
          <t>catalog-service</t>
        </is>
      </c>
      <c r="D1245" s="16" t="inlineStr">
        <is>
          <t>Unit</t>
        </is>
      </c>
      <c r="E1245" s="17" t="inlineStr">
        <is>
          <t>MediaUseCasesTest › DuongBien</t>
        </is>
      </c>
      <c r="F1245" s="17" t="inlineStr">
        <is>
          <t>Chính sách URL ảnh — đường biên</t>
        </is>
      </c>
      <c r="G1245" s="17" t="inlineStr">
        <is>
          <t>khoảng trắng hai đầu bị cắt trước khi kiểm và trước khi lưu</t>
        </is>
      </c>
      <c r="H1245" s="17" t="inlineStr">
        <is>
          <t>cat_khoang_trang</t>
        </is>
      </c>
      <c r="I1245" s="16" t="inlineStr">
        <is>
          <t>Đạt</t>
        </is>
      </c>
      <c r="J1245" s="16" t="n">
        <v>0.005</v>
      </c>
    </row>
    <row r="1246">
      <c r="A1246" s="16" t="n">
        <v>1242</v>
      </c>
      <c r="B1246" s="16" t="inlineStr">
        <is>
          <t>Backend</t>
        </is>
      </c>
      <c r="C1246" s="17" t="inlineStr">
        <is>
          <t>catalog-service</t>
        </is>
      </c>
      <c r="D1246" s="16" t="inlineStr">
        <is>
          <t>Unit</t>
        </is>
      </c>
      <c r="E1246" s="17" t="inlineStr">
        <is>
          <t>MediaUseCasesTest › DuongBien</t>
        </is>
      </c>
      <c r="F1246" s="17" t="inlineStr">
        <is>
          <t>Chính sách URL ảnh — đường biên</t>
        </is>
      </c>
      <c r="G1246" s="17" t="inlineStr">
        <is>
          <t>vật thể của mình nhưng kiểu thật là text/html: từ chối VÀ xoá</t>
        </is>
      </c>
      <c r="H1246" s="17" t="inlineStr">
        <is>
          <t>html_gia_anh</t>
        </is>
      </c>
      <c r="I1246" s="16" t="inlineStr">
        <is>
          <t>Đạt</t>
        </is>
      </c>
      <c r="J1246" s="16" t="n">
        <v>0.004</v>
      </c>
    </row>
    <row r="1247">
      <c r="A1247" s="16" t="n">
        <v>1243</v>
      </c>
      <c r="B1247" s="16" t="inlineStr">
        <is>
          <t>Backend</t>
        </is>
      </c>
      <c r="C1247" s="17" t="inlineStr">
        <is>
          <t>catalog-service</t>
        </is>
      </c>
      <c r="D1247" s="16" t="inlineStr">
        <is>
          <t>Unit</t>
        </is>
      </c>
      <c r="E1247" s="17" t="inlineStr">
        <is>
          <t>MediaUseCasesTest › DuongBien</t>
        </is>
      </c>
      <c r="F1247" s="17" t="inlineStr">
        <is>
          <t>Chính sách URL ảnh — đường biên</t>
        </is>
      </c>
      <c r="G1247" s="17" t="inlineStr">
        <is>
          <t>ảnh đúng bằng trần kích thước vẫn được nhận; vượt một byte thì 413</t>
        </is>
      </c>
      <c r="H1247" s="17" t="inlineStr">
        <is>
          <t>bien_kich_thuoc</t>
        </is>
      </c>
      <c r="I1247" s="16" t="inlineStr">
        <is>
          <t>Đạt</t>
        </is>
      </c>
      <c r="J1247" s="16" t="n">
        <v>0.005</v>
      </c>
    </row>
    <row r="1248">
      <c r="A1248" s="16" t="n">
        <v>1244</v>
      </c>
      <c r="B1248" s="16" t="inlineStr">
        <is>
          <t>Backend</t>
        </is>
      </c>
      <c r="C1248" s="17" t="inlineStr">
        <is>
          <t>catalog-service</t>
        </is>
      </c>
      <c r="D1248" s="16" t="inlineStr">
        <is>
          <t>Unit</t>
        </is>
      </c>
      <c r="E1248" s="17" t="inlineStr">
        <is>
          <t>MediaUseCasesTest › DuongBien</t>
        </is>
      </c>
      <c r="F1248" s="17" t="inlineStr">
        <is>
          <t>Chính sách URL ảnh — đường biên</t>
        </is>
      </c>
      <c r="G1248" s="17" t="inlineStr">
        <is>
          <t>URL sai cú pháp: 422 chứ không URISyntaxException</t>
        </is>
      </c>
      <c r="H1248" s="17" t="inlineStr">
        <is>
          <t>sai_cu_phap</t>
        </is>
      </c>
      <c r="I1248" s="16" t="inlineStr">
        <is>
          <t>Đạt</t>
        </is>
      </c>
      <c r="J1248" s="16" t="n">
        <v>0.004</v>
      </c>
    </row>
    <row r="1249">
      <c r="A1249" s="16" t="n">
        <v>1245</v>
      </c>
      <c r="B1249" s="16" t="inlineStr">
        <is>
          <t>Backend</t>
        </is>
      </c>
      <c r="C1249" s="17" t="inlineStr">
        <is>
          <t>catalog-service</t>
        </is>
      </c>
      <c r="D1249" s="16" t="inlineStr">
        <is>
          <t>Unit</t>
        </is>
      </c>
      <c r="E1249" s="17" t="inlineStr">
        <is>
          <t>MediaUseCasesTest › DuongBien</t>
        </is>
      </c>
      <c r="F1249" s="17" t="inlineStr">
        <is>
          <t>Chính sách URL ảnh — đường biên</t>
        </is>
      </c>
      <c r="G1249" s="17" t="inlineStr">
        <is>
          <t>scheme không phải https: 422, không chạm kho</t>
        </is>
      </c>
      <c r="H1249" s="17" t="inlineStr">
        <is>
          <t>scheme_nguy_hiem(String)[1]</t>
        </is>
      </c>
      <c r="I1249" s="16" t="inlineStr">
        <is>
          <t>Đạt</t>
        </is>
      </c>
      <c r="J1249" s="16" t="n">
        <v>0.005</v>
      </c>
    </row>
    <row r="1250">
      <c r="A1250" s="16" t="n">
        <v>1246</v>
      </c>
      <c r="B1250" s="16" t="inlineStr">
        <is>
          <t>Backend</t>
        </is>
      </c>
      <c r="C1250" s="17" t="inlineStr">
        <is>
          <t>catalog-service</t>
        </is>
      </c>
      <c r="D1250" s="16" t="inlineStr">
        <is>
          <t>Unit</t>
        </is>
      </c>
      <c r="E1250" s="17" t="inlineStr">
        <is>
          <t>MediaUseCasesTest › DuongBien</t>
        </is>
      </c>
      <c r="F1250" s="17" t="inlineStr">
        <is>
          <t>Chính sách URL ảnh — đường biên</t>
        </is>
      </c>
      <c r="G1250" s="17" t="inlineStr">
        <is>
          <t>scheme không phải https: 422, không chạm kho</t>
        </is>
      </c>
      <c r="H1250" s="17" t="inlineStr">
        <is>
          <t>scheme_nguy_hiem(String)[2]</t>
        </is>
      </c>
      <c r="I1250" s="16" t="inlineStr">
        <is>
          <t>Đạt</t>
        </is>
      </c>
      <c r="J1250" s="16" t="n">
        <v>0.003</v>
      </c>
    </row>
    <row r="1251">
      <c r="A1251" s="16" t="n">
        <v>1247</v>
      </c>
      <c r="B1251" s="16" t="inlineStr">
        <is>
          <t>Backend</t>
        </is>
      </c>
      <c r="C1251" s="17" t="inlineStr">
        <is>
          <t>catalog-service</t>
        </is>
      </c>
      <c r="D1251" s="16" t="inlineStr">
        <is>
          <t>Unit</t>
        </is>
      </c>
      <c r="E1251" s="17" t="inlineStr">
        <is>
          <t>MediaUseCasesTest › DuongBien</t>
        </is>
      </c>
      <c r="F1251" s="17" t="inlineStr">
        <is>
          <t>Chính sách URL ảnh — đường biên</t>
        </is>
      </c>
      <c r="G1251" s="17" t="inlineStr">
        <is>
          <t>scheme không phải https: 422, không chạm kho</t>
        </is>
      </c>
      <c r="H1251" s="17" t="inlineStr">
        <is>
          <t>scheme_nguy_hiem(String)[3]</t>
        </is>
      </c>
      <c r="I1251" s="16" t="inlineStr">
        <is>
          <t>Đạt</t>
        </is>
      </c>
      <c r="J1251" s="16" t="n">
        <v>0.005</v>
      </c>
    </row>
    <row r="1252">
      <c r="A1252" s="16" t="n">
        <v>1248</v>
      </c>
      <c r="B1252" s="16" t="inlineStr">
        <is>
          <t>Backend</t>
        </is>
      </c>
      <c r="C1252" s="17" t="inlineStr">
        <is>
          <t>catalog-service</t>
        </is>
      </c>
      <c r="D1252" s="16" t="inlineStr">
        <is>
          <t>Unit</t>
        </is>
      </c>
      <c r="E1252" s="17" t="inlineStr">
        <is>
          <t>MediaUseCasesTest › DuongBien</t>
        </is>
      </c>
      <c r="F1252" s="17" t="inlineStr">
        <is>
          <t>Chính sách URL ảnh — đường biên</t>
        </is>
      </c>
      <c r="G1252" s="17" t="inlineStr">
        <is>
          <t>scheme không phải https: 422, không chạm kho</t>
        </is>
      </c>
      <c r="H1252" s="17" t="inlineStr">
        <is>
          <t>scheme_nguy_hiem(String)[4]</t>
        </is>
      </c>
      <c r="I1252" s="16" t="inlineStr">
        <is>
          <t>Đạt</t>
        </is>
      </c>
      <c r="J1252" s="16" t="n">
        <v>0.002</v>
      </c>
    </row>
    <row r="1253">
      <c r="A1253" s="16" t="n">
        <v>1249</v>
      </c>
      <c r="B1253" s="16" t="inlineStr">
        <is>
          <t>Backend</t>
        </is>
      </c>
      <c r="C1253" s="17" t="inlineStr">
        <is>
          <t>catalog-service</t>
        </is>
      </c>
      <c r="D1253" s="16" t="inlineStr">
        <is>
          <t>Unit</t>
        </is>
      </c>
      <c r="E1253" s="17" t="inlineStr">
        <is>
          <t>MediaUseCasesTest › DuongBien</t>
        </is>
      </c>
      <c r="F1253" s="17" t="inlineStr">
        <is>
          <t>Chính sách URL ảnh — đường biên</t>
        </is>
      </c>
      <c r="G1253" s="17" t="inlineStr">
        <is>
          <t>scheme không phải https: 422, không chạm kho</t>
        </is>
      </c>
      <c r="H1253" s="17" t="inlineStr">
        <is>
          <t>scheme_nguy_hiem(String)[5]</t>
        </is>
      </c>
      <c r="I1253" s="16" t="inlineStr">
        <is>
          <t>Đạt</t>
        </is>
      </c>
      <c r="J1253" s="16" t="n">
        <v>0.003</v>
      </c>
    </row>
    <row r="1254">
      <c r="A1254" s="16" t="n">
        <v>1250</v>
      </c>
      <c r="B1254" s="16" t="inlineStr">
        <is>
          <t>Backend</t>
        </is>
      </c>
      <c r="C1254" s="17" t="inlineStr">
        <is>
          <t>catalog-service</t>
        </is>
      </c>
      <c r="D1254" s="16" t="inlineStr">
        <is>
          <t>Unit</t>
        </is>
      </c>
      <c r="E1254" s="17" t="inlineStr">
        <is>
          <t>MediaUseCasesTest › DuongBien</t>
        </is>
      </c>
      <c r="F1254" s="17" t="inlineStr">
        <is>
          <t>Chính sách URL ảnh — đường biên</t>
        </is>
      </c>
      <c r="G1254" s="17" t="inlineStr">
        <is>
          <t>scheme không phải https: 422, không chạm kho</t>
        </is>
      </c>
      <c r="H1254" s="17" t="inlineStr">
        <is>
          <t>scheme_nguy_hiem(String)[6]</t>
        </is>
      </c>
      <c r="I1254" s="16" t="inlineStr">
        <is>
          <t>Đạt</t>
        </is>
      </c>
      <c r="J1254" s="16" t="n">
        <v>0.003</v>
      </c>
    </row>
    <row r="1255">
      <c r="A1255" s="16" t="n">
        <v>1251</v>
      </c>
      <c r="B1255" s="16" t="inlineStr">
        <is>
          <t>Backend</t>
        </is>
      </c>
      <c r="C1255" s="17" t="inlineStr">
        <is>
          <t>catalog-service</t>
        </is>
      </c>
      <c r="D1255" s="16" t="inlineStr">
        <is>
          <t>Unit</t>
        </is>
      </c>
      <c r="E1255" s="17" t="inlineStr">
        <is>
          <t>PosterUrlPolicyTest</t>
        </is>
      </c>
      <c r="F1255" s="17" t="inlineStr"/>
      <c r="G1255" s="17" t="inlineStr">
        <is>
          <t>ảnh SVG hệ thống tự vẽ đi qua — và KHÔNG bị xoá</t>
        </is>
      </c>
      <c r="H1255" s="17" t="inlineStr">
        <is>
          <t>chap_nhan_svg_tu_sinh</t>
        </is>
      </c>
      <c r="I1255" s="16" t="inlineStr">
        <is>
          <t>Đạt</t>
        </is>
      </c>
      <c r="J1255" s="16" t="n">
        <v>0.003</v>
      </c>
    </row>
    <row r="1256">
      <c r="A1256" s="16" t="n">
        <v>1252</v>
      </c>
      <c r="B1256" s="16" t="inlineStr">
        <is>
          <t>Backend</t>
        </is>
      </c>
      <c r="C1256" s="17" t="inlineStr">
        <is>
          <t>catalog-service</t>
        </is>
      </c>
      <c r="D1256" s="16" t="inlineStr">
        <is>
          <t>Unit</t>
        </is>
      </c>
      <c r="E1256" s="17" t="inlineStr">
        <is>
          <t>PosterUrlPolicyTest</t>
        </is>
      </c>
      <c r="F1256" s="17" t="inlineStr"/>
      <c r="G1256" s="17" t="inlineStr">
        <is>
          <t>SVG vẫn KHÔNG được phép tải lên từ trình duyệt</t>
        </is>
      </c>
      <c r="H1256" s="17" t="inlineStr">
        <is>
          <t>svg_khong_nam_trong_danh_sach_tai_len</t>
        </is>
      </c>
      <c r="I1256" s="16" t="inlineStr">
        <is>
          <t>Đạt</t>
        </is>
      </c>
      <c r="J1256" s="16" t="n">
        <v>0.007</v>
      </c>
    </row>
    <row r="1257">
      <c r="A1257" s="16" t="n">
        <v>1253</v>
      </c>
      <c r="B1257" s="16" t="inlineStr">
        <is>
          <t>Backend</t>
        </is>
      </c>
      <c r="C1257" s="17" t="inlineStr">
        <is>
          <t>catalog-service</t>
        </is>
      </c>
      <c r="D1257" s="16" t="inlineStr">
        <is>
          <t>Unit</t>
        </is>
      </c>
      <c r="E1257" s="17" t="inlineStr">
        <is>
          <t>PosterUrlPolicyTest</t>
        </is>
      </c>
      <c r="F1257" s="17" t="inlineStr"/>
      <c r="G1257" s="17" t="inlineStr">
        <is>
          <t>ảnh hợp lệ của mình đi qua nguyên vẹn</t>
        </is>
      </c>
      <c r="H1257" s="17" t="inlineStr">
        <is>
          <t>chap_nhan_anh_hop_le</t>
        </is>
      </c>
      <c r="I1257" s="16" t="inlineStr">
        <is>
          <t>Đạt</t>
        </is>
      </c>
      <c r="J1257" s="16" t="n">
        <v>0.003</v>
      </c>
    </row>
    <row r="1258">
      <c r="A1258" s="16" t="n">
        <v>1254</v>
      </c>
      <c r="B1258" s="16" t="inlineStr">
        <is>
          <t>Backend</t>
        </is>
      </c>
      <c r="C1258" s="17" t="inlineStr">
        <is>
          <t>catalog-service</t>
        </is>
      </c>
      <c r="D1258" s="16" t="inlineStr">
        <is>
          <t>Unit</t>
        </is>
      </c>
      <c r="E1258" s="17" t="inlineStr">
        <is>
          <t>PosterUrlPolicyTest</t>
        </is>
      </c>
      <c r="F1258" s="17" t="inlineStr"/>
      <c r="G1258" s="17" t="inlineStr">
        <is>
          <t>ảnh ngoài đi qua khi cấu hình bật, và KHÔNG bị hỏi kho vật thể</t>
        </is>
      </c>
      <c r="H1258" s="17" t="inlineStr">
        <is>
          <t>cho_anh_ngoai_khi_bat</t>
        </is>
      </c>
      <c r="I1258" s="16" t="inlineStr">
        <is>
          <t>Đạt</t>
        </is>
      </c>
      <c r="J1258" s="16" t="n">
        <v>0.002</v>
      </c>
    </row>
    <row r="1259">
      <c r="A1259" s="16" t="n">
        <v>1255</v>
      </c>
      <c r="B1259" s="16" t="inlineStr">
        <is>
          <t>Backend</t>
        </is>
      </c>
      <c r="C1259" s="17" t="inlineStr">
        <is>
          <t>catalog-service</t>
        </is>
      </c>
      <c r="D1259" s="16" t="inlineStr">
        <is>
          <t>Unit</t>
        </is>
      </c>
      <c r="E1259" s="17" t="inlineStr">
        <is>
          <t>PosterUrlPolicyTest</t>
        </is>
      </c>
      <c r="F1259" s="17" t="inlineStr"/>
      <c r="G1259" s="17" t="inlineStr">
        <is>
          <t>ảnh SVG quá cỡ vẫn bị chặn như mọi ảnh khác</t>
        </is>
      </c>
      <c r="H1259" s="17" t="inlineStr">
        <is>
          <t>svg_van_chiu_tran_kich_thuoc</t>
        </is>
      </c>
      <c r="I1259" s="16" t="inlineStr">
        <is>
          <t>Đạt</t>
        </is>
      </c>
      <c r="J1259" s="16" t="n">
        <v>0.003</v>
      </c>
    </row>
    <row r="1260">
      <c r="A1260" s="16" t="n">
        <v>1256</v>
      </c>
      <c r="B1260" s="16" t="inlineStr">
        <is>
          <t>Backend</t>
        </is>
      </c>
      <c r="C1260" s="17" t="inlineStr">
        <is>
          <t>catalog-service</t>
        </is>
      </c>
      <c r="D1260" s="16" t="inlineStr">
        <is>
          <t>Unit</t>
        </is>
      </c>
      <c r="E1260" s="17" t="inlineStr">
        <is>
          <t>PosterUrlPolicyTest</t>
        </is>
      </c>
      <c r="F1260" s="17" t="inlineStr"/>
      <c r="G1260" s="17" t="inlineStr">
        <is>
          <t>null là không đổi gì, chuỗi rỗng là xoá ảnh — hai thứ KHÁC nhau</t>
        </is>
      </c>
      <c r="H1260" s="17" t="inlineStr">
        <is>
          <t>null_khac_chuoi_rong</t>
        </is>
      </c>
      <c r="I1260" s="16" t="inlineStr">
        <is>
          <t>Đạt</t>
        </is>
      </c>
      <c r="J1260" s="16" t="n">
        <v>0.005</v>
      </c>
    </row>
    <row r="1261">
      <c r="A1261" s="16" t="n">
        <v>1257</v>
      </c>
      <c r="B1261" s="16" t="inlineStr">
        <is>
          <t>Backend</t>
        </is>
      </c>
      <c r="C1261" s="17" t="inlineStr">
        <is>
          <t>catalog-service</t>
        </is>
      </c>
      <c r="D1261" s="16" t="inlineStr">
        <is>
          <t>Unit</t>
        </is>
      </c>
      <c r="E1261" s="17" t="inlineStr">
        <is>
          <t>PosterUrlPolicyTest</t>
        </is>
      </c>
      <c r="F1261" s="17" t="inlineStr"/>
      <c r="G1261" s="17" t="inlineStr">
        <is>
          <t>định dạng lạ bị từ chối và cũng bị xoá</t>
        </is>
      </c>
      <c r="H1261" s="17" t="inlineStr">
        <is>
          <t>xoa_dinh_dang_la</t>
        </is>
      </c>
      <c r="I1261" s="16" t="inlineStr">
        <is>
          <t>Đạt</t>
        </is>
      </c>
      <c r="J1261" s="16" t="n">
        <v>0.005</v>
      </c>
    </row>
    <row r="1262">
      <c r="A1262" s="16" t="n">
        <v>1258</v>
      </c>
      <c r="B1262" s="16" t="inlineStr">
        <is>
          <t>Backend</t>
        </is>
      </c>
      <c r="C1262" s="17" t="inlineStr">
        <is>
          <t>catalog-service</t>
        </is>
      </c>
      <c r="D1262" s="16" t="inlineStr">
        <is>
          <t>Unit</t>
        </is>
      </c>
      <c r="E1262" s="17" t="inlineStr">
        <is>
          <t>PosterUrlPolicyTest</t>
        </is>
      </c>
      <c r="F1262" s="17" t="inlineStr"/>
      <c r="G1262" s="17" t="inlineStr">
        <is>
          <t>ảnh của mình nhưng chưa ai tải lên thì bị từ chối</t>
        </is>
      </c>
      <c r="H1262" s="17" t="inlineStr">
        <is>
          <t>tu_choi_khi_chua_tai_len</t>
        </is>
      </c>
      <c r="I1262" s="16" t="inlineStr">
        <is>
          <t>Đạt</t>
        </is>
      </c>
      <c r="J1262" s="16" t="n">
        <v>0.005</v>
      </c>
    </row>
    <row r="1263">
      <c r="A1263" s="16" t="n">
        <v>1259</v>
      </c>
      <c r="B1263" s="16" t="inlineStr">
        <is>
          <t>Backend</t>
        </is>
      </c>
      <c r="C1263" s="17" t="inlineStr">
        <is>
          <t>catalog-service</t>
        </is>
      </c>
      <c r="D1263" s="16" t="inlineStr">
        <is>
          <t>Unit</t>
        </is>
      </c>
      <c r="E1263" s="17" t="inlineStr">
        <is>
          <t>PosterUrlPolicyTest</t>
        </is>
      </c>
      <c r="F1263" s="17" t="inlineStr"/>
      <c r="G1263" s="17" t="inlineStr">
        <is>
          <t>ảnh ngoài bị từ chối khi cấu hình tắt</t>
        </is>
      </c>
      <c r="H1263" s="17" t="inlineStr">
        <is>
          <t>tu_choi_anh_ngoai_khi_tat</t>
        </is>
      </c>
      <c r="I1263" s="16" t="inlineStr">
        <is>
          <t>Đạt</t>
        </is>
      </c>
      <c r="J1263" s="16" t="n">
        <v>0.005</v>
      </c>
    </row>
    <row r="1264">
      <c r="A1264" s="16" t="n">
        <v>1260</v>
      </c>
      <c r="B1264" s="16" t="inlineStr">
        <is>
          <t>Backend</t>
        </is>
      </c>
      <c r="C1264" s="17" t="inlineStr">
        <is>
          <t>catalog-service</t>
        </is>
      </c>
      <c r="D1264" s="16" t="inlineStr">
        <is>
          <t>Unit</t>
        </is>
      </c>
      <c r="E1264" s="17" t="inlineStr">
        <is>
          <t>PosterUrlPolicyTest</t>
        </is>
      </c>
      <c r="F1264" s="17" t="inlineStr"/>
      <c r="G1264" s="17" t="inlineStr">
        <is>
          <t>ảnh vượt trần bị từ chối VÀ bị xoá khỏi kho</t>
        </is>
      </c>
      <c r="H1264" s="17" t="inlineStr">
        <is>
          <t>xoa_anh_qua_co</t>
        </is>
      </c>
      <c r="I1264" s="16" t="inlineStr">
        <is>
          <t>Đạt</t>
        </is>
      </c>
      <c r="J1264" s="16" t="n">
        <v>0.004</v>
      </c>
    </row>
    <row r="1265">
      <c r="A1265" s="16" t="n">
        <v>1261</v>
      </c>
      <c r="B1265" s="16" t="inlineStr">
        <is>
          <t>Backend</t>
        </is>
      </c>
      <c r="C1265" s="17" t="inlineStr">
        <is>
          <t>catalog-service</t>
        </is>
      </c>
      <c r="D1265" s="16" t="inlineStr">
        <is>
          <t>Unit</t>
        </is>
      </c>
      <c r="E1265" s="17" t="inlineStr">
        <is>
          <t>PosterUrlPolicyTest</t>
        </is>
      </c>
      <c r="F1265" s="17" t="inlineStr"/>
      <c r="G1265" s="17" t="inlineStr">
        <is>
          <t>http bị từ chối — trình duyệt chặn im lặng ảnh http trên trang https</t>
        </is>
      </c>
      <c r="H1265" s="17" t="inlineStr">
        <is>
          <t>tu_choi_http</t>
        </is>
      </c>
      <c r="I1265" s="16" t="inlineStr">
        <is>
          <t>Đạt</t>
        </is>
      </c>
      <c r="J1265" s="16" t="n">
        <v>0.004</v>
      </c>
    </row>
    <row r="1266">
      <c r="A1266" s="16" t="n">
        <v>1262</v>
      </c>
      <c r="B1266" s="16" t="inlineStr">
        <is>
          <t>Backend</t>
        </is>
      </c>
      <c r="C1266" s="17" t="inlineStr">
        <is>
          <t>catalog-service</t>
        </is>
      </c>
      <c r="D1266" s="16" t="inlineStr">
        <is>
          <t>Unit</t>
        </is>
      </c>
      <c r="E1266" s="17" t="inlineStr">
        <is>
          <t>CatalogReadModelsTest › BanChay</t>
        </is>
      </c>
      <c r="F1266" s="17" t="inlineStr">
        <is>
          <t>Bán chạy</t>
        </is>
      </c>
      <c r="G1266" s="17" t="inlineStr">
        <is>
          <t>giữ đúng thứ tự xếp hạng của analytics</t>
        </is>
      </c>
      <c r="H1266" s="17" t="inlineStr">
        <is>
          <t>giu_thu_tu</t>
        </is>
      </c>
      <c r="I1266" s="16" t="inlineStr">
        <is>
          <t>Đạt</t>
        </is>
      </c>
      <c r="J1266" s="16" t="n">
        <v>0.005</v>
      </c>
    </row>
    <row r="1267">
      <c r="A1267" s="16" t="n">
        <v>1263</v>
      </c>
      <c r="B1267" s="16" t="inlineStr">
        <is>
          <t>Backend</t>
        </is>
      </c>
      <c r="C1267" s="17" t="inlineStr">
        <is>
          <t>catalog-service</t>
        </is>
      </c>
      <c r="D1267" s="16" t="inlineStr">
        <is>
          <t>Unit</t>
        </is>
      </c>
      <c r="E1267" s="17" t="inlineStr">
        <is>
          <t>CatalogReadModelsTest › BanChay</t>
        </is>
      </c>
      <c r="F1267" s="17" t="inlineStr">
        <is>
          <t>Bán chạy</t>
        </is>
      </c>
      <c r="G1267" s="17" t="inlineStr">
        <is>
          <t>analytics chết: trả rỗng, không lấp bằng sự kiện bán chậm, không 5xx</t>
        </is>
      </c>
      <c r="H1267" s="17" t="inlineStr">
        <is>
          <t>analytics_chet</t>
        </is>
      </c>
      <c r="I1267" s="16" t="inlineStr">
        <is>
          <t>Đạt</t>
        </is>
      </c>
      <c r="J1267" s="16" t="n">
        <v>0.006</v>
      </c>
    </row>
    <row r="1268">
      <c r="A1268" s="16" t="n">
        <v>1264</v>
      </c>
      <c r="B1268" s="16" t="inlineStr">
        <is>
          <t>Backend</t>
        </is>
      </c>
      <c r="C1268" s="17" t="inlineStr">
        <is>
          <t>catalog-service</t>
        </is>
      </c>
      <c r="D1268" s="16" t="inlineStr">
        <is>
          <t>Unit</t>
        </is>
      </c>
      <c r="E1268" s="17" t="inlineStr">
        <is>
          <t>CatalogReadModelsTest › BangDieuKhien</t>
        </is>
      </c>
      <c r="F1268" s="17" t="inlineStr">
        <is>
          <t>Bảng điều khiển của tổ chức</t>
        </is>
      </c>
      <c r="G1268" s="17" t="inlineStr">
        <is>
          <t>master data: inventory chết thì seating null, degraded có inventory, phần catalog vẫn đủ</t>
        </is>
      </c>
      <c r="H1268" s="17" t="inlineStr">
        <is>
          <t>master_data_inventory_chet</t>
        </is>
      </c>
      <c r="I1268" s="16" t="inlineStr">
        <is>
          <t>Đạt</t>
        </is>
      </c>
      <c r="J1268" s="16" t="n">
        <v>0.179</v>
      </c>
    </row>
    <row r="1269">
      <c r="A1269" s="16" t="n">
        <v>1265</v>
      </c>
      <c r="B1269" s="16" t="inlineStr">
        <is>
          <t>Backend</t>
        </is>
      </c>
      <c r="C1269" s="17" t="inlineStr">
        <is>
          <t>catalog-service</t>
        </is>
      </c>
      <c r="D1269" s="16" t="inlineStr">
        <is>
          <t>Unit</t>
        </is>
      </c>
      <c r="E1269" s="17" t="inlineStr">
        <is>
          <t>CatalogReadModelsTest › BangDieuKhien</t>
        </is>
      </c>
      <c r="F1269" s="17" t="inlineStr">
        <is>
          <t>Bảng điều khiển của tổ chức</t>
        </is>
      </c>
      <c r="G1269" s="17" t="inlineStr">
        <is>
          <t>tổng quan: đếm theo trạng thái, cộng sức chứa, gộp doanh số theo sự kiện</t>
        </is>
      </c>
      <c r="H1269" s="17" t="inlineStr">
        <is>
          <t>tong_quan</t>
        </is>
      </c>
      <c r="I1269" s="16" t="inlineStr">
        <is>
          <t>Đạt</t>
        </is>
      </c>
      <c r="J1269" s="16" t="n">
        <v>0.062</v>
      </c>
    </row>
    <row r="1270">
      <c r="A1270" s="16" t="n">
        <v>1266</v>
      </c>
      <c r="B1270" s="16" t="inlineStr">
        <is>
          <t>Backend</t>
        </is>
      </c>
      <c r="C1270" s="17" t="inlineStr">
        <is>
          <t>catalog-service</t>
        </is>
      </c>
      <c r="D1270" s="16" t="inlineStr">
        <is>
          <t>Unit</t>
        </is>
      </c>
      <c r="E1270" s="17" t="inlineStr">
        <is>
          <t>CatalogReadModelsTest › BangDieuKhien</t>
        </is>
      </c>
      <c r="F1270" s="17" t="inlineStr">
        <is>
          <t>Bảng điều khiển của tổ chức</t>
        </is>
      </c>
      <c r="G1270" s="17" t="inlineStr">
        <is>
          <t>master data: sự kiện của tổ chức khác → 404 trước khi hỏi service khác</t>
        </is>
      </c>
      <c r="H1270" s="17" t="inlineStr">
        <is>
          <t>master_data_khong_thuoc</t>
        </is>
      </c>
      <c r="I1270" s="16" t="inlineStr">
        <is>
          <t>Đạt</t>
        </is>
      </c>
      <c r="J1270" s="16" t="n">
        <v>0.007</v>
      </c>
    </row>
    <row r="1271">
      <c r="A1271" s="16" t="n">
        <v>1267</v>
      </c>
      <c r="B1271" s="16" t="inlineStr">
        <is>
          <t>Backend</t>
        </is>
      </c>
      <c r="C1271" s="17" t="inlineStr">
        <is>
          <t>catalog-service</t>
        </is>
      </c>
      <c r="D1271" s="16" t="inlineStr">
        <is>
          <t>Unit</t>
        </is>
      </c>
      <c r="E1271" s="17" t="inlineStr">
        <is>
          <t>CatalogReadModelsTest › BangDieuKhien</t>
        </is>
      </c>
      <c r="F1271" s="17" t="inlineStr">
        <is>
          <t>Bảng điều khiển của tổ chức</t>
        </is>
      </c>
      <c r="G1271" s="17" t="inlineStr">
        <is>
          <t>master data: suất chưa lên bán (inventory trả rỗng) không phải lỗi, không degraded</t>
        </is>
      </c>
      <c r="H1271" s="17" t="inlineStr">
        <is>
          <t>master_data_chua_len_ban</t>
        </is>
      </c>
      <c r="I1271" s="16" t="inlineStr">
        <is>
          <t>Đạt</t>
        </is>
      </c>
      <c r="J1271" s="16" t="n">
        <v>0.024</v>
      </c>
    </row>
    <row r="1272">
      <c r="A1272" s="16" t="n">
        <v>1268</v>
      </c>
      <c r="B1272" s="16" t="inlineStr">
        <is>
          <t>Backend</t>
        </is>
      </c>
      <c r="C1272" s="17" t="inlineStr">
        <is>
          <t>catalog-service</t>
        </is>
      </c>
      <c r="D1272" s="16" t="inlineStr">
        <is>
          <t>Unit</t>
        </is>
      </c>
      <c r="E1272" s="17" t="inlineStr">
        <is>
          <t>CatalogReadModelsTest › BangDieuKhien</t>
        </is>
      </c>
      <c r="F1272" s="17" t="inlineStr">
        <is>
          <t>Bảng điều khiển của tổ chức</t>
        </is>
      </c>
      <c r="G1272" s="17" t="inlineStr">
        <is>
          <t>master data: cộng trạng thái ghế theo khu thành tổng của suất</t>
        </is>
      </c>
      <c r="H1272" s="17" t="inlineStr">
        <is>
          <t>master_data_cong_ghe</t>
        </is>
      </c>
      <c r="I1272" s="16" t="inlineStr">
        <is>
          <t>Đạt</t>
        </is>
      </c>
      <c r="J1272" s="16" t="n">
        <v>0.048</v>
      </c>
    </row>
    <row r="1273">
      <c r="A1273" s="16" t="n">
        <v>1269</v>
      </c>
      <c r="B1273" s="16" t="inlineStr">
        <is>
          <t>Backend</t>
        </is>
      </c>
      <c r="C1273" s="17" t="inlineStr">
        <is>
          <t>catalog-service</t>
        </is>
      </c>
      <c r="D1273" s="16" t="inlineStr">
        <is>
          <t>Unit</t>
        </is>
      </c>
      <c r="E1273" s="17" t="inlineStr">
        <is>
          <t>CatalogReadModelsTest › BangDieuKhien</t>
        </is>
      </c>
      <c r="F1273" s="17" t="inlineStr">
        <is>
          <t>Bảng điều khiển của tổ chức</t>
        </is>
      </c>
      <c r="G1273" s="17" t="inlineStr">
        <is>
          <t>analytics chết: doanh số rỗng và degraded nêu tên service — không báo 0đ như thật</t>
        </is>
      </c>
      <c r="H1273" s="17" t="inlineStr">
        <is>
          <t>analytics_chet</t>
        </is>
      </c>
      <c r="I1273" s="16" t="inlineStr">
        <is>
          <t>Đạt</t>
        </is>
      </c>
      <c r="J1273" s="16" t="n">
        <v>0.005</v>
      </c>
    </row>
    <row r="1274">
      <c r="A1274" s="16" t="n">
        <v>1270</v>
      </c>
      <c r="B1274" s="16" t="inlineStr">
        <is>
          <t>Backend</t>
        </is>
      </c>
      <c r="C1274" s="17" t="inlineStr">
        <is>
          <t>catalog-service</t>
        </is>
      </c>
      <c r="D1274" s="16" t="inlineStr">
        <is>
          <t>Unit</t>
        </is>
      </c>
      <c r="E1274" s="17" t="inlineStr">
        <is>
          <t>CatalogReadModelsTest › BangDieuKhien</t>
        </is>
      </c>
      <c r="F1274" s="17" t="inlineStr">
        <is>
          <t>Bảng điều khiển của tổ chức</t>
        </is>
      </c>
      <c r="G1274" s="17" t="inlineStr">
        <is>
          <t>không đủ quyền: không hỏi analytics, không đọc sự kiện</t>
        </is>
      </c>
      <c r="H1274" s="17" t="inlineStr">
        <is>
          <t>khong_du_quyen</t>
        </is>
      </c>
      <c r="I1274" s="16" t="inlineStr">
        <is>
          <t>Đạt</t>
        </is>
      </c>
      <c r="J1274" s="16" t="n">
        <v>0.01</v>
      </c>
    </row>
    <row r="1275">
      <c r="A1275" s="16" t="n">
        <v>1271</v>
      </c>
      <c r="B1275" s="16" t="inlineStr">
        <is>
          <t>Backend</t>
        </is>
      </c>
      <c r="C1275" s="17" t="inlineStr">
        <is>
          <t>catalog-service</t>
        </is>
      </c>
      <c r="D1275" s="16" t="inlineStr">
        <is>
          <t>Unit</t>
        </is>
      </c>
      <c r="E1275" s="17" t="inlineStr">
        <is>
          <t>CatalogReadModelsTest › DocKhung</t>
        </is>
      </c>
      <c r="F1275" s="17" t="inlineStr">
        <is>
          <t>Khung concert — đường đọc</t>
        </is>
      </c>
      <c r="G1275" s="17" t="inlineStr">
        <is>
          <t>khu vực nền tảng: không phải superadmin thì 403, không đọc kho</t>
        </is>
      </c>
      <c r="H1275" s="17" t="inlineStr">
        <is>
          <t>khong_phai_superadmin</t>
        </is>
      </c>
      <c r="I1275" s="16" t="inlineStr">
        <is>
          <t>Đạt</t>
        </is>
      </c>
      <c r="J1275" s="16" t="n">
        <v>0.394</v>
      </c>
    </row>
    <row r="1276">
      <c r="A1276" s="16" t="n">
        <v>1272</v>
      </c>
      <c r="B1276" s="16" t="inlineStr">
        <is>
          <t>Backend</t>
        </is>
      </c>
      <c r="C1276" s="17" t="inlineStr">
        <is>
          <t>catalog-service</t>
        </is>
      </c>
      <c r="D1276" s="16" t="inlineStr">
        <is>
          <t>Unit</t>
        </is>
      </c>
      <c r="E1276" s="17" t="inlineStr">
        <is>
          <t>CatalogReadModelsTest › DocKhung</t>
        </is>
      </c>
      <c r="F1276" s="17" t="inlineStr">
        <is>
          <t>Khung concert — đường đọc</t>
        </is>
      </c>
      <c r="G1276" s="17" t="inlineStr">
        <is>
          <t>trạng thái lạ bị từ chối có mã thay vì trả về mọi khung</t>
        </is>
      </c>
      <c r="H1276" s="17" t="inlineStr">
        <is>
          <t>trang_thai_la</t>
        </is>
      </c>
      <c r="I1276" s="16" t="inlineStr">
        <is>
          <t>Đạt</t>
        </is>
      </c>
      <c r="J1276" s="16" t="n">
        <v>0.004</v>
      </c>
    </row>
    <row r="1277">
      <c r="A1277" s="16" t="n">
        <v>1273</v>
      </c>
      <c r="B1277" s="16" t="inlineStr">
        <is>
          <t>Backend</t>
        </is>
      </c>
      <c r="C1277" s="17" t="inlineStr">
        <is>
          <t>catalog-service</t>
        </is>
      </c>
      <c r="D1277" s="16" t="inlineStr">
        <is>
          <t>Unit</t>
        </is>
      </c>
      <c r="E1277" s="17" t="inlineStr">
        <is>
          <t>CatalogReadModelsTest › DocKhung</t>
        </is>
      </c>
      <c r="F1277" s="17" t="inlineStr">
        <is>
          <t>Khung concert — đường đọc</t>
        </is>
      </c>
      <c r="G1277" s="17" t="inlineStr">
        <is>
          <t>danh sách cho tổ chức chỉ hỏi khung ACTIVE</t>
        </is>
      </c>
      <c r="H1277" s="17" t="inlineStr">
        <is>
          <t>danh_sach_active</t>
        </is>
      </c>
      <c r="I1277" s="16" t="inlineStr">
        <is>
          <t>Đạt</t>
        </is>
      </c>
      <c r="J1277" s="16" t="n">
        <v>0.008999999999999999</v>
      </c>
    </row>
    <row r="1278">
      <c r="A1278" s="16" t="n">
        <v>1274</v>
      </c>
      <c r="B1278" s="16" t="inlineStr">
        <is>
          <t>Backend</t>
        </is>
      </c>
      <c r="C1278" s="17" t="inlineStr">
        <is>
          <t>catalog-service</t>
        </is>
      </c>
      <c r="D1278" s="16" t="inlineStr">
        <is>
          <t>Unit</t>
        </is>
      </c>
      <c r="E1278" s="17" t="inlineStr">
        <is>
          <t>CatalogReadModelsTest › DocKhung</t>
        </is>
      </c>
      <c r="F1278" s="17" t="inlineStr">
        <is>
          <t>Khung concert — đường đọc</t>
        </is>
      </c>
      <c r="G1278" s="17" t="inlineStr">
        <is>
          <t>tổ chức hỏi khung DRAFT hoặc ARCHIVED: 404 như thể không tồn tại</t>
        </is>
      </c>
      <c r="H1278" s="17" t="inlineStr">
        <is>
          <t>khung_khong_active</t>
        </is>
      </c>
      <c r="I1278" s="16" t="inlineStr">
        <is>
          <t>Đạt</t>
        </is>
      </c>
      <c r="J1278" s="16" t="n">
        <v>0.006</v>
      </c>
    </row>
    <row r="1279">
      <c r="A1279" s="16" t="n">
        <v>1275</v>
      </c>
      <c r="B1279" s="16" t="inlineStr">
        <is>
          <t>Backend</t>
        </is>
      </c>
      <c r="C1279" s="17" t="inlineStr">
        <is>
          <t>catalog-service</t>
        </is>
      </c>
      <c r="D1279" s="16" t="inlineStr">
        <is>
          <t>Unit</t>
        </is>
      </c>
      <c r="E1279" s="17" t="inlineStr">
        <is>
          <t>CatalogReadModelsTest › DocKhung</t>
        </is>
      </c>
      <c r="F1279" s="17" t="inlineStr">
        <is>
          <t>Khung concert — đường đọc</t>
        </is>
      </c>
      <c r="G1279" s="17" t="inlineStr">
        <is>
          <t>lọc theo trạng thái không phân biệt hoa thường; bỏ trống là lấy hết</t>
        </is>
      </c>
      <c r="H1279" s="17" t="inlineStr">
        <is>
          <t>loc_trang_thai</t>
        </is>
      </c>
      <c r="I1279" s="16" t="inlineStr">
        <is>
          <t>Đạt</t>
        </is>
      </c>
      <c r="J1279" s="16" t="n">
        <v>0.004</v>
      </c>
    </row>
    <row r="1280">
      <c r="A1280" s="16" t="n">
        <v>1276</v>
      </c>
      <c r="B1280" s="16" t="inlineStr">
        <is>
          <t>Backend</t>
        </is>
      </c>
      <c r="C1280" s="17" t="inlineStr">
        <is>
          <t>catalog-service</t>
        </is>
      </c>
      <c r="D1280" s="16" t="inlineStr">
        <is>
          <t>Unit</t>
        </is>
      </c>
      <c r="E1280" s="17" t="inlineStr">
        <is>
          <t>CatalogReadModelsTest › GiaChoOrdering</t>
        </is>
      </c>
      <c r="F1280" s="17" t="inlineStr">
        <is>
          <t>Giá cho ordering</t>
        </is>
      </c>
      <c r="G1280" s="17" t="inlineStr">
        <is>
          <t>hoa hồng lấy từ cấu hình phía server, giảm giá 0 khi không có mã</t>
        </is>
      </c>
      <c r="H1280" s="17" t="inlineStr">
        <is>
          <t>hoa_hong_tu_server</t>
        </is>
      </c>
      <c r="I1280" s="16" t="inlineStr">
        <is>
          <t>Đạt</t>
        </is>
      </c>
      <c r="J1280" s="16" t="n">
        <v>0.008999999999999999</v>
      </c>
    </row>
    <row r="1281">
      <c r="A1281" s="16" t="n">
        <v>1277</v>
      </c>
      <c r="B1281" s="16" t="inlineStr">
        <is>
          <t>Backend</t>
        </is>
      </c>
      <c r="C1281" s="17" t="inlineStr">
        <is>
          <t>catalog-service</t>
        </is>
      </c>
      <c r="D1281" s="16" t="inlineStr">
        <is>
          <t>Unit</t>
        </is>
      </c>
      <c r="E1281" s="17" t="inlineStr">
        <is>
          <t>CatalogReadModelsTest › GiaChoOrdering</t>
        </is>
      </c>
      <c r="F1281" s="17" t="inlineStr">
        <is>
          <t>Giá cho ordering</t>
        </is>
      </c>
      <c r="G1281" s="17" t="inlineStr">
        <is>
          <t>có mã khuyến mãi (chưa hỗ trợ): 422 PROMOTION_INVALID, không âm thầm bỏ qua</t>
        </is>
      </c>
      <c r="H1281" s="17" t="inlineStr">
        <is>
          <t>co_ma</t>
        </is>
      </c>
      <c r="I1281" s="16" t="inlineStr">
        <is>
          <t>Đạt</t>
        </is>
      </c>
      <c r="J1281" s="16" t="n">
        <v>0.004</v>
      </c>
    </row>
    <row r="1282">
      <c r="A1282" s="16" t="n">
        <v>1278</v>
      </c>
      <c r="B1282" s="16" t="inlineStr">
        <is>
          <t>Backend</t>
        </is>
      </c>
      <c r="C1282" s="17" t="inlineStr">
        <is>
          <t>catalog-service</t>
        </is>
      </c>
      <c r="D1282" s="16" t="inlineStr">
        <is>
          <t>Unit</t>
        </is>
      </c>
      <c r="E1282" s="17" t="inlineStr">
        <is>
          <t>CatalogReadModelsTest › GiaChoOrdering</t>
        </is>
      </c>
      <c r="F1282" s="17" t="inlineStr">
        <is>
          <t>Giá cho ordering</t>
        </is>
      </c>
      <c r="G1282" s="17" t="inlineStr">
        <is>
          <t>mã khuyến mãi rỗng được coi như không nhập</t>
        </is>
      </c>
      <c r="H1282" s="17" t="inlineStr">
        <is>
          <t>ma_rong(String)[1]</t>
        </is>
      </c>
      <c r="I1282" s="16" t="inlineStr">
        <is>
          <t>Đạt</t>
        </is>
      </c>
      <c r="J1282" s="16" t="n">
        <v>0.002</v>
      </c>
    </row>
    <row r="1283">
      <c r="A1283" s="16" t="n">
        <v>1279</v>
      </c>
      <c r="B1283" s="16" t="inlineStr">
        <is>
          <t>Backend</t>
        </is>
      </c>
      <c r="C1283" s="17" t="inlineStr">
        <is>
          <t>catalog-service</t>
        </is>
      </c>
      <c r="D1283" s="16" t="inlineStr">
        <is>
          <t>Unit</t>
        </is>
      </c>
      <c r="E1283" s="17" t="inlineStr">
        <is>
          <t>CatalogReadModelsTest › GiaChoOrdering</t>
        </is>
      </c>
      <c r="F1283" s="17" t="inlineStr">
        <is>
          <t>Giá cho ordering</t>
        </is>
      </c>
      <c r="G1283" s="17" t="inlineStr">
        <is>
          <t>mã khuyến mãi rỗng được coi như không nhập</t>
        </is>
      </c>
      <c r="H1283" s="17" t="inlineStr">
        <is>
          <t>ma_rong(String)[2]</t>
        </is>
      </c>
      <c r="I1283" s="16" t="inlineStr">
        <is>
          <t>Đạt</t>
        </is>
      </c>
      <c r="J1283" s="16" t="n">
        <v>0.002</v>
      </c>
    </row>
    <row r="1284">
      <c r="A1284" s="16" t="n">
        <v>1280</v>
      </c>
      <c r="B1284" s="16" t="inlineStr">
        <is>
          <t>Backend</t>
        </is>
      </c>
      <c r="C1284" s="17" t="inlineStr">
        <is>
          <t>catalog-service</t>
        </is>
      </c>
      <c r="D1284" s="16" t="inlineStr">
        <is>
          <t>Unit</t>
        </is>
      </c>
      <c r="E1284" s="17" t="inlineStr">
        <is>
          <t>CatalogReadModelsTest › GiaChoOrdering</t>
        </is>
      </c>
      <c r="F1284" s="17" t="inlineStr">
        <is>
          <t>Giá cho ordering</t>
        </is>
      </c>
      <c r="G1284" s="17" t="inlineStr">
        <is>
          <t>tạm tính âm: lỗi 4xx có mã, không phải IllegalArgumentException → 500</t>
        </is>
      </c>
      <c r="H1284" s="17" t="inlineStr">
        <is>
          <t>tam_tinh_am</t>
        </is>
      </c>
      <c r="I1284" s="16" t="inlineStr">
        <is>
          <t>Đạt</t>
        </is>
      </c>
      <c r="J1284" s="16" t="n">
        <v>0.006</v>
      </c>
    </row>
    <row r="1285">
      <c r="A1285" s="16" t="n">
        <v>1281</v>
      </c>
      <c r="B1285" s="16" t="inlineStr">
        <is>
          <t>Backend</t>
        </is>
      </c>
      <c r="C1285" s="17" t="inlineStr">
        <is>
          <t>catalog-service</t>
        </is>
      </c>
      <c r="D1285" s="16" t="inlineStr">
        <is>
          <t>Unit</t>
        </is>
      </c>
      <c r="E1285" s="17" t="inlineStr">
        <is>
          <t>CatalogReadModelsTest › GiaChoOrdering</t>
        </is>
      </c>
      <c r="F1285" s="17" t="inlineStr">
        <is>
          <t>Giá cho ordering</t>
        </is>
      </c>
      <c r="G1285" s="17" t="inlineStr">
        <is>
          <t>suất không tồn tại: 404 SESSION_NOT_FOUND</t>
        </is>
      </c>
      <c r="H1285" s="17" t="inlineStr">
        <is>
          <t>suat_khong_ton_tai</t>
        </is>
      </c>
      <c r="I1285" s="16" t="inlineStr">
        <is>
          <t>Đạt</t>
        </is>
      </c>
      <c r="J1285" s="16" t="n">
        <v>0.004</v>
      </c>
    </row>
    <row r="1286">
      <c r="A1286" s="16" t="n">
        <v>1282</v>
      </c>
      <c r="B1286" s="16" t="inlineStr">
        <is>
          <t>Backend</t>
        </is>
      </c>
      <c r="C1286" s="17" t="inlineStr">
        <is>
          <t>catalog-service</t>
        </is>
      </c>
      <c r="D1286" s="16" t="inlineStr">
        <is>
          <t>Unit</t>
        </is>
      </c>
      <c r="E1286" s="17" t="inlineStr">
        <is>
          <t>CatalogReadModelsTest › SuatSoatVe</t>
        </is>
      </c>
      <c r="F1286" s="17" t="inlineStr">
        <is>
          <t>Suất cho soát vé</t>
        </is>
      </c>
      <c r="G1286" s="17" t="inlineStr">
        <is>
          <t>suất không tồn tại: 404</t>
        </is>
      </c>
      <c r="H1286" s="17" t="inlineStr">
        <is>
          <t>khong_ton_tai</t>
        </is>
      </c>
      <c r="I1286" s="16" t="inlineStr">
        <is>
          <t>Đạt</t>
        </is>
      </c>
      <c r="J1286" s="16" t="n">
        <v>0.01</v>
      </c>
    </row>
    <row r="1287">
      <c r="A1287" s="16" t="n">
        <v>1283</v>
      </c>
      <c r="B1287" s="16" t="inlineStr">
        <is>
          <t>Backend</t>
        </is>
      </c>
      <c r="C1287" s="17" t="inlineStr">
        <is>
          <t>catalog-service</t>
        </is>
      </c>
      <c r="D1287" s="16" t="inlineStr">
        <is>
          <t>Unit</t>
        </is>
      </c>
      <c r="E1287" s="17" t="inlineStr">
        <is>
          <t>CatalogReadModelsTest › SuatSoatVe</t>
        </is>
      </c>
      <c r="F1287" s="17" t="inlineStr">
        <is>
          <t>Suất cho soát vé</t>
        </is>
      </c>
      <c r="G1287" s="17" t="inlineStr">
        <is>
          <t>danh bạ suất bọc nguyên danh sách của cổng đọc</t>
        </is>
      </c>
      <c r="H1287" s="17" t="inlineStr">
        <is>
          <t>danh_ba</t>
        </is>
      </c>
      <c r="I1287" s="16" t="inlineStr">
        <is>
          <t>Đạt</t>
        </is>
      </c>
      <c r="J1287" s="16" t="n">
        <v>0.048</v>
      </c>
    </row>
    <row r="1288">
      <c r="A1288" s="16" t="n">
        <v>1284</v>
      </c>
      <c r="B1288" s="16" t="inlineStr">
        <is>
          <t>Backend</t>
        </is>
      </c>
      <c r="C1288" s="17" t="inlineStr">
        <is>
          <t>catalog-service</t>
        </is>
      </c>
      <c r="D1288" s="16" t="inlineStr">
        <is>
          <t>Unit</t>
        </is>
      </c>
      <c r="E1288" s="17" t="inlineStr">
        <is>
          <t>SessionPublishedPayloadTest</t>
        </is>
      </c>
      <c r="F1288" s="17" t="inlineStr"/>
      <c r="G1288" s="17" t="inlineStr">
        <is>
          <t>mã chỗ không trùng nhau — đây là khoá duy nhất bên Inventory</t>
        </is>
      </c>
      <c r="H1288" s="17" t="inlineStr">
        <is>
          <t>ma_cho_khong_trung_nhau</t>
        </is>
      </c>
      <c r="I1288" s="16" t="inlineStr">
        <is>
          <t>Đạt</t>
        </is>
      </c>
      <c r="J1288" s="16" t="n">
        <v>0.013</v>
      </c>
    </row>
    <row r="1289">
      <c r="A1289" s="16" t="n">
        <v>1285</v>
      </c>
      <c r="B1289" s="16" t="inlineStr">
        <is>
          <t>Backend</t>
        </is>
      </c>
      <c r="C1289" s="17" t="inlineStr">
        <is>
          <t>catalog-service</t>
        </is>
      </c>
      <c r="D1289" s="16" t="inlineStr">
        <is>
          <t>Unit</t>
        </is>
      </c>
      <c r="E1289" s="17" t="inlineStr">
        <is>
          <t>SessionPublishedPayloadTest</t>
        </is>
      </c>
      <c r="F1289" s="17" t="inlineStr"/>
      <c r="G1289" s="17" t="inlineStr">
        <is>
          <t>hạng vé trỏ vào khu của địa điểm khác thì dừng lại, không publish nửa vời</t>
        </is>
      </c>
      <c r="H1289" s="17" t="inlineStr">
        <is>
          <t>hang_ve_tro_sai_khu_thi_dung_lai</t>
        </is>
      </c>
      <c r="I1289" s="16" t="inlineStr">
        <is>
          <t>Đạt</t>
        </is>
      </c>
      <c r="J1289" s="16" t="n">
        <v>0.007</v>
      </c>
    </row>
    <row r="1290">
      <c r="A1290" s="16" t="n">
        <v>1286</v>
      </c>
      <c r="B1290" s="16" t="inlineStr">
        <is>
          <t>Backend</t>
        </is>
      </c>
      <c r="C1290" s="17" t="inlineStr">
        <is>
          <t>catalog-service</t>
        </is>
      </c>
      <c r="D1290" s="16" t="inlineStr">
        <is>
          <t>Unit</t>
        </is>
      </c>
      <c r="E1290" s="17" t="inlineStr">
        <is>
          <t>SessionPublishedPayloadTest</t>
        </is>
      </c>
      <c r="F1290" s="17" t="inlineStr"/>
      <c r="G1290" s="17" t="inlineStr">
        <is>
          <t>khu ngồi trải thành từng ghế, đúng số lượng và đúng định dạng mã chỗ</t>
        </is>
      </c>
      <c r="H1290" s="17" t="inlineStr">
        <is>
          <t>khu_ngoi_trai_thanh_tung_ghe</t>
        </is>
      </c>
      <c r="I1290" s="16" t="inlineStr">
        <is>
          <t>Đạt</t>
        </is>
      </c>
      <c r="J1290" s="16" t="n">
        <v>0.005</v>
      </c>
    </row>
    <row r="1291">
      <c r="A1291" s="16" t="n">
        <v>1287</v>
      </c>
      <c r="B1291" s="16" t="inlineStr">
        <is>
          <t>Backend</t>
        </is>
      </c>
      <c r="C1291" s="17" t="inlineStr">
        <is>
          <t>catalog-service</t>
        </is>
      </c>
      <c r="D1291" s="16" t="inlineStr">
        <is>
          <t>Unit</t>
        </is>
      </c>
      <c r="E1291" s="17" t="inlineStr">
        <is>
          <t>SessionPublishedPayloadTest</t>
        </is>
      </c>
      <c r="F1291" s="17" t="inlineStr"/>
      <c r="G1291" s="17" t="inlineStr">
        <is>
          <t>khu cung: mỗi ghế một chỗ, không ghế nào chồng lên ghế nào</t>
        </is>
      </c>
      <c r="H1291" s="17" t="inlineStr">
        <is>
          <t>khu_cung_khong_co_ghe_trung_cho</t>
        </is>
      </c>
      <c r="I1291" s="16" t="inlineStr">
        <is>
          <t>Đạt</t>
        </is>
      </c>
      <c r="J1291" s="16" t="n">
        <v>0.005</v>
      </c>
    </row>
    <row r="1292">
      <c r="A1292" s="16" t="n">
        <v>1288</v>
      </c>
      <c r="B1292" s="16" t="inlineStr">
        <is>
          <t>Backend</t>
        </is>
      </c>
      <c r="C1292" s="17" t="inlineStr">
        <is>
          <t>catalog-service</t>
        </is>
      </c>
      <c r="D1292" s="16" t="inlineStr">
        <is>
          <t>Unit</t>
        </is>
      </c>
      <c r="E1292" s="17" t="inlineStr">
        <is>
          <t>SessionPublishedPayloadTest</t>
        </is>
      </c>
      <c r="F1292" s="17" t="inlineStr"/>
      <c r="G1292" s="17" t="inlineStr">
        <is>
          <t>khu đứng gửi số lượng, không gửi từng đơn vị</t>
        </is>
      </c>
      <c r="H1292" s="17" t="inlineStr">
        <is>
          <t>khu_dung_chi_gui_so_luong</t>
        </is>
      </c>
      <c r="I1292" s="16" t="inlineStr">
        <is>
          <t>Đạt</t>
        </is>
      </c>
      <c r="J1292" s="16" t="n">
        <v>0.003</v>
      </c>
    </row>
    <row r="1293">
      <c r="A1293" s="16" t="n">
        <v>1289</v>
      </c>
      <c r="B1293" s="16" t="inlineStr">
        <is>
          <t>Backend</t>
        </is>
      </c>
      <c r="C1293" s="17" t="inlineStr">
        <is>
          <t>catalog-service</t>
        </is>
      </c>
      <c r="D1293" s="16" t="inlineStr">
        <is>
          <t>Unit</t>
        </is>
      </c>
      <c r="E1293" s="17" t="inlineStr">
        <is>
          <t>SessionPublishedPayloadTest</t>
        </is>
      </c>
      <c r="F1293" s="17" t="inlineStr"/>
      <c r="G1293" s="17" t="inlineStr">
        <is>
          <t>mốc thời gian là chuỗi ISO-8601, không phải số epoch</t>
        </is>
      </c>
      <c r="H1293" s="17" t="inlineStr">
        <is>
          <t>thoi_gian_la_chuoi_iso</t>
        </is>
      </c>
      <c r="I1293" s="16" t="inlineStr">
        <is>
          <t>Đạt</t>
        </is>
      </c>
      <c r="J1293" s="16" t="n">
        <v>0.279</v>
      </c>
    </row>
    <row r="1294">
      <c r="A1294" s="16" t="n">
        <v>1290</v>
      </c>
      <c r="B1294" s="16" t="inlineStr">
        <is>
          <t>Backend</t>
        </is>
      </c>
      <c r="C1294" s="17" t="inlineStr">
        <is>
          <t>catalog-service</t>
        </is>
      </c>
      <c r="D1294" s="16" t="inlineStr">
        <is>
          <t>Unit</t>
        </is>
      </c>
      <c r="E1294" s="17" t="inlineStr">
        <is>
          <t>SessionPublishedPayloadTest</t>
        </is>
      </c>
      <c r="F1294" s="17" t="inlineStr"/>
      <c r="G1294" s="17" t="inlineStr">
        <is>
          <t>toạ độ gửi sang Inventory là toạ độ của mặt bằng, không phải chỉ số hàng/cột</t>
        </is>
      </c>
      <c r="H1294" s="17" t="inlineStr">
        <is>
          <t>toa_do_lay_tu_mat_bang</t>
        </is>
      </c>
      <c r="I1294" s="16" t="inlineStr">
        <is>
          <t>Đạt</t>
        </is>
      </c>
      <c r="J1294" s="16" t="n">
        <v>0.004</v>
      </c>
    </row>
    <row r="1295">
      <c r="A1295" s="16" t="n">
        <v>1291</v>
      </c>
      <c r="B1295" s="16" t="inlineStr">
        <is>
          <t>Backend</t>
        </is>
      </c>
      <c r="C1295" s="17" t="inlineStr">
        <is>
          <t>catalog-service</t>
        </is>
      </c>
      <c r="D1295" s="16" t="inlineStr">
        <is>
          <t>Unit</t>
        </is>
      </c>
      <c r="E1295" s="17" t="inlineStr">
        <is>
          <t>SessionPublishedPayloadTest</t>
        </is>
      </c>
      <c r="F1295" s="17" t="inlineStr"/>
      <c r="G1295" s="17" t="inlineStr">
        <is>
          <t>JSON mang đúng tên field mà inventory-service đọc</t>
        </is>
      </c>
      <c r="H1295" s="17" t="inlineStr">
        <is>
          <t>json_dung_ten_field</t>
        </is>
      </c>
      <c r="I1295" s="16" t="inlineStr">
        <is>
          <t>Đạt</t>
        </is>
      </c>
      <c r="J1295" s="16" t="n">
        <v>0.008999999999999999</v>
      </c>
    </row>
    <row r="1296">
      <c r="A1296" s="16" t="n">
        <v>1292</v>
      </c>
      <c r="B1296" s="16" t="inlineStr">
        <is>
          <t>Backend</t>
        </is>
      </c>
      <c r="C1296" s="17" t="inlineStr">
        <is>
          <t>catalog-service</t>
        </is>
      </c>
      <c r="D1296" s="16" t="inlineStr">
        <is>
          <t>ArchUnit</t>
        </is>
      </c>
      <c r="E1296" s="17" t="inlineStr">
        <is>
          <t>ArchitectureTest</t>
        </is>
      </c>
      <c r="F1296" s="17" t="inlineStr"/>
      <c r="G1296" s="17" t="inlineStr">
        <is>
          <t>domain thuan nghiep vu</t>
        </is>
      </c>
      <c r="H1296" s="17" t="inlineStr">
        <is>
          <t>domain_thuan_nghiep_vu</t>
        </is>
      </c>
      <c r="I1296" s="16" t="inlineStr">
        <is>
          <t>Đạt</t>
        </is>
      </c>
      <c r="J1296" s="16" t="n">
        <v>9.801</v>
      </c>
    </row>
    <row r="1297">
      <c r="A1297" s="16" t="n">
        <v>1293</v>
      </c>
      <c r="B1297" s="16" t="inlineStr">
        <is>
          <t>Backend</t>
        </is>
      </c>
      <c r="C1297" s="17" t="inlineStr">
        <is>
          <t>catalog-service</t>
        </is>
      </c>
      <c r="D1297" s="16" t="inlineStr">
        <is>
          <t>ArchUnit</t>
        </is>
      </c>
      <c r="E1297" s="17" t="inlineStr">
        <is>
          <t>ArchitectureTest</t>
        </is>
      </c>
      <c r="F1297" s="17" t="inlineStr"/>
      <c r="G1297" s="17" t="inlineStr">
        <is>
          <t>chieu phu thuoc hexagonal</t>
        </is>
      </c>
      <c r="H1297" s="17" t="inlineStr">
        <is>
          <t>chieu_phu_thuoc_hexagonal</t>
        </is>
      </c>
      <c r="I1297" s="16" t="inlineStr">
        <is>
          <t>Đạt</t>
        </is>
      </c>
      <c r="J1297" s="16" t="n">
        <v>1.007</v>
      </c>
    </row>
    <row r="1298">
      <c r="A1298" s="16" t="n">
        <v>1294</v>
      </c>
      <c r="B1298" s="16" t="inlineStr">
        <is>
          <t>Backend</t>
        </is>
      </c>
      <c r="C1298" s="17" t="inlineStr">
        <is>
          <t>catalog-service</t>
        </is>
      </c>
      <c r="D1298" s="16" t="inlineStr">
        <is>
          <t>ArchUnit</t>
        </is>
      </c>
      <c r="E1298" s="17" t="inlineStr">
        <is>
          <t>ArchitectureTest</t>
        </is>
      </c>
      <c r="F1298" s="17" t="inlineStr"/>
      <c r="G1298" s="17" t="inlineStr">
        <is>
          <t>khong import cheo context</t>
        </is>
      </c>
      <c r="H1298" s="17" t="inlineStr">
        <is>
          <t>khong_import_cheo_context</t>
        </is>
      </c>
      <c r="I1298" s="16" t="inlineStr">
        <is>
          <t>Đạt</t>
        </is>
      </c>
      <c r="J1298" s="16" t="n">
        <v>0.106</v>
      </c>
    </row>
    <row r="1299">
      <c r="A1299" s="16" t="n">
        <v>1295</v>
      </c>
      <c r="B1299" s="16" t="inlineStr">
        <is>
          <t>Backend</t>
        </is>
      </c>
      <c r="C1299" s="17" t="inlineStr">
        <is>
          <t>catalog-service</t>
        </is>
      </c>
      <c r="D1299" s="16" t="inlineStr">
        <is>
          <t>Unit</t>
        </is>
      </c>
      <c r="E1299" s="17" t="inlineStr">
        <is>
          <t>ConcertTemplateTest</t>
        </is>
      </c>
      <c r="F1299" s="17" t="inlineStr"/>
      <c r="G1299" s="17" t="inlineStr">
        <is>
          <t>khu ngồi thiếu số hàng thì không dựng được khung</t>
        </is>
      </c>
      <c r="H1299" s="17" t="inlineStr">
        <is>
          <t>khu_ngoi_phai_co_so_hang</t>
        </is>
      </c>
      <c r="I1299" s="16" t="inlineStr">
        <is>
          <t>Đạt</t>
        </is>
      </c>
      <c r="J1299" s="16" t="n">
        <v>0.002</v>
      </c>
    </row>
    <row r="1300">
      <c r="A1300" s="16" t="n">
        <v>1296</v>
      </c>
      <c r="B1300" s="16" t="inlineStr">
        <is>
          <t>Backend</t>
        </is>
      </c>
      <c r="C1300" s="17" t="inlineStr">
        <is>
          <t>catalog-service</t>
        </is>
      </c>
      <c r="D1300" s="16" t="inlineStr">
        <is>
          <t>Unit</t>
        </is>
      </c>
      <c r="E1300" s="17" t="inlineStr">
        <is>
          <t>ConcertTemplateTest</t>
        </is>
      </c>
      <c r="F1300" s="17" t="inlineStr"/>
      <c r="G1300" s="17" t="inlineStr">
        <is>
          <t>khu chép từ khung là khu cố định; khu tự dựng thì không</t>
        </is>
      </c>
      <c r="H1300" s="17" t="inlineStr">
        <is>
          <t>khu_chep_tu_khung_la_co_dinh</t>
        </is>
      </c>
      <c r="I1300" s="16" t="inlineStr">
        <is>
          <t>Đạt</t>
        </is>
      </c>
      <c r="J1300" s="16" t="n">
        <v>0.002</v>
      </c>
    </row>
    <row r="1301">
      <c r="A1301" s="16" t="n">
        <v>1297</v>
      </c>
      <c r="B1301" s="16" t="inlineStr">
        <is>
          <t>Backend</t>
        </is>
      </c>
      <c r="C1301" s="17" t="inlineStr">
        <is>
          <t>catalog-service</t>
        </is>
      </c>
      <c r="D1301" s="16" t="inlineStr">
        <is>
          <t>Unit</t>
        </is>
      </c>
      <c r="E1301" s="17" t="inlineStr">
        <is>
          <t>ConcertTemplateTest</t>
        </is>
      </c>
      <c r="F1301" s="17" t="inlineStr"/>
      <c r="G1301" s="17" t="inlineStr">
        <is>
          <t>khung rỗng không mở cho tổ chức dùng được</t>
        </is>
      </c>
      <c r="H1301" s="17" t="inlineStr">
        <is>
          <t>khung_rong_khong_activate_duoc</t>
        </is>
      </c>
      <c r="I1301" s="16" t="inlineStr">
        <is>
          <t>Đạt</t>
        </is>
      </c>
      <c r="J1301" s="16" t="n">
        <v>0.001</v>
      </c>
    </row>
    <row r="1302">
      <c r="A1302" s="16" t="n">
        <v>1298</v>
      </c>
      <c r="B1302" s="16" t="inlineStr">
        <is>
          <t>Backend</t>
        </is>
      </c>
      <c r="C1302" s="17" t="inlineStr">
        <is>
          <t>catalog-service</t>
        </is>
      </c>
      <c r="D1302" s="16" t="inlineStr">
        <is>
          <t>Unit</t>
        </is>
      </c>
      <c r="E1302" s="17" t="inlineStr">
        <is>
          <t>ConcertTemplateTest</t>
        </is>
      </c>
      <c r="F1302" s="17" t="inlineStr"/>
      <c r="G1302" s="17" t="inlineStr">
        <is>
          <t>sức chứa cộng cả khu ngồi lẫn khu đứng</t>
        </is>
      </c>
      <c r="H1302" s="17" t="inlineStr">
        <is>
          <t>suc_chua_cong_ca_hai_loai_khu</t>
        </is>
      </c>
      <c r="I1302" s="16" t="inlineStr">
        <is>
          <t>Đạt</t>
        </is>
      </c>
      <c r="J1302" s="16" t="n">
        <v>0.001</v>
      </c>
    </row>
    <row r="1303">
      <c r="A1303" s="16" t="n">
        <v>1299</v>
      </c>
      <c r="B1303" s="16" t="inlineStr">
        <is>
          <t>Backend</t>
        </is>
      </c>
      <c r="C1303" s="17" t="inlineStr">
        <is>
          <t>catalog-service</t>
        </is>
      </c>
      <c r="D1303" s="16" t="inlineStr">
        <is>
          <t>Unit</t>
        </is>
      </c>
      <c r="E1303" s="17" t="inlineStr">
        <is>
          <t>ConcertTemplateTest</t>
        </is>
      </c>
      <c r="F1303" s="17" t="inlineStr"/>
      <c r="G1303" s="17" t="inlineStr">
        <is>
          <t>giá gợi ý 0 là hợp lệ — đó là vé mời, không phải giá bị bỏ trống</t>
        </is>
      </c>
      <c r="H1303" s="17" t="inlineStr">
        <is>
          <t>gia_goi_y_bang_khong_la_hop_le</t>
        </is>
      </c>
      <c r="I1303" s="16" t="inlineStr">
        <is>
          <t>Đạt</t>
        </is>
      </c>
      <c r="J1303" s="16" t="n">
        <v>0.001</v>
      </c>
    </row>
    <row r="1304">
      <c r="A1304" s="16" t="n">
        <v>1300</v>
      </c>
      <c r="B1304" s="16" t="inlineStr">
        <is>
          <t>Backend</t>
        </is>
      </c>
      <c r="C1304" s="17" t="inlineStr">
        <is>
          <t>catalog-service</t>
        </is>
      </c>
      <c r="D1304" s="16" t="inlineStr">
        <is>
          <t>Unit</t>
        </is>
      </c>
      <c r="E1304" s="17" t="inlineStr">
        <is>
          <t>ConcertTemplateTest</t>
        </is>
      </c>
      <c r="F1304" s="17" t="inlineStr"/>
      <c r="G1304" s="17" t="inlineStr">
        <is>
          <t>thay tập khu là thay cả tập, không phải thêm vào</t>
        </is>
      </c>
      <c r="H1304" s="17" t="inlineStr">
        <is>
          <t>thay_ca_tap</t>
        </is>
      </c>
      <c r="I1304" s="16" t="inlineStr">
        <is>
          <t>Đạt</t>
        </is>
      </c>
      <c r="J1304" s="16" t="n">
        <v>0.001</v>
      </c>
    </row>
    <row r="1305">
      <c r="A1305" s="16" t="n">
        <v>1301</v>
      </c>
      <c r="B1305" s="16" t="inlineStr">
        <is>
          <t>Backend</t>
        </is>
      </c>
      <c r="C1305" s="17" t="inlineStr">
        <is>
          <t>catalog-service</t>
        </is>
      </c>
      <c r="D1305" s="16" t="inlineStr">
        <is>
          <t>Unit</t>
        </is>
      </c>
      <c r="E1305" s="17" t="inlineStr">
        <is>
          <t>ConcertTemplateTest</t>
        </is>
      </c>
      <c r="F1305" s="17" t="inlineStr"/>
      <c r="G1305" s="17" t="inlineStr">
        <is>
          <t>lưu trữ khung không đụng tới khu đã chép sang địa điểm</t>
        </is>
      </c>
      <c r="H1305" s="17" t="inlineStr">
        <is>
          <t>luu_tru_khong_dung_toi_ban_da_chep</t>
        </is>
      </c>
      <c r="I1305" s="16" t="inlineStr">
        <is>
          <t>Đạt</t>
        </is>
      </c>
      <c r="J1305" s="16" t="n">
        <v>0.001</v>
      </c>
    </row>
    <row r="1306">
      <c r="A1306" s="16" t="n">
        <v>1302</v>
      </c>
      <c r="B1306" s="16" t="inlineStr">
        <is>
          <t>Backend</t>
        </is>
      </c>
      <c r="C1306" s="17" t="inlineStr">
        <is>
          <t>catalog-service</t>
        </is>
      </c>
      <c r="D1306" s="16" t="inlineStr">
        <is>
          <t>Unit</t>
        </is>
      </c>
      <c r="E1306" s="17" t="inlineStr">
        <is>
          <t>ConcertTemplateTest</t>
        </is>
      </c>
      <c r="F1306" s="17" t="inlineStr"/>
      <c r="G1306" s="17" t="inlineStr">
        <is>
          <t>mã khu trùng nhau trong một khung bị chặn ngay ở aggregate</t>
        </is>
      </c>
      <c r="H1306" s="17" t="inlineStr">
        <is>
          <t>ma_khu_trung_bi_chan</t>
        </is>
      </c>
      <c r="I1306" s="16" t="inlineStr">
        <is>
          <t>Đạt</t>
        </is>
      </c>
      <c r="J1306" s="16" t="n">
        <v>0.003</v>
      </c>
    </row>
    <row r="1307">
      <c r="A1307" s="16" t="n">
        <v>1303</v>
      </c>
      <c r="B1307" s="16" t="inlineStr">
        <is>
          <t>Backend</t>
        </is>
      </c>
      <c r="C1307" s="17" t="inlineStr">
        <is>
          <t>catalog-service</t>
        </is>
      </c>
      <c r="D1307" s="16" t="inlineStr">
        <is>
          <t>Unit</t>
        </is>
      </c>
      <c r="E1307" s="17" t="inlineStr">
        <is>
          <t>EventLifecycleTest › ChuyenTrangThai</t>
        </is>
      </c>
      <c r="F1307" s="17" t="inlineStr">
        <is>
          <t>Chuyển trạng thái</t>
        </is>
      </c>
      <c r="G1307" s="17" t="inlineStr">
        <is>
          <t>huỷ được từ mọi trạng thái chưa huỷ, và xoá mốc publish</t>
        </is>
      </c>
      <c r="H1307" s="17" t="inlineStr">
        <is>
          <t>huy_tu_moi_trang_thai(EventStatus)[1]</t>
        </is>
      </c>
      <c r="I1307" s="16" t="inlineStr">
        <is>
          <t>Đạt</t>
        </is>
      </c>
      <c r="J1307" s="16" t="n">
        <v>0.002</v>
      </c>
    </row>
    <row r="1308">
      <c r="A1308" s="16" t="n">
        <v>1304</v>
      </c>
      <c r="B1308" s="16" t="inlineStr">
        <is>
          <t>Backend</t>
        </is>
      </c>
      <c r="C1308" s="17" t="inlineStr">
        <is>
          <t>catalog-service</t>
        </is>
      </c>
      <c r="D1308" s="16" t="inlineStr">
        <is>
          <t>Unit</t>
        </is>
      </c>
      <c r="E1308" s="17" t="inlineStr">
        <is>
          <t>EventLifecycleTest › ChuyenTrangThai</t>
        </is>
      </c>
      <c r="F1308" s="17" t="inlineStr">
        <is>
          <t>Chuyển trạng thái</t>
        </is>
      </c>
      <c r="G1308" s="17" t="inlineStr">
        <is>
          <t>huỷ được từ mọi trạng thái chưa huỷ, và xoá mốc publish</t>
        </is>
      </c>
      <c r="H1308" s="17" t="inlineStr">
        <is>
          <t>huy_tu_moi_trang_thai(EventStatus)[2]</t>
        </is>
      </c>
      <c r="I1308" s="16" t="inlineStr">
        <is>
          <t>Đạt</t>
        </is>
      </c>
      <c r="J1308" s="16" t="n">
        <v>0.002</v>
      </c>
    </row>
    <row r="1309">
      <c r="A1309" s="16" t="n">
        <v>1305</v>
      </c>
      <c r="B1309" s="16" t="inlineStr">
        <is>
          <t>Backend</t>
        </is>
      </c>
      <c r="C1309" s="17" t="inlineStr">
        <is>
          <t>catalog-service</t>
        </is>
      </c>
      <c r="D1309" s="16" t="inlineStr">
        <is>
          <t>Unit</t>
        </is>
      </c>
      <c r="E1309" s="17" t="inlineStr">
        <is>
          <t>EventLifecycleTest › ChuyenTrangThai</t>
        </is>
      </c>
      <c r="F1309" s="17" t="inlineStr">
        <is>
          <t>Chuyển trạng thái</t>
        </is>
      </c>
      <c r="G1309" s="17" t="inlineStr">
        <is>
          <t>huỷ được từ mọi trạng thái chưa huỷ, và xoá mốc publish</t>
        </is>
      </c>
      <c r="H1309" s="17" t="inlineStr">
        <is>
          <t>huy_tu_moi_trang_thai(EventStatus)[3]</t>
        </is>
      </c>
      <c r="I1309" s="16" t="inlineStr">
        <is>
          <t>Đạt</t>
        </is>
      </c>
      <c r="J1309" s="16" t="n">
        <v>0.001</v>
      </c>
    </row>
    <row r="1310">
      <c r="A1310" s="16" t="n">
        <v>1306</v>
      </c>
      <c r="B1310" s="16" t="inlineStr">
        <is>
          <t>Backend</t>
        </is>
      </c>
      <c r="C1310" s="17" t="inlineStr">
        <is>
          <t>catalog-service</t>
        </is>
      </c>
      <c r="D1310" s="16" t="inlineStr">
        <is>
          <t>Unit</t>
        </is>
      </c>
      <c r="E1310" s="17" t="inlineStr">
        <is>
          <t>EventLifecycleTest › ChuyenTrangThai</t>
        </is>
      </c>
      <c r="F1310" s="17" t="inlineStr">
        <is>
          <t>Chuyển trạng thái</t>
        </is>
      </c>
      <c r="G1310" s="17" t="inlineStr">
        <is>
          <t>publish ghi đúng mốc thời gian được truyền vào, không tự đọc đồng hồ</t>
        </is>
      </c>
      <c r="H1310" s="17" t="inlineStr">
        <is>
          <t>publish_ghi_moc</t>
        </is>
      </c>
      <c r="I1310" s="16" t="inlineStr">
        <is>
          <t>Đạt</t>
        </is>
      </c>
      <c r="J1310" s="16" t="n">
        <v>0.001</v>
      </c>
    </row>
    <row r="1311">
      <c r="A1311" s="16" t="n">
        <v>1307</v>
      </c>
      <c r="B1311" s="16" t="inlineStr">
        <is>
          <t>Backend</t>
        </is>
      </c>
      <c r="C1311" s="17" t="inlineStr">
        <is>
          <t>catalog-service</t>
        </is>
      </c>
      <c r="D1311" s="16" t="inlineStr">
        <is>
          <t>Unit</t>
        </is>
      </c>
      <c r="E1311" s="17" t="inlineStr">
        <is>
          <t>EventLifecycleTest › ChuyenTrangThai</t>
        </is>
      </c>
      <c r="F1311" s="17" t="inlineStr">
        <is>
          <t>Chuyển trạng thái</t>
        </is>
      </c>
      <c r="G1311" s="17" t="inlineStr">
        <is>
          <t>chỉ bản nháp mới xoá hẳn được — dữ liệu ở service khác sẽ mồ côi</t>
        </is>
      </c>
      <c r="H1311" s="17" t="inlineStr">
        <is>
          <t>chi_ban_nhap_moi_xoa_duoc(EventStatus)[1]</t>
        </is>
      </c>
      <c r="I1311" s="16" t="inlineStr">
        <is>
          <t>Đạt</t>
        </is>
      </c>
      <c r="J1311" s="16" t="n">
        <v>0</v>
      </c>
    </row>
    <row r="1312">
      <c r="A1312" s="16" t="n">
        <v>1308</v>
      </c>
      <c r="B1312" s="16" t="inlineStr">
        <is>
          <t>Backend</t>
        </is>
      </c>
      <c r="C1312" s="17" t="inlineStr">
        <is>
          <t>catalog-service</t>
        </is>
      </c>
      <c r="D1312" s="16" t="inlineStr">
        <is>
          <t>Unit</t>
        </is>
      </c>
      <c r="E1312" s="17" t="inlineStr">
        <is>
          <t>EventLifecycleTest › ChuyenTrangThai</t>
        </is>
      </c>
      <c r="F1312" s="17" t="inlineStr">
        <is>
          <t>Chuyển trạng thái</t>
        </is>
      </c>
      <c r="G1312" s="17" t="inlineStr">
        <is>
          <t>chỉ bản nháp mới xoá hẳn được — dữ liệu ở service khác sẽ mồ côi</t>
        </is>
      </c>
      <c r="H1312" s="17" t="inlineStr">
        <is>
          <t>chi_ban_nhap_moi_xoa_duoc(EventStatus)[2]</t>
        </is>
      </c>
      <c r="I1312" s="16" t="inlineStr">
        <is>
          <t>Đạt</t>
        </is>
      </c>
      <c r="J1312" s="16" t="n">
        <v>0.001</v>
      </c>
    </row>
    <row r="1313">
      <c r="A1313" s="16" t="n">
        <v>1309</v>
      </c>
      <c r="B1313" s="16" t="inlineStr">
        <is>
          <t>Backend</t>
        </is>
      </c>
      <c r="C1313" s="17" t="inlineStr">
        <is>
          <t>catalog-service</t>
        </is>
      </c>
      <c r="D1313" s="16" t="inlineStr">
        <is>
          <t>Unit</t>
        </is>
      </c>
      <c r="E1313" s="17" t="inlineStr">
        <is>
          <t>EventLifecycleTest › ChuyenTrangThai</t>
        </is>
      </c>
      <c r="F1313" s="17" t="inlineStr">
        <is>
          <t>Chuyển trạng thái</t>
        </is>
      </c>
      <c r="G1313" s="17" t="inlineStr">
        <is>
          <t>chỉ bản nháp mới xoá hẳn được — dữ liệu ở service khác sẽ mồ côi</t>
        </is>
      </c>
      <c r="H1313" s="17" t="inlineStr">
        <is>
          <t>chi_ban_nhap_moi_xoa_duoc(EventStatus)[3]</t>
        </is>
      </c>
      <c r="I1313" s="16" t="inlineStr">
        <is>
          <t>Đạt</t>
        </is>
      </c>
      <c r="J1313" s="16" t="n">
        <v>0.001</v>
      </c>
    </row>
    <row r="1314">
      <c r="A1314" s="16" t="n">
        <v>1310</v>
      </c>
      <c r="B1314" s="16" t="inlineStr">
        <is>
          <t>Backend</t>
        </is>
      </c>
      <c r="C1314" s="17" t="inlineStr">
        <is>
          <t>catalog-service</t>
        </is>
      </c>
      <c r="D1314" s="16" t="inlineStr">
        <is>
          <t>Unit</t>
        </is>
      </c>
      <c r="E1314" s="17" t="inlineStr">
        <is>
          <t>EventLifecycleTest › ChuyenTrangThai</t>
        </is>
      </c>
      <c r="F1314" s="17" t="inlineStr">
        <is>
          <t>Chuyển trạng thái</t>
        </is>
      </c>
      <c r="G1314" s="17" t="inlineStr">
        <is>
          <t>khách chỉ thấy PUBLISHED; UNPUBLISHED không phải bản nháp nhưng cũng bị ẩn</t>
        </is>
      </c>
      <c r="H1314" s="17" t="inlineStr">
        <is>
          <t>chi_published_hien_cong_khai</t>
        </is>
      </c>
      <c r="I1314" s="16" t="inlineStr">
        <is>
          <t>Đạt</t>
        </is>
      </c>
      <c r="J1314" s="16" t="n">
        <v>0</v>
      </c>
    </row>
    <row r="1315">
      <c r="A1315" s="16" t="n">
        <v>1311</v>
      </c>
      <c r="B1315" s="16" t="inlineStr">
        <is>
          <t>Backend</t>
        </is>
      </c>
      <c r="C1315" s="17" t="inlineStr">
        <is>
          <t>catalog-service</t>
        </is>
      </c>
      <c r="D1315" s="16" t="inlineStr">
        <is>
          <t>Unit</t>
        </is>
      </c>
      <c r="E1315" s="17" t="inlineStr">
        <is>
          <t>EventLifecycleTest › ChuyenTrangThai</t>
        </is>
      </c>
      <c r="F1315" s="17" t="inlineStr">
        <is>
          <t>Chuyển trạng thái</t>
        </is>
      </c>
      <c r="G1315" s="17" t="inlineStr">
        <is>
          <t>đang bán thì không publish lần nữa</t>
        </is>
      </c>
      <c r="H1315" s="17" t="inlineStr">
        <is>
          <t>khong_publish_hai_lan</t>
        </is>
      </c>
      <c r="I1315" s="16" t="inlineStr">
        <is>
          <t>Đạt</t>
        </is>
      </c>
      <c r="J1315" s="16" t="n">
        <v>0.002</v>
      </c>
    </row>
    <row r="1316">
      <c r="A1316" s="16" t="n">
        <v>1312</v>
      </c>
      <c r="B1316" s="16" t="inlineStr">
        <is>
          <t>Backend</t>
        </is>
      </c>
      <c r="C1316" s="17" t="inlineStr">
        <is>
          <t>catalog-service</t>
        </is>
      </c>
      <c r="D1316" s="16" t="inlineStr">
        <is>
          <t>Unit</t>
        </is>
      </c>
      <c r="E1316" s="17" t="inlineStr">
        <is>
          <t>EventLifecycleTest › ChuyenTrangThai</t>
        </is>
      </c>
      <c r="F1316" s="17" t="inlineStr">
        <is>
          <t>Chuyển trạng thái</t>
        </is>
      </c>
      <c r="G1316" s="17" t="inlineStr">
        <is>
          <t>huỷ là trạng thái cuối: không huỷ lại, không publish lại</t>
        </is>
      </c>
      <c r="H1316" s="17" t="inlineStr">
        <is>
          <t>huy_la_trang_thai_cuoi</t>
        </is>
      </c>
      <c r="I1316" s="16" t="inlineStr">
        <is>
          <t>Đạt</t>
        </is>
      </c>
      <c r="J1316" s="16" t="n">
        <v>0.001</v>
      </c>
    </row>
    <row r="1317">
      <c r="A1317" s="16" t="n">
        <v>1313</v>
      </c>
      <c r="B1317" s="16" t="inlineStr">
        <is>
          <t>Backend</t>
        </is>
      </c>
      <c r="C1317" s="17" t="inlineStr">
        <is>
          <t>catalog-service</t>
        </is>
      </c>
      <c r="D1317" s="16" t="inlineStr">
        <is>
          <t>Unit</t>
        </is>
      </c>
      <c r="E1317" s="17" t="inlineStr">
        <is>
          <t>EventLifecycleTest › ChuyenTrangThai</t>
        </is>
      </c>
      <c r="F1317" s="17" t="inlineStr">
        <is>
          <t>Chuyển trạng thái</t>
        </is>
      </c>
      <c r="G1317" s="17" t="inlineStr">
        <is>
          <t>bản nháp mới tạo ở DRAFT, chưa có mốc publish, và xoá được</t>
        </is>
      </c>
      <c r="H1317" s="17" t="inlineStr">
        <is>
          <t>ban_nhap_moi</t>
        </is>
      </c>
      <c r="I1317" s="16" t="inlineStr">
        <is>
          <t>Đạt</t>
        </is>
      </c>
      <c r="J1317" s="16" t="n">
        <v>0.001</v>
      </c>
    </row>
    <row r="1318">
      <c r="A1318" s="16" t="n">
        <v>1314</v>
      </c>
      <c r="B1318" s="16" t="inlineStr">
        <is>
          <t>Backend</t>
        </is>
      </c>
      <c r="C1318" s="17" t="inlineStr">
        <is>
          <t>catalog-service</t>
        </is>
      </c>
      <c r="D1318" s="16" t="inlineStr">
        <is>
          <t>Unit</t>
        </is>
      </c>
      <c r="E1318" s="17" t="inlineStr">
        <is>
          <t>EventLifecycleTest › ChuyenTrangThai</t>
        </is>
      </c>
      <c r="F1318" s="17" t="inlineStr">
        <is>
          <t>Chuyển trạng thái</t>
        </is>
      </c>
      <c r="G1318" s="17" t="inlineStr">
        <is>
          <t>rút xuống xoá mốc publish — ràng buộc ck_published_at đòi đúng như vậy</t>
        </is>
      </c>
      <c r="H1318" s="17" t="inlineStr">
        <is>
          <t>rut_xuong_xoa_moc</t>
        </is>
      </c>
      <c r="I1318" s="16" t="inlineStr">
        <is>
          <t>Đạt</t>
        </is>
      </c>
      <c r="J1318" s="16" t="n">
        <v>0.001</v>
      </c>
    </row>
    <row r="1319">
      <c r="A1319" s="16" t="n">
        <v>1315</v>
      </c>
      <c r="B1319" s="16" t="inlineStr">
        <is>
          <t>Backend</t>
        </is>
      </c>
      <c r="C1319" s="17" t="inlineStr">
        <is>
          <t>catalog-service</t>
        </is>
      </c>
      <c r="D1319" s="16" t="inlineStr">
        <is>
          <t>Unit</t>
        </is>
      </c>
      <c r="E1319" s="17" t="inlineStr">
        <is>
          <t>EventLifecycleTest › ChuyenTrangThai</t>
        </is>
      </c>
      <c r="F1319" s="17" t="inlineStr">
        <is>
          <t>Chuyển trạng thái</t>
        </is>
      </c>
      <c r="G1319" s="17" t="inlineStr">
        <is>
          <t>chỉ rút xuống được sự kiện đang bán</t>
        </is>
      </c>
      <c r="H1319" s="17" t="inlineStr">
        <is>
          <t>chi_rut_duoc_khi_dang_ban(EventStatus)[1]</t>
        </is>
      </c>
      <c r="I1319" s="16" t="inlineStr">
        <is>
          <t>Đạt</t>
        </is>
      </c>
      <c r="J1319" s="16" t="n">
        <v>0.001</v>
      </c>
    </row>
    <row r="1320">
      <c r="A1320" s="16" t="n">
        <v>1316</v>
      </c>
      <c r="B1320" s="16" t="inlineStr">
        <is>
          <t>Backend</t>
        </is>
      </c>
      <c r="C1320" s="17" t="inlineStr">
        <is>
          <t>catalog-service</t>
        </is>
      </c>
      <c r="D1320" s="16" t="inlineStr">
        <is>
          <t>Unit</t>
        </is>
      </c>
      <c r="E1320" s="17" t="inlineStr">
        <is>
          <t>EventLifecycleTest › ChuyenTrangThai</t>
        </is>
      </c>
      <c r="F1320" s="17" t="inlineStr">
        <is>
          <t>Chuyển trạng thái</t>
        </is>
      </c>
      <c r="G1320" s="17" t="inlineStr">
        <is>
          <t>chỉ rút xuống được sự kiện đang bán</t>
        </is>
      </c>
      <c r="H1320" s="17" t="inlineStr">
        <is>
          <t>chi_rut_duoc_khi_dang_ban(EventStatus)[2]</t>
        </is>
      </c>
      <c r="I1320" s="16" t="inlineStr">
        <is>
          <t>Đạt</t>
        </is>
      </c>
      <c r="J1320" s="16" t="n">
        <v>0.001</v>
      </c>
    </row>
    <row r="1321">
      <c r="A1321" s="16" t="n">
        <v>1317</v>
      </c>
      <c r="B1321" s="16" t="inlineStr">
        <is>
          <t>Backend</t>
        </is>
      </c>
      <c r="C1321" s="17" t="inlineStr">
        <is>
          <t>catalog-service</t>
        </is>
      </c>
      <c r="D1321" s="16" t="inlineStr">
        <is>
          <t>Unit</t>
        </is>
      </c>
      <c r="E1321" s="17" t="inlineStr">
        <is>
          <t>EventLifecycleTest › ChuyenTrangThai</t>
        </is>
      </c>
      <c r="F1321" s="17" t="inlineStr">
        <is>
          <t>Chuyển trạng thái</t>
        </is>
      </c>
      <c r="G1321" s="17" t="inlineStr">
        <is>
          <t>chỉ rút xuống được sự kiện đang bán</t>
        </is>
      </c>
      <c r="H1321" s="17" t="inlineStr">
        <is>
          <t>chi_rut_duoc_khi_dang_ban(EventStatus)[3]</t>
        </is>
      </c>
      <c r="I1321" s="16" t="inlineStr">
        <is>
          <t>Đạt</t>
        </is>
      </c>
      <c r="J1321" s="16" t="n">
        <v>0.001</v>
      </c>
    </row>
    <row r="1322">
      <c r="A1322" s="16" t="n">
        <v>1318</v>
      </c>
      <c r="B1322" s="16" t="inlineStr">
        <is>
          <t>Backend</t>
        </is>
      </c>
      <c r="C1322" s="17" t="inlineStr">
        <is>
          <t>catalog-service</t>
        </is>
      </c>
      <c r="D1322" s="16" t="inlineStr">
        <is>
          <t>Unit</t>
        </is>
      </c>
      <c r="E1322" s="17" t="inlineStr">
        <is>
          <t>EventLifecycleTest › ChuyenTrangThai</t>
        </is>
      </c>
      <c r="F1322" s="17" t="inlineStr">
        <is>
          <t>Chuyển trạng thái</t>
        </is>
      </c>
      <c r="G1322" s="17" t="inlineStr">
        <is>
          <t>rút xuống rồi publish lại được, với mốc mới</t>
        </is>
      </c>
      <c r="H1322" s="17" t="inlineStr">
        <is>
          <t>publish_lai_sau_khi_rut</t>
        </is>
      </c>
      <c r="I1322" s="16" t="inlineStr">
        <is>
          <t>Đạt</t>
        </is>
      </c>
      <c r="J1322" s="16" t="n">
        <v>0.001</v>
      </c>
    </row>
    <row r="1323">
      <c r="A1323" s="16" t="n">
        <v>1319</v>
      </c>
      <c r="B1323" s="16" t="inlineStr">
        <is>
          <t>Backend</t>
        </is>
      </c>
      <c r="C1323" s="17" t="inlineStr">
        <is>
          <t>catalog-service</t>
        </is>
      </c>
      <c r="D1323" s="16" t="inlineStr">
        <is>
          <t>Unit</t>
        </is>
      </c>
      <c r="E1323" s="17" t="inlineStr">
        <is>
          <t>EventLifecycleTest › HangVe</t>
        </is>
      </c>
      <c r="F1323" s="17" t="inlineStr">
        <is>
          <t>Hạng vé</t>
        </is>
      </c>
      <c r="G1323" s="17" t="inlineStr">
        <is>
          <t>tên rỗng bị từ chối</t>
        </is>
      </c>
      <c r="H1323" s="17" t="inlineStr">
        <is>
          <t>ten_rong(String)[1]</t>
        </is>
      </c>
      <c r="I1323" s="16" t="inlineStr">
        <is>
          <t>Đạt</t>
        </is>
      </c>
      <c r="J1323" s="16" t="n">
        <v>0.002</v>
      </c>
    </row>
    <row r="1324">
      <c r="A1324" s="16" t="n">
        <v>1320</v>
      </c>
      <c r="B1324" s="16" t="inlineStr">
        <is>
          <t>Backend</t>
        </is>
      </c>
      <c r="C1324" s="17" t="inlineStr">
        <is>
          <t>catalog-service</t>
        </is>
      </c>
      <c r="D1324" s="16" t="inlineStr">
        <is>
          <t>Unit</t>
        </is>
      </c>
      <c r="E1324" s="17" t="inlineStr">
        <is>
          <t>EventLifecycleTest › HangVe</t>
        </is>
      </c>
      <c r="F1324" s="17" t="inlineStr">
        <is>
          <t>Hạng vé</t>
        </is>
      </c>
      <c r="G1324" s="17" t="inlineStr">
        <is>
          <t>tên rỗng bị từ chối</t>
        </is>
      </c>
      <c r="H1324" s="17" t="inlineStr">
        <is>
          <t>ten_rong(String)[2]</t>
        </is>
      </c>
      <c r="I1324" s="16" t="inlineStr">
        <is>
          <t>Đạt</t>
        </is>
      </c>
      <c r="J1324" s="16" t="n">
        <v>0.002</v>
      </c>
    </row>
    <row r="1325">
      <c r="A1325" s="16" t="n">
        <v>1321</v>
      </c>
      <c r="B1325" s="16" t="inlineStr">
        <is>
          <t>Backend</t>
        </is>
      </c>
      <c r="C1325" s="17" t="inlineStr">
        <is>
          <t>catalog-service</t>
        </is>
      </c>
      <c r="D1325" s="16" t="inlineStr">
        <is>
          <t>Unit</t>
        </is>
      </c>
      <c r="E1325" s="17" t="inlineStr">
        <is>
          <t>EventLifecycleTest › HangVe</t>
        </is>
      </c>
      <c r="F1325" s="17" t="inlineStr">
        <is>
          <t>Hạng vé</t>
        </is>
      </c>
      <c r="G1325" s="17" t="inlineStr">
        <is>
          <t>giá âm bị từ chối</t>
        </is>
      </c>
      <c r="H1325" s="17" t="inlineStr">
        <is>
          <t>gia_am</t>
        </is>
      </c>
      <c r="I1325" s="16" t="inlineStr">
        <is>
          <t>Đạt</t>
        </is>
      </c>
      <c r="J1325" s="16" t="n">
        <v>0.002</v>
      </c>
    </row>
    <row r="1326">
      <c r="A1326" s="16" t="n">
        <v>1322</v>
      </c>
      <c r="B1326" s="16" t="inlineStr">
        <is>
          <t>Backend</t>
        </is>
      </c>
      <c r="C1326" s="17" t="inlineStr">
        <is>
          <t>catalog-service</t>
        </is>
      </c>
      <c r="D1326" s="16" t="inlineStr">
        <is>
          <t>Unit</t>
        </is>
      </c>
      <c r="E1326" s="17" t="inlineStr">
        <is>
          <t>EventLifecycleTest › HangVe</t>
        </is>
      </c>
      <c r="F1326" s="17" t="inlineStr">
        <is>
          <t>Hạng vé</t>
        </is>
      </c>
      <c r="G1326" s="17" t="inlineStr">
        <is>
          <t>giá 0 hợp lệ — vé mời</t>
        </is>
      </c>
      <c r="H1326" s="17" t="inlineStr">
        <is>
          <t>gia_khong</t>
        </is>
      </c>
      <c r="I1326" s="16" t="inlineStr">
        <is>
          <t>Đạt</t>
        </is>
      </c>
      <c r="J1326" s="16" t="n">
        <v>0.002</v>
      </c>
    </row>
    <row r="1327">
      <c r="A1327" s="16" t="n">
        <v>1323</v>
      </c>
      <c r="B1327" s="16" t="inlineStr">
        <is>
          <t>Backend</t>
        </is>
      </c>
      <c r="C1327" s="17" t="inlineStr">
        <is>
          <t>catalog-service</t>
        </is>
      </c>
      <c r="D1327" s="16" t="inlineStr">
        <is>
          <t>Unit</t>
        </is>
      </c>
      <c r="E1327" s="17" t="inlineStr">
        <is>
          <t>EventLifecycleTest › HangVe</t>
        </is>
      </c>
      <c r="F1327" s="17" t="inlineStr">
        <is>
          <t>Hạng vé</t>
        </is>
      </c>
      <c r="G1327" s="17" t="inlineStr">
        <is>
          <t>giá rất lớn vẫn giữ nguyên, không tràn số (long)</t>
        </is>
      </c>
      <c r="H1327" s="17" t="inlineStr">
        <is>
          <t>gia_rat_lon</t>
        </is>
      </c>
      <c r="I1327" s="16" t="inlineStr">
        <is>
          <t>Đạt</t>
        </is>
      </c>
      <c r="J1327" s="16" t="n">
        <v>0.003</v>
      </c>
    </row>
    <row r="1328">
      <c r="A1328" s="16" t="n">
        <v>1324</v>
      </c>
      <c r="B1328" s="16" t="inlineStr">
        <is>
          <t>Backend</t>
        </is>
      </c>
      <c r="C1328" s="17" t="inlineStr">
        <is>
          <t>catalog-service</t>
        </is>
      </c>
      <c r="D1328" s="16" t="inlineStr">
        <is>
          <t>Unit</t>
        </is>
      </c>
      <c r="E1328" s="17" t="inlineStr">
        <is>
          <t>EventLifecycleTest › NoiDung</t>
        </is>
      </c>
      <c r="F1328" s="17" t="inlineStr">
        <is>
          <t>Tạo và sửa nội dung</t>
        </is>
      </c>
      <c r="G1328" s="17" t="inlineStr">
        <is>
          <t>tiêu đề rỗng hoặc toàn khoảng trắng bị từ chối</t>
        </is>
      </c>
      <c r="H1328" s="17" t="inlineStr">
        <is>
          <t>tieu_de_rong(String)[1]</t>
        </is>
      </c>
      <c r="I1328" s="16" t="inlineStr">
        <is>
          <t>Đạt</t>
        </is>
      </c>
      <c r="J1328" s="16" t="n">
        <v>0.003</v>
      </c>
    </row>
    <row r="1329">
      <c r="A1329" s="16" t="n">
        <v>1325</v>
      </c>
      <c r="B1329" s="16" t="inlineStr">
        <is>
          <t>Backend</t>
        </is>
      </c>
      <c r="C1329" s="17" t="inlineStr">
        <is>
          <t>catalog-service</t>
        </is>
      </c>
      <c r="D1329" s="16" t="inlineStr">
        <is>
          <t>Unit</t>
        </is>
      </c>
      <c r="E1329" s="17" t="inlineStr">
        <is>
          <t>EventLifecycleTest › NoiDung</t>
        </is>
      </c>
      <c r="F1329" s="17" t="inlineStr">
        <is>
          <t>Tạo và sửa nội dung</t>
        </is>
      </c>
      <c r="G1329" s="17" t="inlineStr">
        <is>
          <t>tiêu đề rỗng hoặc toàn khoảng trắng bị từ chối</t>
        </is>
      </c>
      <c r="H1329" s="17" t="inlineStr">
        <is>
          <t>tieu_de_rong(String)[2]</t>
        </is>
      </c>
      <c r="I1329" s="16" t="inlineStr">
        <is>
          <t>Đạt</t>
        </is>
      </c>
      <c r="J1329" s="16" t="n">
        <v>0.003</v>
      </c>
    </row>
    <row r="1330">
      <c r="A1330" s="16" t="n">
        <v>1326</v>
      </c>
      <c r="B1330" s="16" t="inlineStr">
        <is>
          <t>Backend</t>
        </is>
      </c>
      <c r="C1330" s="17" t="inlineStr">
        <is>
          <t>catalog-service</t>
        </is>
      </c>
      <c r="D1330" s="16" t="inlineStr">
        <is>
          <t>Unit</t>
        </is>
      </c>
      <c r="E1330" s="17" t="inlineStr">
        <is>
          <t>EventLifecycleTest › NoiDung</t>
        </is>
      </c>
      <c r="F1330" s="17" t="inlineStr">
        <is>
          <t>Tạo và sửa nội dung</t>
        </is>
      </c>
      <c r="G1330" s="17" t="inlineStr">
        <is>
          <t>nội dung do người dùng gõ được giữ nguyên văn — API JSON không tự escape HTML</t>
        </is>
      </c>
      <c r="H1330" s="17" t="inlineStr">
        <is>
          <t>giu_nguyen_noi_dung</t>
        </is>
      </c>
      <c r="I1330" s="16" t="inlineStr">
        <is>
          <t>Đạt</t>
        </is>
      </c>
      <c r="J1330" s="16" t="n">
        <v>0.001</v>
      </c>
    </row>
    <row r="1331">
      <c r="A1331" s="16" t="n">
        <v>1327</v>
      </c>
      <c r="B1331" s="16" t="inlineStr">
        <is>
          <t>Backend</t>
        </is>
      </c>
      <c r="C1331" s="17" t="inlineStr">
        <is>
          <t>catalog-service</t>
        </is>
      </c>
      <c r="D1331" s="16" t="inlineStr">
        <is>
          <t>Unit</t>
        </is>
      </c>
      <c r="E1331" s="17" t="inlineStr">
        <is>
          <t>EventLifecycleTest › NoiDung</t>
        </is>
      </c>
      <c r="F1331" s="17" t="inlineStr">
        <is>
          <t>Tạo và sửa nội dung</t>
        </is>
      </c>
      <c r="G1331" s="17" t="inlineStr">
        <is>
          <t>danh sách suất trả ra là bản sao — sửa nó không đổi được aggregate</t>
        </is>
      </c>
      <c r="H1331" s="17" t="inlineStr">
        <is>
          <t>danh_sach_suat_la_ban_sao</t>
        </is>
      </c>
      <c r="I1331" s="16" t="inlineStr">
        <is>
          <t>Đạt</t>
        </is>
      </c>
      <c r="J1331" s="16" t="n">
        <v>0.002</v>
      </c>
    </row>
    <row r="1332">
      <c r="A1332" s="16" t="n">
        <v>1328</v>
      </c>
      <c r="B1332" s="16" t="inlineStr">
        <is>
          <t>Backend</t>
        </is>
      </c>
      <c r="C1332" s="17" t="inlineStr">
        <is>
          <t>catalog-service</t>
        </is>
      </c>
      <c r="D1332" s="16" t="inlineStr">
        <is>
          <t>Unit</t>
        </is>
      </c>
      <c r="E1332" s="17" t="inlineStr">
        <is>
          <t>EventLifecycleTest › NoiDung</t>
        </is>
      </c>
      <c r="F1332" s="17" t="inlineStr">
        <is>
          <t>Tạo và sửa nội dung</t>
        </is>
      </c>
      <c r="G1332" s="17" t="inlineStr">
        <is>
          <t>rename: null giữ nguyên, chuỗi rỗng xoá tóm tắt/mô tả/ảnh, nhưng KHÔNG xoá tiêu đề</t>
        </is>
      </c>
      <c r="H1332" s="17" t="inlineStr">
        <is>
          <t>rename_la_phep_patch</t>
        </is>
      </c>
      <c r="I1332" s="16" t="inlineStr">
        <is>
          <t>Đạt</t>
        </is>
      </c>
      <c r="J1332" s="16" t="n">
        <v>0.002</v>
      </c>
    </row>
    <row r="1333">
      <c r="A1333" s="16" t="n">
        <v>1329</v>
      </c>
      <c r="B1333" s="16" t="inlineStr">
        <is>
          <t>Backend</t>
        </is>
      </c>
      <c r="C1333" s="17" t="inlineStr">
        <is>
          <t>catalog-service</t>
        </is>
      </c>
      <c r="D1333" s="16" t="inlineStr">
        <is>
          <t>Unit</t>
        </is>
      </c>
      <c r="E1333" s="17" t="inlineStr">
        <is>
          <t>EventLifecycleTest › SlugTest</t>
        </is>
      </c>
      <c r="F1333" s="17" t="inlineStr">
        <is>
          <t>Slug</t>
        </is>
      </c>
      <c r="G1333" s="17" t="inlineStr">
        <is>
          <t>slug dài đúng 96 ký tự hợp lệ, 97 thì không</t>
        </is>
      </c>
      <c r="H1333" s="17" t="inlineStr">
        <is>
          <t>bien_do_dai</t>
        </is>
      </c>
      <c r="I1333" s="16" t="inlineStr">
        <is>
          <t>Đạt</t>
        </is>
      </c>
      <c r="J1333" s="16" t="n">
        <v>0.002</v>
      </c>
    </row>
    <row r="1334">
      <c r="A1334" s="16" t="n">
        <v>1330</v>
      </c>
      <c r="B1334" s="16" t="inlineStr">
        <is>
          <t>Backend</t>
        </is>
      </c>
      <c r="C1334" s="17" t="inlineStr">
        <is>
          <t>catalog-service</t>
        </is>
      </c>
      <c r="D1334" s="16" t="inlineStr">
        <is>
          <t>Unit</t>
        </is>
      </c>
      <c r="E1334" s="17" t="inlineStr">
        <is>
          <t>EventLifecycleTest › SlugTest</t>
        </is>
      </c>
      <c r="F1334" s="17" t="inlineStr">
        <is>
          <t>Slug</t>
        </is>
      </c>
      <c r="G1334" s="17" t="inlineStr">
        <is>
          <t>slug tự gõ sai định dạng bị từ chối</t>
        </is>
      </c>
      <c r="H1334" s="17" t="inlineStr">
        <is>
          <t>slug_sai_dinh_dang(String)[1]</t>
        </is>
      </c>
      <c r="I1334" s="16" t="inlineStr">
        <is>
          <t>Đạt</t>
        </is>
      </c>
      <c r="J1334" s="16" t="n">
        <v>0.001</v>
      </c>
    </row>
    <row r="1335">
      <c r="A1335" s="16" t="n">
        <v>1331</v>
      </c>
      <c r="B1335" s="16" t="inlineStr">
        <is>
          <t>Backend</t>
        </is>
      </c>
      <c r="C1335" s="17" t="inlineStr">
        <is>
          <t>catalog-service</t>
        </is>
      </c>
      <c r="D1335" s="16" t="inlineStr">
        <is>
          <t>Unit</t>
        </is>
      </c>
      <c r="E1335" s="17" t="inlineStr">
        <is>
          <t>EventLifecycleTest › SlugTest</t>
        </is>
      </c>
      <c r="F1335" s="17" t="inlineStr">
        <is>
          <t>Slug</t>
        </is>
      </c>
      <c r="G1335" s="17" t="inlineStr">
        <is>
          <t>slug tự gõ sai định dạng bị từ chối</t>
        </is>
      </c>
      <c r="H1335" s="17" t="inlineStr">
        <is>
          <t>slug_sai_dinh_dang(String)[2]</t>
        </is>
      </c>
      <c r="I1335" s="16" t="inlineStr">
        <is>
          <t>Đạt</t>
        </is>
      </c>
      <c r="J1335" s="16" t="n">
        <v>0.001</v>
      </c>
    </row>
    <row r="1336">
      <c r="A1336" s="16" t="n">
        <v>1332</v>
      </c>
      <c r="B1336" s="16" t="inlineStr">
        <is>
          <t>Backend</t>
        </is>
      </c>
      <c r="C1336" s="17" t="inlineStr">
        <is>
          <t>catalog-service</t>
        </is>
      </c>
      <c r="D1336" s="16" t="inlineStr">
        <is>
          <t>Unit</t>
        </is>
      </c>
      <c r="E1336" s="17" t="inlineStr">
        <is>
          <t>EventLifecycleTest › SlugTest</t>
        </is>
      </c>
      <c r="F1336" s="17" t="inlineStr">
        <is>
          <t>Slug</t>
        </is>
      </c>
      <c r="G1336" s="17" t="inlineStr">
        <is>
          <t>slug tự gõ sai định dạng bị từ chối</t>
        </is>
      </c>
      <c r="H1336" s="17" t="inlineStr">
        <is>
          <t>slug_sai_dinh_dang(String)[3]</t>
        </is>
      </c>
      <c r="I1336" s="16" t="inlineStr">
        <is>
          <t>Đạt</t>
        </is>
      </c>
      <c r="J1336" s="16" t="n">
        <v>0.001</v>
      </c>
    </row>
    <row r="1337">
      <c r="A1337" s="16" t="n">
        <v>1333</v>
      </c>
      <c r="B1337" s="16" t="inlineStr">
        <is>
          <t>Backend</t>
        </is>
      </c>
      <c r="C1337" s="17" t="inlineStr">
        <is>
          <t>catalog-service</t>
        </is>
      </c>
      <c r="D1337" s="16" t="inlineStr">
        <is>
          <t>Unit</t>
        </is>
      </c>
      <c r="E1337" s="17" t="inlineStr">
        <is>
          <t>EventLifecycleTest › SlugTest</t>
        </is>
      </c>
      <c r="F1337" s="17" t="inlineStr">
        <is>
          <t>Slug</t>
        </is>
      </c>
      <c r="G1337" s="17" t="inlineStr">
        <is>
          <t>slug tự gõ sai định dạng bị từ chối</t>
        </is>
      </c>
      <c r="H1337" s="17" t="inlineStr">
        <is>
          <t>slug_sai_dinh_dang(String)[4]</t>
        </is>
      </c>
      <c r="I1337" s="16" t="inlineStr">
        <is>
          <t>Đạt</t>
        </is>
      </c>
      <c r="J1337" s="16" t="n">
        <v>0.001</v>
      </c>
    </row>
    <row r="1338">
      <c r="A1338" s="16" t="n">
        <v>1334</v>
      </c>
      <c r="B1338" s="16" t="inlineStr">
        <is>
          <t>Backend</t>
        </is>
      </c>
      <c r="C1338" s="17" t="inlineStr">
        <is>
          <t>catalog-service</t>
        </is>
      </c>
      <c r="D1338" s="16" t="inlineStr">
        <is>
          <t>Unit</t>
        </is>
      </c>
      <c r="E1338" s="17" t="inlineStr">
        <is>
          <t>EventLifecycleTest › SlugTest</t>
        </is>
      </c>
      <c r="F1338" s="17" t="inlineStr">
        <is>
          <t>Slug</t>
        </is>
      </c>
      <c r="G1338" s="17" t="inlineStr">
        <is>
          <t>slug tự gõ sai định dạng bị từ chối</t>
        </is>
      </c>
      <c r="H1338" s="17" t="inlineStr">
        <is>
          <t>slug_sai_dinh_dang(String)[5]</t>
        </is>
      </c>
      <c r="I1338" s="16" t="inlineStr">
        <is>
          <t>Đạt</t>
        </is>
      </c>
      <c r="J1338" s="16" t="n">
        <v>0.001</v>
      </c>
    </row>
    <row r="1339">
      <c r="A1339" s="16" t="n">
        <v>1335</v>
      </c>
      <c r="B1339" s="16" t="inlineStr">
        <is>
          <t>Backend</t>
        </is>
      </c>
      <c r="C1339" s="17" t="inlineStr">
        <is>
          <t>catalog-service</t>
        </is>
      </c>
      <c r="D1339" s="16" t="inlineStr">
        <is>
          <t>Unit</t>
        </is>
      </c>
      <c r="E1339" s="17" t="inlineStr">
        <is>
          <t>EventLifecycleTest › SlugTest</t>
        </is>
      </c>
      <c r="F1339" s="17" t="inlineStr">
        <is>
          <t>Slug</t>
        </is>
      </c>
      <c r="G1339" s="17" t="inlineStr">
        <is>
          <t>slug tự gõ sai định dạng bị từ chối</t>
        </is>
      </c>
      <c r="H1339" s="17" t="inlineStr">
        <is>
          <t>slug_sai_dinh_dang(String)[6]</t>
        </is>
      </c>
      <c r="I1339" s="16" t="inlineStr">
        <is>
          <t>Đạt</t>
        </is>
      </c>
      <c r="J1339" s="16" t="n">
        <v>0.002</v>
      </c>
    </row>
    <row r="1340">
      <c r="A1340" s="16" t="n">
        <v>1336</v>
      </c>
      <c r="B1340" s="16" t="inlineStr">
        <is>
          <t>Backend</t>
        </is>
      </c>
      <c r="C1340" s="17" t="inlineStr">
        <is>
          <t>catalog-service</t>
        </is>
      </c>
      <c r="D1340" s="16" t="inlineStr">
        <is>
          <t>Unit</t>
        </is>
      </c>
      <c r="E1340" s="17" t="inlineStr">
        <is>
          <t>EventLifecycleTest › SlugTest</t>
        </is>
      </c>
      <c r="F1340" s="17" t="inlineStr">
        <is>
          <t>Slug</t>
        </is>
      </c>
      <c r="G1340" s="17" t="inlineStr">
        <is>
          <t>slug tự gõ sai định dạng bị từ chối</t>
        </is>
      </c>
      <c r="H1340" s="17" t="inlineStr">
        <is>
          <t>slug_sai_dinh_dang(String)[7]</t>
        </is>
      </c>
      <c r="I1340" s="16" t="inlineStr">
        <is>
          <t>Đạt</t>
        </is>
      </c>
      <c r="J1340" s="16" t="n">
        <v>0.001</v>
      </c>
    </row>
    <row r="1341">
      <c r="A1341" s="16" t="n">
        <v>1337</v>
      </c>
      <c r="B1341" s="16" t="inlineStr">
        <is>
          <t>Backend</t>
        </is>
      </c>
      <c r="C1341" s="17" t="inlineStr">
        <is>
          <t>catalog-service</t>
        </is>
      </c>
      <c r="D1341" s="16" t="inlineStr">
        <is>
          <t>Unit</t>
        </is>
      </c>
      <c r="E1341" s="17" t="inlineStr">
        <is>
          <t>EventLifecycleTest › SlugTest</t>
        </is>
      </c>
      <c r="F1341" s="17" t="inlineStr">
        <is>
          <t>Slug</t>
        </is>
      </c>
      <c r="G1341" s="17" t="inlineStr">
        <is>
          <t>slug tự gõ sai định dạng bị từ chối</t>
        </is>
      </c>
      <c r="H1341" s="17" t="inlineStr">
        <is>
          <t>slug_sai_dinh_dang(String)[8]</t>
        </is>
      </c>
      <c r="I1341" s="16" t="inlineStr">
        <is>
          <t>Đạt</t>
        </is>
      </c>
      <c r="J1341" s="16" t="n">
        <v>0.001</v>
      </c>
    </row>
    <row r="1342">
      <c r="A1342" s="16" t="n">
        <v>1338</v>
      </c>
      <c r="B1342" s="16" t="inlineStr">
        <is>
          <t>Backend</t>
        </is>
      </c>
      <c r="C1342" s="17" t="inlineStr">
        <is>
          <t>catalog-service</t>
        </is>
      </c>
      <c r="D1342" s="16" t="inlineStr">
        <is>
          <t>Unit</t>
        </is>
      </c>
      <c r="E1342" s="17" t="inlineStr">
        <is>
          <t>EventLifecycleTest › SlugTest</t>
        </is>
      </c>
      <c r="F1342" s="17" t="inlineStr">
        <is>
          <t>Slug</t>
        </is>
      </c>
      <c r="G1342" s="17" t="inlineStr">
        <is>
          <t>tiêu đề rất dài bị cắt còn tối đa 96 ký tự và không kết thúc bằng gạch nối</t>
        </is>
      </c>
      <c r="H1342" s="17" t="inlineStr">
        <is>
          <t>cat_tieu_de_dai</t>
        </is>
      </c>
      <c r="I1342" s="16" t="inlineStr">
        <is>
          <t>Đạt</t>
        </is>
      </c>
      <c r="J1342" s="16" t="n">
        <v>0.002</v>
      </c>
    </row>
    <row r="1343">
      <c r="A1343" s="16" t="n">
        <v>1339</v>
      </c>
      <c r="B1343" s="16" t="inlineStr">
        <is>
          <t>Backend</t>
        </is>
      </c>
      <c r="C1343" s="17" t="inlineStr">
        <is>
          <t>catalog-service</t>
        </is>
      </c>
      <c r="D1343" s="16" t="inlineStr">
        <is>
          <t>Unit</t>
        </is>
      </c>
      <c r="E1343" s="17" t="inlineStr">
        <is>
          <t>EventLifecycleTest › SlugTest</t>
        </is>
      </c>
      <c r="F1343" s="17" t="inlineStr">
        <is>
          <t>Slug</t>
        </is>
      </c>
      <c r="G1343" s="17" t="inlineStr">
        <is>
          <t>tiêu đề không còn ký tự nào dùng được thì từ chối</t>
        </is>
      </c>
      <c r="H1343" s="17" t="inlineStr">
        <is>
          <t>khong_sinh_duoc</t>
        </is>
      </c>
      <c r="I1343" s="16" t="inlineStr">
        <is>
          <t>Đạt</t>
        </is>
      </c>
      <c r="J1343" s="16" t="n">
        <v>0.002</v>
      </c>
    </row>
    <row r="1344">
      <c r="A1344" s="16" t="n">
        <v>1340</v>
      </c>
      <c r="B1344" s="16" t="inlineStr">
        <is>
          <t>Backend</t>
        </is>
      </c>
      <c r="C1344" s="17" t="inlineStr">
        <is>
          <t>catalog-service</t>
        </is>
      </c>
      <c r="D1344" s="16" t="inlineStr">
        <is>
          <t>Unit</t>
        </is>
      </c>
      <c r="E1344" s="17" t="inlineStr">
        <is>
          <t>EventLifecycleTest › SlugTest</t>
        </is>
      </c>
      <c r="F1344" s="17" t="inlineStr">
        <is>
          <t>Slug</t>
        </is>
      </c>
      <c r="G1344" s="17" t="inlineStr">
        <is>
          <t>sinh từ tiếng Việt có dấu, kể cả chữ Đ</t>
        </is>
      </c>
      <c r="H1344" s="17" t="inlineStr">
        <is>
          <t>sinh_tu_tieng_viet</t>
        </is>
      </c>
      <c r="I1344" s="16" t="inlineStr">
        <is>
          <t>Đạt</t>
        </is>
      </c>
      <c r="J1344" s="16" t="n">
        <v>0.001</v>
      </c>
    </row>
    <row r="1345">
      <c r="A1345" s="16" t="n">
        <v>1341</v>
      </c>
      <c r="B1345" s="16" t="inlineStr">
        <is>
          <t>Backend</t>
        </is>
      </c>
      <c r="C1345" s="17" t="inlineStr">
        <is>
          <t>catalog-service</t>
        </is>
      </c>
      <c r="D1345" s="16" t="inlineStr">
        <is>
          <t>Unit</t>
        </is>
      </c>
      <c r="E1345" s="17" t="inlineStr">
        <is>
          <t>EventLifecycleTest › SuatDien</t>
        </is>
      </c>
      <c r="F1345" s="17" t="inlineStr">
        <is>
          <t>Suất diễn và cửa bán</t>
        </is>
      </c>
      <c r="G1345" s="17" t="inlineStr">
        <is>
          <t>giờ Việt Nam và UTC là cùng một thời điểm: 19:30 ở Hà Nội = 12:30Z</t>
        </is>
      </c>
      <c r="H1345" s="17" t="inlineStr">
        <is>
          <t>mui_gio_viet_nam</t>
        </is>
      </c>
      <c r="I1345" s="16" t="inlineStr">
        <is>
          <t>Đạt</t>
        </is>
      </c>
      <c r="J1345" s="16" t="n">
        <v>0.004</v>
      </c>
    </row>
    <row r="1346">
      <c r="A1346" s="16" t="n">
        <v>1342</v>
      </c>
      <c r="B1346" s="16" t="inlineStr">
        <is>
          <t>Backend</t>
        </is>
      </c>
      <c r="C1346" s="17" t="inlineStr">
        <is>
          <t>catalog-service</t>
        </is>
      </c>
      <c r="D1346" s="16" t="inlineStr">
        <is>
          <t>Unit</t>
        </is>
      </c>
      <c r="E1346" s="17" t="inlineStr">
        <is>
          <t>EventLifecycleTest › SuatDien</t>
        </is>
      </c>
      <c r="F1346" s="17" t="inlineStr">
        <is>
          <t>Suất diễn và cửa bán</t>
        </is>
      </c>
      <c r="G1346" s="17" t="inlineStr">
        <is>
          <t>giá "từ" là giá thấp nhất; không có hạng vé thì null chứ không phải 0</t>
        </is>
      </c>
      <c r="H1346" s="17" t="inlineStr">
        <is>
          <t>gia_tu</t>
        </is>
      </c>
      <c r="I1346" s="16" t="inlineStr">
        <is>
          <t>Đạt</t>
        </is>
      </c>
      <c r="J1346" s="16" t="n">
        <v>0.014</v>
      </c>
    </row>
    <row r="1347">
      <c r="A1347" s="16" t="n">
        <v>1343</v>
      </c>
      <c r="B1347" s="16" t="inlineStr">
        <is>
          <t>Backend</t>
        </is>
      </c>
      <c r="C1347" s="17" t="inlineStr">
        <is>
          <t>catalog-service</t>
        </is>
      </c>
      <c r="D1347" s="16" t="inlineStr">
        <is>
          <t>Unit</t>
        </is>
      </c>
      <c r="E1347" s="17" t="inlineStr">
        <is>
          <t>EventLifecycleTest › SuatDien</t>
        </is>
      </c>
      <c r="F1347" s="17" t="inlineStr">
        <is>
          <t>Suất diễn và cửa bán</t>
        </is>
      </c>
      <c r="G1347" s="17" t="inlineStr">
        <is>
          <t>cửa bán mở đúng giờ diễn — không còn gì để bán trước giờ diễn, không hợp lệ</t>
        </is>
      </c>
      <c r="H1347" s="17" t="inlineStr">
        <is>
          <t>mo_ban_dung_gio_dien</t>
        </is>
      </c>
      <c r="I1347" s="16" t="inlineStr">
        <is>
          <t>Đạt</t>
        </is>
      </c>
      <c r="J1347" s="16" t="n">
        <v>0.001</v>
      </c>
    </row>
    <row r="1348">
      <c r="A1348" s="16" t="n">
        <v>1344</v>
      </c>
      <c r="B1348" s="16" t="inlineStr">
        <is>
          <t>Backend</t>
        </is>
      </c>
      <c r="C1348" s="17" t="inlineStr">
        <is>
          <t>catalog-service</t>
        </is>
      </c>
      <c r="D1348" s="16" t="inlineStr">
        <is>
          <t>Unit</t>
        </is>
      </c>
      <c r="E1348" s="17" t="inlineStr">
        <is>
          <t>EventLifecycleTest › SuatDien</t>
        </is>
      </c>
      <c r="F1348" s="17" t="inlineStr">
        <is>
          <t>Suất diễn và cửa bán</t>
        </is>
      </c>
      <c r="G1348" s="17" t="inlineStr">
        <is>
          <t>domain chấp nhận giờ kết thúc trước giờ bắt đầu — chỉ ghi nhận, không có luật nào chặn</t>
        </is>
      </c>
      <c r="H1348" s="17" t="inlineStr">
        <is>
          <t>gio_ket_thuc_truoc_gio_bat_dau</t>
        </is>
      </c>
      <c r="I1348" s="16" t="inlineStr">
        <is>
          <t>Đạt</t>
        </is>
      </c>
      <c r="J1348" s="16" t="n">
        <v>0.001</v>
      </c>
    </row>
    <row r="1349">
      <c r="A1349" s="16" t="n">
        <v>1345</v>
      </c>
      <c r="B1349" s="16" t="inlineStr">
        <is>
          <t>Backend</t>
        </is>
      </c>
      <c r="C1349" s="17" t="inlineStr">
        <is>
          <t>catalog-service</t>
        </is>
      </c>
      <c r="D1349" s="16" t="inlineStr">
        <is>
          <t>Unit</t>
        </is>
      </c>
      <c r="E1349" s="17" t="inlineStr">
        <is>
          <t>EventLifecycleTest › SuatDien</t>
        </is>
      </c>
      <c r="F1349" s="17" t="inlineStr">
        <is>
          <t>Suất diễn và cửa bán</t>
        </is>
      </c>
      <c r="G1349" s="17" t="inlineStr">
        <is>
          <t>cửa bán đóng đúng lúc mở là cửa bán rỗng — không hợp lệ</t>
        </is>
      </c>
      <c r="H1349" s="17" t="inlineStr">
        <is>
          <t>cua_ban_rong</t>
        </is>
      </c>
      <c r="I1349" s="16" t="inlineStr">
        <is>
          <t>Đạt</t>
        </is>
      </c>
      <c r="J1349" s="16" t="n">
        <v>0.002</v>
      </c>
    </row>
    <row r="1350">
      <c r="A1350" s="16" t="n">
        <v>1346</v>
      </c>
      <c r="B1350" s="16" t="inlineStr">
        <is>
          <t>Backend</t>
        </is>
      </c>
      <c r="C1350" s="17" t="inlineStr">
        <is>
          <t>catalog-service</t>
        </is>
      </c>
      <c r="D1350" s="16" t="inlineStr">
        <is>
          <t>Unit</t>
        </is>
      </c>
      <c r="E1350" s="17" t="inlineStr">
        <is>
          <t>EventLifecycleTest › SuatDien</t>
        </is>
      </c>
      <c r="F1350" s="17" t="inlineStr">
        <is>
          <t>Suất diễn và cửa bán</t>
        </is>
      </c>
      <c r="G1350" s="17" t="inlineStr">
        <is>
          <t>cửa bán đóng trước khi mở — không hợp lệ</t>
        </is>
      </c>
      <c r="H1350" s="17" t="inlineStr">
        <is>
          <t>cua_ban_nguoc</t>
        </is>
      </c>
      <c r="I1350" s="16" t="inlineStr">
        <is>
          <t>Đạt</t>
        </is>
      </c>
      <c r="J1350" s="16" t="n">
        <v>0.001</v>
      </c>
    </row>
    <row r="1351">
      <c r="A1351" s="16" t="n">
        <v>1347</v>
      </c>
      <c r="B1351" s="16" t="inlineStr">
        <is>
          <t>Backend</t>
        </is>
      </c>
      <c r="C1351" s="17" t="inlineStr">
        <is>
          <t>catalog-service</t>
        </is>
      </c>
      <c r="D1351" s="16" t="inlineStr">
        <is>
          <t>Unit</t>
        </is>
      </c>
      <c r="E1351" s="17" t="inlineStr">
        <is>
          <t>EventLifecycleTest › SuatDien</t>
        </is>
      </c>
      <c r="F1351" s="17" t="inlineStr">
        <is>
          <t>Suất diễn và cửa bán</t>
        </is>
      </c>
      <c r="G1351" s="17" t="inlineStr">
        <is>
          <t>thiếu giờ diễn hoặc cửa bán thì không dựng được suất</t>
        </is>
      </c>
      <c r="H1351" s="17" t="inlineStr">
        <is>
          <t>thieu_moc_bat_buoc</t>
        </is>
      </c>
      <c r="I1351" s="16" t="inlineStr">
        <is>
          <t>Đạt</t>
        </is>
      </c>
      <c r="J1351" s="16" t="n">
        <v>0.003</v>
      </c>
    </row>
    <row r="1352">
      <c r="A1352" s="16" t="n">
        <v>1348</v>
      </c>
      <c r="B1352" s="16" t="inlineStr">
        <is>
          <t>Backend</t>
        </is>
      </c>
      <c r="C1352" s="17" t="inlineStr">
        <is>
          <t>catalog-service</t>
        </is>
      </c>
      <c r="D1352" s="16" t="inlineStr">
        <is>
          <t>Unit</t>
        </is>
      </c>
      <c r="E1352" s="17" t="inlineStr">
        <is>
          <t>EventLifecycleTest › TranMuaVe</t>
        </is>
      </c>
      <c r="F1352" s="17" t="inlineStr">
        <is>
          <t>Trần mua vé</t>
        </is>
      </c>
      <c r="G1352" s="17" t="inlineStr">
        <is>
          <t>null lấy trần nền tảng, số nhỏ hơn giữ nguyên, số lớn hơn bị kẹp xuống</t>
        </is>
      </c>
      <c r="H1352" s="17" t="inlineStr">
        <is>
          <t>ke_thua_va_kep</t>
        </is>
      </c>
      <c r="I1352" s="16" t="inlineStr">
        <is>
          <t>Đạt</t>
        </is>
      </c>
      <c r="J1352" s="16" t="n">
        <v>0.01</v>
      </c>
    </row>
    <row r="1353">
      <c r="A1353" s="16" t="n">
        <v>1349</v>
      </c>
      <c r="B1353" s="16" t="inlineStr">
        <is>
          <t>Backend</t>
        </is>
      </c>
      <c r="C1353" s="17" t="inlineStr">
        <is>
          <t>catalog-service</t>
        </is>
      </c>
      <c r="D1353" s="16" t="inlineStr">
        <is>
          <t>Unit</t>
        </is>
      </c>
      <c r="E1353" s="17" t="inlineStr">
        <is>
          <t>EventLifecycleTest › TranMuaVe</t>
        </is>
      </c>
      <c r="F1353" s="17" t="inlineStr">
        <is>
          <t>Trần mua vé</t>
        </is>
      </c>
      <c r="G1353" s="17" t="inlineStr">
        <is>
          <t>trần 0 hoặc âm không dựng được</t>
        </is>
      </c>
      <c r="H1353" s="17" t="inlineStr">
        <is>
          <t>tran_khong_duong</t>
        </is>
      </c>
      <c r="I1353" s="16" t="inlineStr">
        <is>
          <t>Đạt</t>
        </is>
      </c>
      <c r="J1353" s="16" t="n">
        <v>0.006</v>
      </c>
    </row>
    <row r="1354">
      <c r="A1354" s="16" t="n">
        <v>1350</v>
      </c>
      <c r="B1354" s="16" t="inlineStr">
        <is>
          <t>Backend</t>
        </is>
      </c>
      <c r="C1354" s="17" t="inlineStr">
        <is>
          <t>catalog-service</t>
        </is>
      </c>
      <c r="D1354" s="16" t="inlineStr">
        <is>
          <t>Unit</t>
        </is>
      </c>
      <c r="E1354" s="17" t="inlineStr">
        <is>
          <t>EventPreflightTest</t>
        </is>
      </c>
      <c r="F1354" s="17" t="inlineStr"/>
      <c r="G1354" s="17" t="inlineStr">
        <is>
          <t>có suất nhưng chưa khai hạng vé nào</t>
        </is>
      </c>
      <c r="H1354" s="17" t="inlineStr">
        <is>
          <t>suat_khong_ban_duoc_gi</t>
        </is>
      </c>
      <c r="I1354" s="16" t="inlineStr">
        <is>
          <t>Đạt</t>
        </is>
      </c>
      <c r="J1354" s="16" t="n">
        <v>0.001</v>
      </c>
    </row>
    <row r="1355">
      <c r="A1355" s="16" t="n">
        <v>1351</v>
      </c>
      <c r="B1355" s="16" t="inlineStr">
        <is>
          <t>Backend</t>
        </is>
      </c>
      <c r="C1355" s="17" t="inlineStr">
        <is>
          <t>catalog-service</t>
        </is>
      </c>
      <c r="D1355" s="16" t="inlineStr">
        <is>
          <t>Unit</t>
        </is>
      </c>
      <c r="E1355" s="17" t="inlineStr">
        <is>
          <t>EventPreflightTest</t>
        </is>
      </c>
      <c r="F1355" s="17" t="inlineStr"/>
      <c r="G1355" s="17" t="inlineStr">
        <is>
          <t>trả về HẾT vướng mắc trong một lần, không dừng ở cái đầu tiên</t>
        </is>
      </c>
      <c r="H1355" s="17" t="inlineStr">
        <is>
          <t>tra_ve_het_vuong_mac</t>
        </is>
      </c>
      <c r="I1355" s="16" t="inlineStr">
        <is>
          <t>Đạt</t>
        </is>
      </c>
      <c r="J1355" s="16" t="n">
        <v>0.001</v>
      </c>
    </row>
    <row r="1356">
      <c r="A1356" s="16" t="n">
        <v>1352</v>
      </c>
      <c r="B1356" s="16" t="inlineStr">
        <is>
          <t>Backend</t>
        </is>
      </c>
      <c r="C1356" s="17" t="inlineStr">
        <is>
          <t>catalog-service</t>
        </is>
      </c>
      <c r="D1356" s="16" t="inlineStr">
        <is>
          <t>Unit</t>
        </is>
      </c>
      <c r="E1356" s="17" t="inlineStr">
        <is>
          <t>EventPreflightTest</t>
        </is>
      </c>
      <c r="F1356" s="17" t="inlineStr"/>
      <c r="G1356" s="17" t="inlineStr">
        <is>
          <t>đủ khu, đủ suất, đủ hạng vé, cửa bán hợp lệ: không còn vướng mắc</t>
        </is>
      </c>
      <c r="H1356" s="17" t="inlineStr">
        <is>
          <t>san_sang_thi_khong_con_vuong_mac</t>
        </is>
      </c>
      <c r="I1356" s="16" t="inlineStr">
        <is>
          <t>Đạt</t>
        </is>
      </c>
      <c r="J1356" s="16" t="n">
        <v>0.001</v>
      </c>
    </row>
    <row r="1357">
      <c r="A1357" s="16" t="n">
        <v>1353</v>
      </c>
      <c r="B1357" s="16" t="inlineStr">
        <is>
          <t>Backend</t>
        </is>
      </c>
      <c r="C1357" s="17" t="inlineStr">
        <is>
          <t>catalog-service</t>
        </is>
      </c>
      <c r="D1357" s="16" t="inlineStr">
        <is>
          <t>Unit</t>
        </is>
      </c>
      <c r="E1357" s="17" t="inlineStr">
        <is>
          <t>EventPreflightTest</t>
        </is>
      </c>
      <c r="F1357" s="17" t="inlineStr"/>
      <c r="G1357" s="17" t="inlineStr">
        <is>
          <t>chưa có suất diễn nào</t>
        </is>
      </c>
      <c r="H1357" s="17" t="inlineStr">
        <is>
          <t>thieu_suat_dien</t>
        </is>
      </c>
      <c r="I1357" s="16" t="inlineStr">
        <is>
          <t>Đạt</t>
        </is>
      </c>
      <c r="J1357" s="16" t="n">
        <v>0</v>
      </c>
    </row>
    <row r="1358">
      <c r="A1358" s="16" t="n">
        <v>1354</v>
      </c>
      <c r="B1358" s="16" t="inlineStr">
        <is>
          <t>Backend</t>
        </is>
      </c>
      <c r="C1358" s="17" t="inlineStr">
        <is>
          <t>catalog-service</t>
        </is>
      </c>
      <c r="D1358" s="16" t="inlineStr">
        <is>
          <t>Unit</t>
        </is>
      </c>
      <c r="E1358" s="17" t="inlineStr">
        <is>
          <t>EventPreflightTest</t>
        </is>
      </c>
      <c r="F1358" s="17" t="inlineStr"/>
      <c r="G1358" s="17" t="inlineStr">
        <is>
          <t>cửa bán mở sau khi suất đã diễn</t>
        </is>
      </c>
      <c r="H1358" s="17" t="inlineStr">
        <is>
          <t>cua_ban_mo_qua_muon</t>
        </is>
      </c>
      <c r="I1358" s="16" t="inlineStr">
        <is>
          <t>Đạt</t>
        </is>
      </c>
      <c r="J1358" s="16" t="n">
        <v>0.001</v>
      </c>
    </row>
    <row r="1359">
      <c r="A1359" s="16" t="n">
        <v>1355</v>
      </c>
      <c r="B1359" s="16" t="inlineStr">
        <is>
          <t>Backend</t>
        </is>
      </c>
      <c r="C1359" s="17" t="inlineStr">
        <is>
          <t>catalog-service</t>
        </is>
      </c>
      <c r="D1359" s="16" t="inlineStr">
        <is>
          <t>Unit</t>
        </is>
      </c>
      <c r="E1359" s="17" t="inlineStr">
        <is>
          <t>EventPreflightTest</t>
        </is>
      </c>
      <c r="F1359" s="17" t="inlineStr"/>
      <c r="G1359" s="17" t="inlineStr">
        <is>
          <t>cửa bán kéo dài quá giờ diễn thì vẫn hợp lệ</t>
        </is>
      </c>
      <c r="H1359" s="17" t="inlineStr">
        <is>
          <t>ban_ve_cho_nguoi_den_muon_van_hop_le</t>
        </is>
      </c>
      <c r="I1359" s="16" t="inlineStr">
        <is>
          <t>Đạt</t>
        </is>
      </c>
      <c r="J1359" s="16" t="n">
        <v>0.001</v>
      </c>
    </row>
    <row r="1360">
      <c r="A1360" s="16" t="n">
        <v>1356</v>
      </c>
      <c r="B1360" s="16" t="inlineStr">
        <is>
          <t>Backend</t>
        </is>
      </c>
      <c r="C1360" s="17" t="inlineStr">
        <is>
          <t>catalog-service</t>
        </is>
      </c>
      <c r="D1360" s="16" t="inlineStr">
        <is>
          <t>Unit</t>
        </is>
      </c>
      <c r="E1360" s="17" t="inlineStr">
        <is>
          <t>EventPreflightTest</t>
        </is>
      </c>
      <c r="F1360" s="17" t="inlineStr"/>
      <c r="G1360" s="17" t="inlineStr">
        <is>
          <t>địa điểm chưa khai khu nào</t>
        </is>
      </c>
      <c r="H1360" s="17" t="inlineStr">
        <is>
          <t>dia_diem_khong_co_khu</t>
        </is>
      </c>
      <c r="I1360" s="16" t="inlineStr">
        <is>
          <t>Đạt</t>
        </is>
      </c>
      <c r="J1360" s="16" t="n">
        <v>0.001</v>
      </c>
    </row>
    <row r="1361">
      <c r="A1361" s="16" t="n">
        <v>1357</v>
      </c>
      <c r="B1361" s="16" t="inlineStr">
        <is>
          <t>Backend</t>
        </is>
      </c>
      <c r="C1361" s="17" t="inlineStr">
        <is>
          <t>catalog-service</t>
        </is>
      </c>
      <c r="D1361" s="16" t="inlineStr">
        <is>
          <t>Unit</t>
        </is>
      </c>
      <c r="E1361" s="17" t="inlineStr">
        <is>
          <t>FloorPlanTest</t>
        </is>
      </c>
      <c r="F1361" s="17" t="inlineStr"/>
      <c r="G1361" s="17" t="inlineStr">
        <is>
          <t>bao hình ôm cả sân khấu, không chỉ khán đài</t>
        </is>
      </c>
      <c r="H1361" s="17" t="inlineStr">
        <is>
          <t>bao_hinh_om_ca_san_khau</t>
        </is>
      </c>
      <c r="I1361" s="16" t="inlineStr">
        <is>
          <t>Đạt</t>
        </is>
      </c>
      <c r="J1361" s="16" t="n">
        <v>0.002</v>
      </c>
    </row>
    <row r="1362">
      <c r="A1362" s="16" t="n">
        <v>1358</v>
      </c>
      <c r="B1362" s="16" t="inlineStr">
        <is>
          <t>Backend</t>
        </is>
      </c>
      <c r="C1362" s="17" t="inlineStr">
        <is>
          <t>catalog-service</t>
        </is>
      </c>
      <c r="D1362" s="16" t="inlineStr">
        <is>
          <t>Unit</t>
        </is>
      </c>
      <c r="E1362" s="17" t="inlineStr">
        <is>
          <t>FloorPlanTest</t>
        </is>
      </c>
      <c r="F1362" s="17" t="inlineStr"/>
      <c r="G1362" s="17" t="inlineStr">
        <is>
          <t>mã chỗ trong mặt bằng khớp đúng mã Inventory sẽ nhận</t>
        </is>
      </c>
      <c r="H1362" s="17" t="inlineStr">
        <is>
          <t>ma_cho_khop_voi_inventory</t>
        </is>
      </c>
      <c r="I1362" s="16" t="inlineStr">
        <is>
          <t>Đạt</t>
        </is>
      </c>
      <c r="J1362" s="16" t="n">
        <v>0.001</v>
      </c>
    </row>
    <row r="1363">
      <c r="A1363" s="16" t="n">
        <v>1359</v>
      </c>
      <c r="B1363" s="16" t="inlineStr">
        <is>
          <t>Backend</t>
        </is>
      </c>
      <c r="C1363" s="17" t="inlineStr">
        <is>
          <t>catalog-service</t>
        </is>
      </c>
      <c r="D1363" s="16" t="inlineStr">
        <is>
          <t>Unit</t>
        </is>
      </c>
      <c r="E1363" s="17" t="inlineStr">
        <is>
          <t>FloorPlanTest</t>
        </is>
      </c>
      <c r="F1363" s="17" t="inlineStr"/>
      <c r="G1363" s="17" t="inlineStr">
        <is>
          <t>khu đứng có đường bao để bấm vào, nhưng không có ghế nào</t>
        </is>
      </c>
      <c r="H1363" s="17" t="inlineStr">
        <is>
          <t>khu_dung_co_dien_tich_khong_co_ghe</t>
        </is>
      </c>
      <c r="I1363" s="16" t="inlineStr">
        <is>
          <t>Đạt</t>
        </is>
      </c>
      <c r="J1363" s="16" t="n">
        <v>0.001</v>
      </c>
    </row>
    <row r="1364">
      <c r="A1364" s="16" t="n">
        <v>1360</v>
      </c>
      <c r="B1364" s="16" t="inlineStr">
        <is>
          <t>Backend</t>
        </is>
      </c>
      <c r="C1364" s="17" t="inlineStr">
        <is>
          <t>catalog-service</t>
        </is>
      </c>
      <c r="D1364" s="16" t="inlineStr">
        <is>
          <t>Unit</t>
        </is>
      </c>
      <c r="E1364" s="17" t="inlineStr">
        <is>
          <t>FloorPlanTest</t>
        </is>
      </c>
      <c r="F1364" s="17" t="inlineStr"/>
      <c r="G1364" s="17" t="inlineStr">
        <is>
          <t>địa điểm chưa khai sân khấu vẫn có một sân khấu trên sơ đồ</t>
        </is>
      </c>
      <c r="H1364" s="17" t="inlineStr">
        <is>
          <t>san_khau_mac_dinh</t>
        </is>
      </c>
      <c r="I1364" s="16" t="inlineStr">
        <is>
          <t>Đạt</t>
        </is>
      </c>
      <c r="J1364" s="16" t="n">
        <v>0.006</v>
      </c>
    </row>
    <row r="1365">
      <c r="A1365" s="16" t="n">
        <v>1361</v>
      </c>
      <c r="B1365" s="16" t="inlineStr">
        <is>
          <t>Backend</t>
        </is>
      </c>
      <c r="C1365" s="17" t="inlineStr">
        <is>
          <t>catalog-service</t>
        </is>
      </c>
      <c r="D1365" s="16" t="inlineStr">
        <is>
          <t>Unit</t>
        </is>
      </c>
      <c r="E1365" s="17" t="inlineStr">
        <is>
          <t>FloorPlanTest</t>
        </is>
      </c>
      <c r="F1365" s="17" t="inlineStr"/>
      <c r="G1365" s="17" t="inlineStr">
        <is>
          <t>khu chưa đặt vị trí được xếp xuống dưới sân khấu, không khu nào chồng lên khu nào</t>
        </is>
      </c>
      <c r="H1365" s="17" t="inlineStr">
        <is>
          <t>khu_chua_dat_duoc_xep_tu_dong</t>
        </is>
      </c>
      <c r="I1365" s="16" t="inlineStr">
        <is>
          <t>Đạt</t>
        </is>
      </c>
      <c r="J1365" s="16" t="n">
        <v>0.001</v>
      </c>
    </row>
    <row r="1366">
      <c r="A1366" s="16" t="n">
        <v>1362</v>
      </c>
      <c r="B1366" s="16" t="inlineStr">
        <is>
          <t>Backend</t>
        </is>
      </c>
      <c r="C1366" s="17" t="inlineStr">
        <is>
          <t>catalog-service</t>
        </is>
      </c>
      <c r="D1366" s="16" t="inlineStr">
        <is>
          <t>Unit</t>
        </is>
      </c>
      <c r="E1366" s="17" t="inlineStr">
        <is>
          <t>FloorPlanTest</t>
        </is>
      </c>
      <c r="F1366" s="17" t="inlineStr"/>
      <c r="G1366" s="17" t="inlineStr">
        <is>
          <t>thứ tự xếp theo sortOrder, không theo thứ tự trong danh sách</t>
        </is>
      </c>
      <c r="H1366" s="17" t="inlineStr">
        <is>
          <t>xep_theo_sort_order</t>
        </is>
      </c>
      <c r="I1366" s="16" t="inlineStr">
        <is>
          <t>Đạt</t>
        </is>
      </c>
      <c r="J1366" s="16" t="n">
        <v>0.003</v>
      </c>
    </row>
    <row r="1367">
      <c r="A1367" s="16" t="n">
        <v>1363</v>
      </c>
      <c r="B1367" s="16" t="inlineStr">
        <is>
          <t>Backend</t>
        </is>
      </c>
      <c r="C1367" s="17" t="inlineStr">
        <is>
          <t>catalog-service</t>
        </is>
      </c>
      <c r="D1367" s="16" t="inlineStr">
        <is>
          <t>Unit</t>
        </is>
      </c>
      <c r="E1367" s="17" t="inlineStr">
        <is>
          <t>FloorPlanTest</t>
        </is>
      </c>
      <c r="F1367" s="17" t="inlineStr"/>
      <c r="G1367" s="17" t="inlineStr">
        <is>
          <t>khu đã đặt tay đứng yên, và khu tự động né xuống dưới nó</t>
        </is>
      </c>
      <c r="H1367" s="17" t="inlineStr">
        <is>
          <t>khu_dat_tay_dung_yen</t>
        </is>
      </c>
      <c r="I1367" s="16" t="inlineStr">
        <is>
          <t>Đạt</t>
        </is>
      </c>
      <c r="J1367" s="16" t="n">
        <v>0.002</v>
      </c>
    </row>
    <row r="1368">
      <c r="A1368" s="16" t="n">
        <v>1364</v>
      </c>
      <c r="B1368" s="16" t="inlineStr">
        <is>
          <t>Backend</t>
        </is>
      </c>
      <c r="C1368" s="17" t="inlineStr">
        <is>
          <t>catalog-service</t>
        </is>
      </c>
      <c r="D1368" s="16" t="inlineStr">
        <is>
          <t>Unit</t>
        </is>
      </c>
      <c r="E1368" s="17" t="inlineStr">
        <is>
          <t>FloorPlanTest</t>
        </is>
      </c>
      <c r="F1368" s="17" t="inlineStr"/>
      <c r="G1368" s="17" t="inlineStr">
        <is>
          <t>khu đứng lớn chiếm nhiều diện tích hơn khu đứng nhỏ</t>
        </is>
      </c>
      <c r="H1368" s="17" t="inlineStr">
        <is>
          <t>khu_dung_lon_chiem_nhieu_hon</t>
        </is>
      </c>
      <c r="I1368" s="16" t="inlineStr">
        <is>
          <t>Đạt</t>
        </is>
      </c>
      <c r="J1368" s="16" t="n">
        <v>0.003</v>
      </c>
    </row>
    <row r="1369">
      <c r="A1369" s="16" t="n">
        <v>1365</v>
      </c>
      <c r="B1369" s="16" t="inlineStr">
        <is>
          <t>Backend</t>
        </is>
      </c>
      <c r="C1369" s="17" t="inlineStr">
        <is>
          <t>catalog-service</t>
        </is>
      </c>
      <c r="D1369" s="16" t="inlineStr">
        <is>
          <t>Unit</t>
        </is>
      </c>
      <c r="E1369" s="17" t="inlineStr">
        <is>
          <t>TableZoneLayoutTest</t>
        </is>
      </c>
      <c r="F1369" s="17" t="inlineStr"/>
      <c r="G1369" s="17" t="inlineStr">
        <is>
          <t>không hai ghế nào trùng chỗ trong cả khu</t>
        </is>
      </c>
      <c r="H1369" s="17" t="inlineStr">
        <is>
          <t>khong_ghe_nao_trung_cho</t>
        </is>
      </c>
      <c r="I1369" s="16" t="inlineStr">
        <is>
          <t>Đạt</t>
        </is>
      </c>
      <c r="J1369" s="16" t="n">
        <v>0.01</v>
      </c>
    </row>
    <row r="1370">
      <c r="A1370" s="16" t="n">
        <v>1366</v>
      </c>
      <c r="B1370" s="16" t="inlineStr">
        <is>
          <t>Backend</t>
        </is>
      </c>
      <c r="C1370" s="17" t="inlineStr">
        <is>
          <t>catalog-service</t>
        </is>
      </c>
      <c r="D1370" s="16" t="inlineStr">
        <is>
          <t>Unit</t>
        </is>
      </c>
      <c r="E1370" s="17" t="inlineStr">
        <is>
          <t>TableZoneLayoutTest</t>
        </is>
      </c>
      <c r="F1370" s="17" t="inlineStr"/>
      <c r="G1370" s="17" t="inlineStr">
        <is>
          <t>một bàn duy nhất vẫn ra đúng hình, không chia cho 0</t>
        </is>
      </c>
      <c r="H1370" s="17" t="inlineStr">
        <is>
          <t>mot_ban_duy_nhat</t>
        </is>
      </c>
      <c r="I1370" s="16" t="inlineStr">
        <is>
          <t>Đạt</t>
        </is>
      </c>
      <c r="J1370" s="16" t="n">
        <v>0.001</v>
      </c>
    </row>
    <row r="1371">
      <c r="A1371" s="16" t="n">
        <v>1367</v>
      </c>
      <c r="B1371" s="16" t="inlineStr">
        <is>
          <t>Backend</t>
        </is>
      </c>
      <c r="C1371" s="17" t="inlineStr">
        <is>
          <t>catalog-service</t>
        </is>
      </c>
      <c r="D1371" s="16" t="inlineStr">
        <is>
          <t>Unit</t>
        </is>
      </c>
      <c r="E1371" s="17" t="inlineStr">
        <is>
          <t>TableZoneLayoutTest</t>
        </is>
      </c>
      <c r="F1371" s="17" t="inlineStr"/>
      <c r="G1371" s="17" t="inlineStr">
        <is>
          <t>ghế quây đều quanh bàn, đúng bán kính</t>
        </is>
      </c>
      <c r="H1371" s="17" t="inlineStr">
        <is>
          <t>ghe_quay_deu_quanh_ban</t>
        </is>
      </c>
      <c r="I1371" s="16" t="inlineStr">
        <is>
          <t>Đạt</t>
        </is>
      </c>
      <c r="J1371" s="16" t="n">
        <v>0.002</v>
      </c>
    </row>
    <row r="1372">
      <c r="A1372" s="16" t="n">
        <v>1368</v>
      </c>
      <c r="B1372" s="16" t="inlineStr">
        <is>
          <t>Backend</t>
        </is>
      </c>
      <c r="C1372" s="17" t="inlineStr">
        <is>
          <t>catalog-service</t>
        </is>
      </c>
      <c r="D1372" s="16" t="inlineStr">
        <is>
          <t>Unit</t>
        </is>
      </c>
      <c r="E1372" s="17" t="inlineStr">
        <is>
          <t>TableZoneLayoutTest</t>
        </is>
      </c>
      <c r="F1372" s="17" t="inlineStr"/>
      <c r="G1372" s="17" t="inlineStr">
        <is>
          <t>các bàn không chồng lên nhau</t>
        </is>
      </c>
      <c r="H1372" s="17" t="inlineStr">
        <is>
          <t>cac_ban_khong_chong_nhau</t>
        </is>
      </c>
      <c r="I1372" s="16" t="inlineStr">
        <is>
          <t>Đạt</t>
        </is>
      </c>
      <c r="J1372" s="16" t="n">
        <v>0.002</v>
      </c>
    </row>
    <row r="1373">
      <c r="A1373" s="16" t="n">
        <v>1369</v>
      </c>
      <c r="B1373" s="16" t="inlineStr">
        <is>
          <t>Backend</t>
        </is>
      </c>
      <c r="C1373" s="17" t="inlineStr">
        <is>
          <t>catalog-service</t>
        </is>
      </c>
      <c r="D1373" s="16" t="inlineStr">
        <is>
          <t>Unit</t>
        </is>
      </c>
      <c r="E1373" s="17" t="inlineStr">
        <is>
          <t>TableZoneLayoutTest</t>
        </is>
      </c>
      <c r="F1373" s="17" t="inlineStr"/>
      <c r="G1373" s="17" t="inlineStr">
        <is>
          <t>đường bao chứa hết mọi ghế</t>
        </is>
      </c>
      <c r="H1373" s="17" t="inlineStr">
        <is>
          <t>duong_bao_chua_het_ghe</t>
        </is>
      </c>
      <c r="I1373" s="16" t="inlineStr">
        <is>
          <t>Đạt</t>
        </is>
      </c>
      <c r="J1373" s="16" t="n">
        <v>0.002</v>
      </c>
    </row>
    <row r="1374">
      <c r="A1374" s="16" t="n">
        <v>1370</v>
      </c>
      <c r="B1374" s="16" t="inlineStr">
        <is>
          <t>Backend</t>
        </is>
      </c>
      <c r="C1374" s="17" t="inlineStr">
        <is>
          <t>catalog-service</t>
        </is>
      </c>
      <c r="D1374" s="16" t="inlineStr">
        <is>
          <t>Unit</t>
        </is>
      </c>
      <c r="E1374" s="17" t="inlineStr">
        <is>
          <t>TableZoneLayoutTest</t>
        </is>
      </c>
      <c r="F1374" s="17" t="inlineStr"/>
      <c r="G1374" s="17" t="inlineStr">
        <is>
          <t>xoay khu thì mọi ghế xoay theo, khoảng cách giữ nguyên</t>
        </is>
      </c>
      <c r="H1374" s="17" t="inlineStr">
        <is>
          <t>xoay_khu_giu_nguyen_hinh_dang</t>
        </is>
      </c>
      <c r="I1374" s="16" t="inlineStr">
        <is>
          <t>Đạt</t>
        </is>
      </c>
      <c r="J1374" s="16" t="n">
        <v>0.001</v>
      </c>
    </row>
    <row r="1375">
      <c r="A1375" s="16" t="n">
        <v>1371</v>
      </c>
      <c r="B1375" s="16" t="inlineStr">
        <is>
          <t>Backend</t>
        </is>
      </c>
      <c r="C1375" s="17" t="inlineStr">
        <is>
          <t>catalog-service</t>
        </is>
      </c>
      <c r="D1375" s="16" t="inlineStr">
        <is>
          <t>Unit</t>
        </is>
      </c>
      <c r="E1375" s="17" t="inlineStr">
        <is>
          <t>TableZoneLayoutTest</t>
        </is>
      </c>
      <c r="F1375" s="17" t="inlineStr"/>
      <c r="G1375" s="17" t="inlineStr">
        <is>
          <t>bán kính bàn phải dương — 0 làm mọi ghế chồng lên tâm bàn</t>
        </is>
      </c>
      <c r="H1375" s="17" t="inlineStr">
        <is>
          <t>ban_kinh_phai_duong</t>
        </is>
      </c>
      <c r="I1375" s="16" t="inlineStr">
        <is>
          <t>Đạt</t>
        </is>
      </c>
      <c r="J1375" s="16" t="n">
        <v>0.001</v>
      </c>
    </row>
    <row r="1376">
      <c r="A1376" s="16" t="n">
        <v>1372</v>
      </c>
      <c r="B1376" s="16" t="inlineStr">
        <is>
          <t>Backend</t>
        </is>
      </c>
      <c r="C1376" s="17" t="inlineStr">
        <is>
          <t>catalog-service</t>
        </is>
      </c>
      <c r="D1376" s="16" t="inlineStr">
        <is>
          <t>Unit</t>
        </is>
      </c>
      <c r="E1376" s="17" t="inlineStr">
        <is>
          <t>TableZoneLayoutTest</t>
        </is>
      </c>
      <c r="F1376" s="17" t="inlineStr"/>
      <c r="G1376" s="17" t="inlineStr">
        <is>
          <t>ghế số 1 quay lưng về sân khấu</t>
        </is>
      </c>
      <c r="H1376" s="17" t="inlineStr">
        <is>
          <t>ghe_so_mot_quay_lung_ve_san_khau</t>
        </is>
      </c>
      <c r="I1376" s="16" t="inlineStr">
        <is>
          <t>Đạt</t>
        </is>
      </c>
      <c r="J1376" s="16" t="n">
        <v>0</v>
      </c>
    </row>
    <row r="1377">
      <c r="A1377" s="16" t="n">
        <v>1373</v>
      </c>
      <c r="B1377" s="16" t="inlineStr">
        <is>
          <t>Backend</t>
        </is>
      </c>
      <c r="C1377" s="17" t="inlineStr">
        <is>
          <t>catalog-service</t>
        </is>
      </c>
      <c r="D1377" s="16" t="inlineStr">
        <is>
          <t>Unit</t>
        </is>
      </c>
      <c r="E1377" s="17" t="inlineStr">
        <is>
          <t>VenueAndTemplateRulesTest › DiaDiem</t>
        </is>
      </c>
      <c r="F1377" s="17" t="inlineStr">
        <is>
          <t>Địa điểm</t>
        </is>
      </c>
      <c r="G1377" s="17" t="inlineStr">
        <is>
          <t>sức chứa cộng cả khu ngồi lẫn khu đứng; chưa có khu thì 0 và chưa bán được</t>
        </is>
      </c>
      <c r="H1377" s="17" t="inlineStr">
        <is>
          <t>suc_chua</t>
        </is>
      </c>
      <c r="I1377" s="16" t="inlineStr">
        <is>
          <t>Đạt</t>
        </is>
      </c>
      <c r="J1377" s="16" t="n">
        <v>0.001</v>
      </c>
    </row>
    <row r="1378">
      <c r="A1378" s="16" t="n">
        <v>1374</v>
      </c>
      <c r="B1378" s="16" t="inlineStr">
        <is>
          <t>Backend</t>
        </is>
      </c>
      <c r="C1378" s="17" t="inlineStr">
        <is>
          <t>catalog-service</t>
        </is>
      </c>
      <c r="D1378" s="16" t="inlineStr">
        <is>
          <t>Unit</t>
        </is>
      </c>
      <c r="E1378" s="17" t="inlineStr">
        <is>
          <t>VenueAndTemplateRulesTest › DiaDiem</t>
        </is>
      </c>
      <c r="F1378" s="17" t="inlineStr">
        <is>
          <t>Địa điểm</t>
        </is>
      </c>
      <c r="G1378" s="17" t="inlineStr">
        <is>
          <t>địa điểm tự dựng không gắn khung; chưa khai sân khấu thì dùng sân khấu mặc định</t>
        </is>
      </c>
      <c r="H1378" s="17" t="inlineStr">
        <is>
          <t>tu_dung</t>
        </is>
      </c>
      <c r="I1378" s="16" t="inlineStr">
        <is>
          <t>Đạt</t>
        </is>
      </c>
      <c r="J1378" s="16" t="n">
        <v>0.002</v>
      </c>
    </row>
    <row r="1379">
      <c r="A1379" s="16" t="n">
        <v>1375</v>
      </c>
      <c r="B1379" s="16" t="inlineStr">
        <is>
          <t>Backend</t>
        </is>
      </c>
      <c r="C1379" s="17" t="inlineStr">
        <is>
          <t>catalog-service</t>
        </is>
      </c>
      <c r="D1379" s="16" t="inlineStr">
        <is>
          <t>Unit</t>
        </is>
      </c>
      <c r="E1379" s="17" t="inlineStr">
        <is>
          <t>VenueAndTemplateRulesTest › DiaDiem</t>
        </is>
      </c>
      <c r="F1379" s="17" t="inlineStr">
        <is>
          <t>Địa điểm</t>
        </is>
      </c>
      <c r="G1379" s="17" t="inlineStr">
        <is>
          <t>danh sách khu là bất biến — không ai thêm khu lén qua getter</t>
        </is>
      </c>
      <c r="H1379" s="17" t="inlineStr">
        <is>
          <t>khu_bat_bien</t>
        </is>
      </c>
      <c r="I1379" s="16" t="inlineStr">
        <is>
          <t>Đạt</t>
        </is>
      </c>
      <c r="J1379" s="16" t="n">
        <v>0.002</v>
      </c>
    </row>
    <row r="1380">
      <c r="A1380" s="16" t="n">
        <v>1376</v>
      </c>
      <c r="B1380" s="16" t="inlineStr">
        <is>
          <t>Backend</t>
        </is>
      </c>
      <c r="C1380" s="17" t="inlineStr">
        <is>
          <t>catalog-service</t>
        </is>
      </c>
      <c r="D1380" s="16" t="inlineStr">
        <is>
          <t>Unit</t>
        </is>
      </c>
      <c r="E1380" s="17" t="inlineStr">
        <is>
          <t>VenueAndTemplateRulesTest › DiaDiem</t>
        </is>
      </c>
      <c r="F1380" s="17" t="inlineStr">
        <is>
          <t>Địa điểm</t>
        </is>
      </c>
      <c r="G1380" s="17" t="inlineStr">
        <is>
          <t>tên và thành phố là bắt buộc</t>
        </is>
      </c>
      <c r="H1380" s="17" t="inlineStr">
        <is>
          <t>ten_va_thanh_pho</t>
        </is>
      </c>
      <c r="I1380" s="16" t="inlineStr">
        <is>
          <t>Đạt</t>
        </is>
      </c>
      <c r="J1380" s="16" t="n">
        <v>0.002</v>
      </c>
    </row>
    <row r="1381">
      <c r="A1381" s="16" t="n">
        <v>1377</v>
      </c>
      <c r="B1381" s="16" t="inlineStr">
        <is>
          <t>Backend</t>
        </is>
      </c>
      <c r="C1381" s="17" t="inlineStr">
        <is>
          <t>catalog-service</t>
        </is>
      </c>
      <c r="D1381" s="16" t="inlineStr">
        <is>
          <t>Unit</t>
        </is>
      </c>
      <c r="E1381" s="17" t="inlineStr">
        <is>
          <t>VenueAndTemplateRulesTest › KhuDiaDiem</t>
        </is>
      </c>
      <c r="F1381" s="17" t="inlineStr">
        <is>
          <t>Khu của địa điểm</t>
        </is>
      </c>
      <c r="G1381" s="17" t="inlineStr">
        <is>
          <t>khu ngồi khổng lồ không được tràn số thành sức chứa âm</t>
        </is>
      </c>
      <c r="H1381" s="17" t="inlineStr">
        <is>
          <t>khu_khong_lo_khong_tran_so</t>
        </is>
      </c>
      <c r="I1381" s="16" t="inlineStr">
        <is>
          <t>Đạt</t>
        </is>
      </c>
      <c r="J1381" s="16" t="n">
        <v>0.002</v>
      </c>
    </row>
    <row r="1382">
      <c r="A1382" s="16" t="n">
        <v>1378</v>
      </c>
      <c r="B1382" s="16" t="inlineStr">
        <is>
          <t>Backend</t>
        </is>
      </c>
      <c r="C1382" s="17" t="inlineStr">
        <is>
          <t>catalog-service</t>
        </is>
      </c>
      <c r="D1382" s="16" t="inlineStr">
        <is>
          <t>Unit</t>
        </is>
      </c>
      <c r="E1382" s="17" t="inlineStr">
        <is>
          <t>VenueAndTemplateRulesTest › KhuDiaDiem</t>
        </is>
      </c>
      <c r="F1382" s="17" t="inlineStr">
        <is>
          <t>Khu của địa điểm</t>
        </is>
      </c>
      <c r="G1382" s="17" t="inlineStr">
        <is>
          <t>khu đứng thiếu sức chứa hoặc sức chứa ≤ 0 bị từ chối</t>
        </is>
      </c>
      <c r="H1382" s="17" t="inlineStr">
        <is>
          <t>khu_dung_sai_hinh</t>
        </is>
      </c>
      <c r="I1382" s="16" t="inlineStr">
        <is>
          <t>Đạt</t>
        </is>
      </c>
      <c r="J1382" s="16" t="n">
        <v>0.004</v>
      </c>
    </row>
    <row r="1383">
      <c r="A1383" s="16" t="n">
        <v>1379</v>
      </c>
      <c r="B1383" s="16" t="inlineStr">
        <is>
          <t>Backend</t>
        </is>
      </c>
      <c r="C1383" s="17" t="inlineStr">
        <is>
          <t>catalog-service</t>
        </is>
      </c>
      <c r="D1383" s="16" t="inlineStr">
        <is>
          <t>Unit</t>
        </is>
      </c>
      <c r="E1383" s="17" t="inlineStr">
        <is>
          <t>VenueAndTemplateRulesTest › KhuDiaDiem</t>
        </is>
      </c>
      <c r="F1383" s="17" t="inlineStr">
        <is>
          <t>Khu của địa điểm</t>
        </is>
      </c>
      <c r="G1383" s="17" t="inlineStr">
        <is>
          <t>mã chỗ ghép từ mã khu, hàng, ghế — đúng định dạng Inventory nhận</t>
        </is>
      </c>
      <c r="H1383" s="17" t="inlineStr">
        <is>
          <t>ma_cho</t>
        </is>
      </c>
      <c r="I1383" s="16" t="inlineStr">
        <is>
          <t>Đạt</t>
        </is>
      </c>
      <c r="J1383" s="16" t="n">
        <v>0.002</v>
      </c>
    </row>
    <row r="1384">
      <c r="A1384" s="16" t="n">
        <v>1380</v>
      </c>
      <c r="B1384" s="16" t="inlineStr">
        <is>
          <t>Backend</t>
        </is>
      </c>
      <c r="C1384" s="17" t="inlineStr">
        <is>
          <t>catalog-service</t>
        </is>
      </c>
      <c r="D1384" s="16" t="inlineStr">
        <is>
          <t>Unit</t>
        </is>
      </c>
      <c r="E1384" s="17" t="inlineStr">
        <is>
          <t>VenueAndTemplateRulesTest › KhuDiaDiem</t>
        </is>
      </c>
      <c r="F1384" s="17" t="inlineStr">
        <is>
          <t>Khu của địa điểm</t>
        </is>
      </c>
      <c r="G1384" s="17" t="inlineStr">
        <is>
          <t>khu ngồi thiếu hoặc có số hàng ≤ 0 bị từ chối</t>
        </is>
      </c>
      <c r="H1384" s="17" t="inlineStr">
        <is>
          <t>khu_ngoi_sai_hinh</t>
        </is>
      </c>
      <c r="I1384" s="16" t="inlineStr">
        <is>
          <t>Đạt</t>
        </is>
      </c>
      <c r="J1384" s="16" t="n">
        <v>0.004</v>
      </c>
    </row>
    <row r="1385">
      <c r="A1385" s="16" t="n">
        <v>1381</v>
      </c>
      <c r="B1385" s="16" t="inlineStr">
        <is>
          <t>Backend</t>
        </is>
      </c>
      <c r="C1385" s="17" t="inlineStr">
        <is>
          <t>catalog-service</t>
        </is>
      </c>
      <c r="D1385" s="16" t="inlineStr">
        <is>
          <t>Unit</t>
        </is>
      </c>
      <c r="E1385" s="17" t="inlineStr">
        <is>
          <t>VenueAndTemplateRulesTest › KhuDiaDiem</t>
        </is>
      </c>
      <c r="F1385" s="17" t="inlineStr">
        <is>
          <t>Khu của địa điểm</t>
        </is>
      </c>
      <c r="G1385" s="17" t="inlineStr">
        <is>
          <t>khu không mã bị từ chối</t>
        </is>
      </c>
      <c r="H1385" s="17" t="inlineStr">
        <is>
          <t>khu_khong_ma</t>
        </is>
      </c>
      <c r="I1385" s="16" t="inlineStr">
        <is>
          <t>Đạt</t>
        </is>
      </c>
      <c r="J1385" s="16" t="n">
        <v>0.001</v>
      </c>
    </row>
    <row r="1386">
      <c r="A1386" s="16" t="n">
        <v>1382</v>
      </c>
      <c r="B1386" s="16" t="inlineStr">
        <is>
          <t>Backend</t>
        </is>
      </c>
      <c r="C1386" s="17" t="inlineStr">
        <is>
          <t>catalog-service</t>
        </is>
      </c>
      <c r="D1386" s="16" t="inlineStr">
        <is>
          <t>Unit</t>
        </is>
      </c>
      <c r="E1386" s="17" t="inlineStr">
        <is>
          <t>VenueAndTemplateRulesTest › KhuDiaDiem</t>
        </is>
      </c>
      <c r="F1386" s="17" t="inlineStr">
        <is>
          <t>Khu của địa điểm</t>
        </is>
      </c>
      <c r="G1386" s="17" t="inlineStr">
        <is>
          <t>khu ngồi bỏ sức chứa khai kèm; khu đứng bỏ số hàng/ghế khai kèm</t>
        </is>
      </c>
      <c r="H1386" s="17" t="inlineStr">
        <is>
          <t>chuan_hoa_theo_loai</t>
        </is>
      </c>
      <c r="I1386" s="16" t="inlineStr">
        <is>
          <t>Đạt</t>
        </is>
      </c>
      <c r="J1386" s="16" t="n">
        <v>0.001</v>
      </c>
    </row>
    <row r="1387">
      <c r="A1387" s="16" t="n">
        <v>1383</v>
      </c>
      <c r="B1387" s="16" t="inlineStr">
        <is>
          <t>Backend</t>
        </is>
      </c>
      <c r="C1387" s="17" t="inlineStr">
        <is>
          <t>catalog-service</t>
        </is>
      </c>
      <c r="D1387" s="16" t="inlineStr">
        <is>
          <t>Unit</t>
        </is>
      </c>
      <c r="E1387" s="17" t="inlineStr">
        <is>
          <t>VenueAndTemplateRulesTest › SanKhau</t>
        </is>
      </c>
      <c r="F1387" s="17" t="inlineStr">
        <is>
          <t>Sân khấu</t>
        </is>
      </c>
      <c r="G1387" s="17" t="inlineStr">
        <is>
          <t>khu bàn tròn có bán kính bàn ≤ 0 bị từ chối</t>
        </is>
      </c>
      <c r="H1387" s="17" t="inlineStr">
        <is>
          <t>ban_tron</t>
        </is>
      </c>
      <c r="I1387" s="16" t="inlineStr">
        <is>
          <t>Đạt</t>
        </is>
      </c>
      <c r="J1387" s="16" t="n">
        <v>0.003</v>
      </c>
    </row>
    <row r="1388">
      <c r="A1388" s="16" t="n">
        <v>1384</v>
      </c>
      <c r="B1388" s="16" t="inlineStr">
        <is>
          <t>Backend</t>
        </is>
      </c>
      <c r="C1388" s="17" t="inlineStr">
        <is>
          <t>catalog-service</t>
        </is>
      </c>
      <c r="D1388" s="16" t="inlineStr">
        <is>
          <t>Unit</t>
        </is>
      </c>
      <c r="E1388" s="17" t="inlineStr">
        <is>
          <t>VenueAndTemplateRulesTest › SanKhau</t>
        </is>
      </c>
      <c r="F1388" s="17" t="inlineStr">
        <is>
          <t>Sân khấu</t>
        </is>
      </c>
      <c r="G1388" s="17" t="inlineStr">
        <is>
          <t>sân khấu tròn bỏ qua chiều sâu và cao bằng đường kính</t>
        </is>
      </c>
      <c r="H1388" s="17" t="inlineStr">
        <is>
          <t>san_khau_tron</t>
        </is>
      </c>
      <c r="I1388" s="16" t="inlineStr">
        <is>
          <t>Đạt</t>
        </is>
      </c>
      <c r="J1388" s="16" t="n">
        <v>0.001</v>
      </c>
    </row>
    <row r="1389">
      <c r="A1389" s="16" t="n">
        <v>1385</v>
      </c>
      <c r="B1389" s="16" t="inlineStr">
        <is>
          <t>Backend</t>
        </is>
      </c>
      <c r="C1389" s="17" t="inlineStr">
        <is>
          <t>catalog-service</t>
        </is>
      </c>
      <c r="D1389" s="16" t="inlineStr">
        <is>
          <t>Unit</t>
        </is>
      </c>
      <c r="E1389" s="17" t="inlineStr">
        <is>
          <t>VenueAndTemplateRulesTest › SanKhau</t>
        </is>
      </c>
      <c r="F1389" s="17" t="inlineStr">
        <is>
          <t>Sân khấu</t>
        </is>
      </c>
      <c r="G1389" s="17" t="inlineStr">
        <is>
          <t>sân khấu chữ nhật chiều sâu 0 bị từ chối</t>
        </is>
      </c>
      <c r="H1389" s="17" t="inlineStr">
        <is>
          <t>chu_nhat_khong_sau</t>
        </is>
      </c>
      <c r="I1389" s="16" t="inlineStr">
        <is>
          <t>Đạt</t>
        </is>
      </c>
      <c r="J1389" s="16" t="n">
        <v>0.001</v>
      </c>
    </row>
    <row r="1390">
      <c r="A1390" s="16" t="n">
        <v>1386</v>
      </c>
      <c r="B1390" s="16" t="inlineStr">
        <is>
          <t>Backend</t>
        </is>
      </c>
      <c r="C1390" s="17" t="inlineStr">
        <is>
          <t>catalog-service</t>
        </is>
      </c>
      <c r="D1390" s="16" t="inlineStr">
        <is>
          <t>Unit</t>
        </is>
      </c>
      <c r="E1390" s="17" t="inlineStr">
        <is>
          <t>VenueAndTemplateRulesTest › SanKhau</t>
        </is>
      </c>
      <c r="F1390" s="17" t="inlineStr">
        <is>
          <t>Sân khấu</t>
        </is>
      </c>
      <c r="G1390" s="17" t="inlineStr">
        <is>
          <t>bề ngang ≤ 0 bị từ chối với mọi hình</t>
        </is>
      </c>
      <c r="H1390" s="17" t="inlineStr">
        <is>
          <t>be_ngang</t>
        </is>
      </c>
      <c r="I1390" s="16" t="inlineStr">
        <is>
          <t>Đạt</t>
        </is>
      </c>
      <c r="J1390" s="16" t="n">
        <v>0.001</v>
      </c>
    </row>
    <row r="1391">
      <c r="A1391" s="16" t="n">
        <v>1387</v>
      </c>
      <c r="B1391" s="16" t="inlineStr">
        <is>
          <t>Backend</t>
        </is>
      </c>
      <c r="C1391" s="17" t="inlineStr">
        <is>
          <t>catalog-service</t>
        </is>
      </c>
      <c r="D1391" s="16" t="inlineStr">
        <is>
          <t>Unit</t>
        </is>
      </c>
      <c r="E1391" s="17" t="inlineStr">
        <is>
          <t>VenueAndTemplateRulesTest › VongDoiKhung</t>
        </is>
      </c>
      <c r="F1391" s="17" t="inlineStr">
        <is>
          <t>Vòng đời khung concert</t>
        </is>
      </c>
      <c r="G1391" s="17" t="inlineStr">
        <is>
          <t>khung phải có mã, tên và phân loại; mã được cắt khoảng trắng</t>
        </is>
      </c>
      <c r="H1391" s="17" t="inlineStr">
        <is>
          <t>truong_bat_buoc</t>
        </is>
      </c>
      <c r="I1391" s="16" t="inlineStr">
        <is>
          <t>Đạt</t>
        </is>
      </c>
      <c r="J1391" s="16" t="n">
        <v>0.003</v>
      </c>
    </row>
    <row r="1392">
      <c r="A1392" s="16" t="n">
        <v>1388</v>
      </c>
      <c r="B1392" s="16" t="inlineStr">
        <is>
          <t>Backend</t>
        </is>
      </c>
      <c r="C1392" s="17" t="inlineStr">
        <is>
          <t>catalog-service</t>
        </is>
      </c>
      <c r="D1392" s="16" t="inlineStr">
        <is>
          <t>Unit</t>
        </is>
      </c>
      <c r="E1392" s="17" t="inlineStr">
        <is>
          <t>VenueAndTemplateRulesTest › VongDoiKhung</t>
        </is>
      </c>
      <c r="F1392" s="17" t="inlineStr">
        <is>
          <t>Vòng đời khung concert</t>
        </is>
      </c>
      <c r="G1392" s="17" t="inlineStr">
        <is>
          <t>nháp → mở → lưu trữ → về nháp → mở lại</t>
        </is>
      </c>
      <c r="H1392" s="17" t="inlineStr">
        <is>
          <t>vong_doi_day_du</t>
        </is>
      </c>
      <c r="I1392" s="16" t="inlineStr">
        <is>
          <t>Đạt</t>
        </is>
      </c>
      <c r="J1392" s="16" t="n">
        <v>0.001</v>
      </c>
    </row>
    <row r="1393">
      <c r="A1393" s="16" t="n">
        <v>1389</v>
      </c>
      <c r="B1393" s="16" t="inlineStr">
        <is>
          <t>Backend</t>
        </is>
      </c>
      <c r="C1393" s="17" t="inlineStr">
        <is>
          <t>catalog-service</t>
        </is>
      </c>
      <c r="D1393" s="16" t="inlineStr">
        <is>
          <t>Unit</t>
        </is>
      </c>
      <c r="E1393" s="17" t="inlineStr">
        <is>
          <t>VenueAndTemplateRulesTest › VongDoiKhung</t>
        </is>
      </c>
      <c r="F1393" s="17" t="inlineStr">
        <is>
          <t>Vòng đời khung concert</t>
        </is>
      </c>
      <c r="G1393" s="17" t="inlineStr">
        <is>
          <t>giá gợi ý âm bị từ chối</t>
        </is>
      </c>
      <c r="H1393" s="17" t="inlineStr">
        <is>
          <t>gia_goi_y_am</t>
        </is>
      </c>
      <c r="I1393" s="16" t="inlineStr">
        <is>
          <t>Đạt</t>
        </is>
      </c>
      <c r="J1393" s="16" t="n">
        <v>0.001</v>
      </c>
    </row>
    <row r="1394">
      <c r="A1394" s="16" t="n">
        <v>1390</v>
      </c>
      <c r="B1394" s="16" t="inlineStr">
        <is>
          <t>Backend</t>
        </is>
      </c>
      <c r="C1394" s="17" t="inlineStr">
        <is>
          <t>catalog-service</t>
        </is>
      </c>
      <c r="D1394" s="16" t="inlineStr">
        <is>
          <t>Unit</t>
        </is>
      </c>
      <c r="E1394" s="17" t="inlineStr">
        <is>
          <t>VenueAndTemplateRulesTest › VongDoiKhung</t>
        </is>
      </c>
      <c r="F1394" s="17" t="inlineStr">
        <is>
          <t>Vòng đời khung concert</t>
        </is>
      </c>
      <c r="G1394" s="17" t="inlineStr">
        <is>
          <t>chép khu sang địa điểm giữ nguyên hình dạng và nhớ khu gốc</t>
        </is>
      </c>
      <c r="H1394" s="17" t="inlineStr">
        <is>
          <t>chep_khu</t>
        </is>
      </c>
      <c r="I1394" s="16" t="inlineStr">
        <is>
          <t>Đạt</t>
        </is>
      </c>
      <c r="J1394" s="16" t="n">
        <v>0.001</v>
      </c>
    </row>
    <row r="1395">
      <c r="A1395" s="16" t="n">
        <v>1391</v>
      </c>
      <c r="B1395" s="16" t="inlineStr">
        <is>
          <t>Backend</t>
        </is>
      </c>
      <c r="C1395" s="17" t="inlineStr">
        <is>
          <t>catalog-service</t>
        </is>
      </c>
      <c r="D1395" s="16" t="inlineStr">
        <is>
          <t>Unit</t>
        </is>
      </c>
      <c r="E1395" s="17" t="inlineStr">
        <is>
          <t>VenueAndTemplateRulesTest › VongDoiKhung</t>
        </is>
      </c>
      <c r="F1395" s="17" t="inlineStr">
        <is>
          <t>Vòng đời khung concert</t>
        </is>
      </c>
      <c r="G1395" s="17" t="inlineStr">
        <is>
          <t>đổi tên: chuỗi rỗng không xoá tên/phân loại, nhưng xoá được mô tả</t>
        </is>
      </c>
      <c r="H1395" s="17" t="inlineStr">
        <is>
          <t>doi_ten</t>
        </is>
      </c>
      <c r="I1395" s="16" t="inlineStr">
        <is>
          <t>Đạt</t>
        </is>
      </c>
      <c r="J1395" s="16" t="n">
        <v>0</v>
      </c>
    </row>
    <row r="1396">
      <c r="A1396" s="16" t="n">
        <v>1392</v>
      </c>
      <c r="B1396" s="16" t="inlineStr">
        <is>
          <t>Backend</t>
        </is>
      </c>
      <c r="C1396" s="17" t="inlineStr">
        <is>
          <t>catalog-service</t>
        </is>
      </c>
      <c r="D1396" s="16" t="inlineStr">
        <is>
          <t>Unit</t>
        </is>
      </c>
      <c r="E1396" s="17" t="inlineStr">
        <is>
          <t>ZoneLayoutTest</t>
        </is>
      </c>
      <c r="F1396" s="17" t="inlineStr"/>
      <c r="G1396" s="17" t="inlineStr">
        <is>
          <t>khu chữ nhật: ghế căn giữa quanh gốc, hàng chạy xuống dưới</t>
        </is>
      </c>
      <c r="H1396" s="17" t="inlineStr">
        <is>
          <t>grid_can_giua_quanh_goc</t>
        </is>
      </c>
      <c r="I1396" s="16" t="inlineStr">
        <is>
          <t>Đạt</t>
        </is>
      </c>
      <c r="J1396" s="16" t="n">
        <v>0.002</v>
      </c>
    </row>
    <row r="1397">
      <c r="A1397" s="16" t="n">
        <v>1393</v>
      </c>
      <c r="B1397" s="16" t="inlineStr">
        <is>
          <t>Backend</t>
        </is>
      </c>
      <c r="C1397" s="17" t="inlineStr">
        <is>
          <t>catalog-service</t>
        </is>
      </c>
      <c r="D1397" s="16" t="inlineStr">
        <is>
          <t>Unit</t>
        </is>
      </c>
      <c r="E1397" s="17" t="inlineStr">
        <is>
          <t>ZoneLayoutTest</t>
        </is>
      </c>
      <c r="F1397" s="17" t="inlineStr"/>
      <c r="G1397" s="17" t="inlineStr">
        <is>
          <t>khu chữ nhật xoay 90°: hàng chạy sang ngang, ghế chạy xuống dưới</t>
        </is>
      </c>
      <c r="H1397" s="17" t="inlineStr">
        <is>
          <t>grid_xoay_90_do</t>
        </is>
      </c>
      <c r="I1397" s="16" t="inlineStr">
        <is>
          <t>Đạt</t>
        </is>
      </c>
      <c r="J1397" s="16" t="n">
        <v>0.002</v>
      </c>
    </row>
    <row r="1398">
      <c r="A1398" s="16" t="n">
        <v>1394</v>
      </c>
      <c r="B1398" s="16" t="inlineStr">
        <is>
          <t>Backend</t>
        </is>
      </c>
      <c r="C1398" s="17" t="inlineStr">
        <is>
          <t>catalog-service</t>
        </is>
      </c>
      <c r="D1398" s="16" t="inlineStr">
        <is>
          <t>Unit</t>
        </is>
      </c>
      <c r="E1398" s="17" t="inlineStr">
        <is>
          <t>ZoneLayoutTest</t>
        </is>
      </c>
      <c r="F1398" s="17" t="inlineStr"/>
      <c r="G1398" s="17" t="inlineStr">
        <is>
          <t>đường bao cung lấy nhiều điểm hơn khi cung mở rộng hơn</t>
        </is>
      </c>
      <c r="H1398" s="17" t="inlineStr">
        <is>
          <t>outline_cung_rong_lay_nhieu_diem_hon</t>
        </is>
      </c>
      <c r="I1398" s="16" t="inlineStr">
        <is>
          <t>Đạt</t>
        </is>
      </c>
      <c r="J1398" s="16" t="n">
        <v>0.003</v>
      </c>
    </row>
    <row r="1399">
      <c r="A1399" s="16" t="n">
        <v>1395</v>
      </c>
      <c r="B1399" s="16" t="inlineStr">
        <is>
          <t>Backend</t>
        </is>
      </c>
      <c r="C1399" s="17" t="inlineStr">
        <is>
          <t>catalog-service</t>
        </is>
      </c>
      <c r="D1399" s="16" t="inlineStr">
        <is>
          <t>Unit</t>
        </is>
      </c>
      <c r="E1399" s="17" t="inlineStr">
        <is>
          <t>ZoneLayoutTest</t>
        </is>
      </c>
      <c r="F1399" s="17" t="inlineStr"/>
      <c r="G1399" s="17" t="inlineStr">
        <is>
          <t>khu cung: ghế nằm đúng trên bán kính của hàng mình</t>
        </is>
      </c>
      <c r="H1399" s="17" t="inlineStr">
        <is>
          <t>arc_ghe_nam_tren_ban_kinh_cua_hang</t>
        </is>
      </c>
      <c r="I1399" s="16" t="inlineStr">
        <is>
          <t>Đạt</t>
        </is>
      </c>
      <c r="J1399" s="16" t="n">
        <v>0.002</v>
      </c>
    </row>
    <row r="1400">
      <c r="A1400" s="16" t="n">
        <v>1396</v>
      </c>
      <c r="B1400" s="16" t="inlineStr">
        <is>
          <t>Backend</t>
        </is>
      </c>
      <c r="C1400" s="17" t="inlineStr">
        <is>
          <t>catalog-service</t>
        </is>
      </c>
      <c r="D1400" s="16" t="inlineStr">
        <is>
          <t>Unit</t>
        </is>
      </c>
      <c r="E1400" s="17" t="inlineStr">
        <is>
          <t>ZoneLayoutTest</t>
        </is>
      </c>
      <c r="F1400" s="17" t="inlineStr"/>
      <c r="G1400" s="17" t="inlineStr">
        <is>
          <t>khu chữ nhật không đòi tham số của cung</t>
        </is>
      </c>
      <c r="H1400" s="17" t="inlineStr">
        <is>
          <t>grid_khong_doi_tham_so_cung</t>
        </is>
      </c>
      <c r="I1400" s="16" t="inlineStr">
        <is>
          <t>Đạt</t>
        </is>
      </c>
      <c r="J1400" s="16" t="n">
        <v>0.002</v>
      </c>
    </row>
    <row r="1401">
      <c r="A1401" s="16" t="n">
        <v>1397</v>
      </c>
      <c r="B1401" s="16" t="inlineStr">
        <is>
          <t>Backend</t>
        </is>
      </c>
      <c r="C1401" s="17" t="inlineStr">
        <is>
          <t>catalog-service</t>
        </is>
      </c>
      <c r="D1401" s="16" t="inlineStr">
        <is>
          <t>Unit</t>
        </is>
      </c>
      <c r="E1401" s="17" t="inlineStr">
        <is>
          <t>ZoneLayoutTest</t>
        </is>
      </c>
      <c r="F1401" s="17" t="inlineStr"/>
      <c r="G1401" s="17" t="inlineStr">
        <is>
          <t>đường bao chữ nhật ôm ngoài ghế mép, không cắt qua chúng</t>
        </is>
      </c>
      <c r="H1401" s="17" t="inlineStr">
        <is>
          <t>outline_om_ngoai_ghe_mep</t>
        </is>
      </c>
      <c r="I1401" s="16" t="inlineStr">
        <is>
          <t>Đạt</t>
        </is>
      </c>
      <c r="J1401" s="16" t="n">
        <v>0.003</v>
      </c>
    </row>
    <row r="1402">
      <c r="A1402" s="16" t="n">
        <v>1398</v>
      </c>
      <c r="B1402" s="16" t="inlineStr">
        <is>
          <t>Backend</t>
        </is>
      </c>
      <c r="C1402" s="17" t="inlineStr">
        <is>
          <t>catalog-service</t>
        </is>
      </c>
      <c r="D1402" s="16" t="inlineStr">
        <is>
          <t>Unit</t>
        </is>
      </c>
      <c r="E1402" s="17" t="inlineStr">
        <is>
          <t>ZoneLayoutTest</t>
        </is>
      </c>
      <c r="F1402" s="17" t="inlineStr"/>
      <c r="G1402" s="17" t="inlineStr">
        <is>
          <t>khu cung: hàng ghế căn giữa trong cung, không dính mép</t>
        </is>
      </c>
      <c r="H1402" s="17" t="inlineStr">
        <is>
          <t>arc_can_giua_trong_cung</t>
        </is>
      </c>
      <c r="I1402" s="16" t="inlineStr">
        <is>
          <t>Đạt</t>
        </is>
      </c>
      <c r="J1402" s="16" t="n">
        <v>0.003</v>
      </c>
    </row>
    <row r="1403">
      <c r="A1403" s="16" t="n">
        <v>1399</v>
      </c>
      <c r="B1403" s="16" t="inlineStr">
        <is>
          <t>Backend</t>
        </is>
      </c>
      <c r="C1403" s="17" t="inlineStr">
        <is>
          <t>catalog-service</t>
        </is>
      </c>
      <c r="D1403" s="16" t="inlineStr">
        <is>
          <t>Unit</t>
        </is>
      </c>
      <c r="E1403" s="17" t="inlineStr">
        <is>
          <t>ZoneLayoutTest</t>
        </is>
      </c>
      <c r="F1403" s="17" t="inlineStr"/>
      <c r="G1403" s="17" t="inlineStr">
        <is>
          <t>cung quét ngược hoặc quá một vòng bị từ chối ngay khi dựng</t>
        </is>
      </c>
      <c r="H1403" s="17" t="inlineStr">
        <is>
          <t>cung_khong_hop_le_bi_tu_choi</t>
        </is>
      </c>
      <c r="I1403" s="16" t="inlineStr">
        <is>
          <t>Đạt</t>
        </is>
      </c>
      <c r="J1403" s="16" t="n">
        <v>0.005</v>
      </c>
    </row>
    <row r="1404">
      <c r="A1404" s="16" t="n">
        <v>1400</v>
      </c>
      <c r="B1404" s="16" t="inlineStr">
        <is>
          <t>Backend</t>
        </is>
      </c>
      <c r="C1404" s="17" t="inlineStr">
        <is>
          <t>catalog-service</t>
        </is>
      </c>
      <c r="D1404" s="16" t="inlineStr">
        <is>
          <t>Unit</t>
        </is>
      </c>
      <c r="E1404" s="17" t="inlineStr">
        <is>
          <t>ZoneLayoutTest</t>
        </is>
      </c>
      <c r="F1404" s="17" t="inlineStr"/>
      <c r="G1404" s="17" t="inlineStr">
        <is>
          <t>số ghế chẵn: hai ghế giữa nằm hai bên trục, không ghế nào đè lên trục</t>
        </is>
      </c>
      <c r="H1404" s="17" t="inlineStr">
        <is>
          <t>grid_so_ghe_chan_khong_co_ghe_giua</t>
        </is>
      </c>
      <c r="I1404" s="16" t="inlineStr">
        <is>
          <t>Đạt</t>
        </is>
      </c>
      <c r="J1404" s="16" t="n">
        <v>0.003</v>
      </c>
    </row>
    <row r="1405">
      <c r="A1405" s="16" t="n">
        <v>1401</v>
      </c>
      <c r="B1405" s="16" t="inlineStr">
        <is>
          <t>Backend</t>
        </is>
      </c>
      <c r="C1405" s="17" t="inlineStr">
        <is>
          <t>catalog-service</t>
        </is>
      </c>
      <c r="D1405" s="16" t="inlineStr">
        <is>
          <t>Unit</t>
        </is>
      </c>
      <c r="E1405" s="17" t="inlineStr">
        <is>
          <t>DemoDataConsistencyTest</t>
        </is>
      </c>
      <c r="F1405" s="17" t="inlineStr"/>
      <c r="G1405" s="17" t="inlineStr">
        <is>
          <t>mọi bảng giá trỏ vào một khu CÓ THẬT ở địa điểm của sự kiện</t>
        </is>
      </c>
      <c r="H1405" s="17" t="inlineStr">
        <is>
          <t>moi_bang_gia_tro_vao_khu_co_that</t>
        </is>
      </c>
      <c r="I1405" s="16" t="inlineStr">
        <is>
          <t>Đạt</t>
        </is>
      </c>
      <c r="J1405" s="16" t="n">
        <v>0.004</v>
      </c>
    </row>
    <row r="1406">
      <c r="A1406" s="16" t="n">
        <v>1402</v>
      </c>
      <c r="B1406" s="16" t="inlineStr">
        <is>
          <t>Backend</t>
        </is>
      </c>
      <c r="C1406" s="17" t="inlineStr">
        <is>
          <t>catalog-service</t>
        </is>
      </c>
      <c r="D1406" s="16" t="inlineStr">
        <is>
          <t>Unit</t>
        </is>
      </c>
      <c r="E1406" s="17" t="inlineStr">
        <is>
          <t>DemoDataConsistencyTest</t>
        </is>
      </c>
      <c r="F1406" s="17" t="inlineStr"/>
      <c r="G1406" s="17" t="inlineStr">
        <is>
          <t>sự kiện ĐÃ XUẤT BẢN nào cũng bán được thứ gì đó</t>
        </is>
      </c>
      <c r="H1406" s="17" t="inlineStr">
        <is>
          <t>su_kien_da_xuat_ban_deu_ban_duoc</t>
        </is>
      </c>
      <c r="I1406" s="16" t="inlineStr">
        <is>
          <t>Đạt</t>
        </is>
      </c>
      <c r="J1406" s="16" t="n">
        <v>0.001</v>
      </c>
    </row>
    <row r="1407">
      <c r="A1407" s="16" t="n">
        <v>1403</v>
      </c>
      <c r="B1407" s="16" t="inlineStr">
        <is>
          <t>Backend</t>
        </is>
      </c>
      <c r="C1407" s="17" t="inlineStr">
        <is>
          <t>catalog-service</t>
        </is>
      </c>
      <c r="D1407" s="16" t="inlineStr">
        <is>
          <t>Unit</t>
        </is>
      </c>
      <c r="E1407" s="17" t="inlineStr">
        <is>
          <t>DemoDataConsistencyTest</t>
        </is>
      </c>
      <c r="F1407" s="17" t="inlineStr"/>
      <c r="G1407" s="17" t="inlineStr">
        <is>
          <t>khu bàn tròn và khu cung đều có mặt trong dữ liệu mẫu</t>
        </is>
      </c>
      <c r="H1407" s="17" t="inlineStr">
        <is>
          <t>ba_hinh_bo_cuc_deu_co_cho_nhin_thay</t>
        </is>
      </c>
      <c r="I1407" s="16" t="inlineStr">
        <is>
          <t>Đạt</t>
        </is>
      </c>
      <c r="J1407" s="16" t="n">
        <v>0.002</v>
      </c>
    </row>
    <row r="1408">
      <c r="A1408" s="16" t="n">
        <v>1404</v>
      </c>
      <c r="B1408" s="16" t="inlineStr">
        <is>
          <t>Backend</t>
        </is>
      </c>
      <c r="C1408" s="17" t="inlineStr">
        <is>
          <t>catalog-service</t>
        </is>
      </c>
      <c r="D1408" s="16" t="inlineStr">
        <is>
          <t>Unit</t>
        </is>
      </c>
      <c r="E1408" s="17" t="inlineStr">
        <is>
          <t>DemoDataConsistencyTest</t>
        </is>
      </c>
      <c r="F1408" s="17" t="inlineStr"/>
      <c r="G1408" s="17" t="inlineStr">
        <is>
          <t>mã khu không trùng nhau trong cùng một địa điểm</t>
        </is>
      </c>
      <c r="H1408" s="17" t="inlineStr">
        <is>
          <t>ma_khu_khong_trung_trong_mot_dia_diem</t>
        </is>
      </c>
      <c r="I1408" s="16" t="inlineStr">
        <is>
          <t>Đạt</t>
        </is>
      </c>
      <c r="J1408" s="16" t="n">
        <v>0.001</v>
      </c>
    </row>
    <row r="1409">
      <c r="A1409" s="16" t="n">
        <v>1405</v>
      </c>
      <c r="B1409" s="16" t="inlineStr">
        <is>
          <t>Backend</t>
        </is>
      </c>
      <c r="C1409" s="17" t="inlineStr">
        <is>
          <t>catalog-service</t>
        </is>
      </c>
      <c r="D1409" s="16" t="inlineStr">
        <is>
          <t>Unit</t>
        </is>
      </c>
      <c r="E1409" s="17" t="inlineStr">
        <is>
          <t>DemoDataConsistencyTest</t>
        </is>
      </c>
      <c r="F1409" s="17" t="inlineStr"/>
      <c r="G1409" s="17" t="inlineStr">
        <is>
          <t>slug sự kiện không trùng nhau</t>
        </is>
      </c>
      <c r="H1409" s="17" t="inlineStr">
        <is>
          <t>slug_su_kien_khong_trung</t>
        </is>
      </c>
      <c r="I1409" s="16" t="inlineStr">
        <is>
          <t>Đạt</t>
        </is>
      </c>
      <c r="J1409" s="16" t="n">
        <v>0.001</v>
      </c>
    </row>
    <row r="1410">
      <c r="A1410" s="16" t="n">
        <v>1406</v>
      </c>
      <c r="B1410" s="16" t="inlineStr">
        <is>
          <t>Backend</t>
        </is>
      </c>
      <c r="C1410" s="17" t="inlineStr">
        <is>
          <t>catalog-service</t>
        </is>
      </c>
      <c r="D1410" s="16" t="inlineStr">
        <is>
          <t>Unit</t>
        </is>
      </c>
      <c r="E1410" s="17" t="inlineStr">
        <is>
          <t>DemoPosterPhotosTest</t>
        </is>
      </c>
      <c r="F1410" s="17" t="inlineStr"/>
      <c r="G1410" s="17" t="inlineStr">
        <is>
          <t>bốn thể loại của dữ liệu mẫu đều có ảnh</t>
        </is>
      </c>
      <c r="H1410" s="17" t="inlineStr">
        <is>
          <t>du_bon_the_loai</t>
        </is>
      </c>
      <c r="I1410" s="16" t="inlineStr">
        <is>
          <t>Đạt</t>
        </is>
      </c>
      <c r="J1410" s="16" t="n">
        <v>0.021</v>
      </c>
    </row>
    <row r="1411">
      <c r="A1411" s="16" t="n">
        <v>1407</v>
      </c>
      <c r="B1411" s="16" t="inlineStr">
        <is>
          <t>Backend</t>
        </is>
      </c>
      <c r="C1411" s="17" t="inlineStr">
        <is>
          <t>catalog-service</t>
        </is>
      </c>
      <c r="D1411" s="16" t="inlineStr">
        <is>
          <t>Unit</t>
        </is>
      </c>
      <c r="E1411" s="17" t="inlineStr">
        <is>
          <t>DemoPosterPhotosTest</t>
        </is>
      </c>
      <c r="F1411" s="17" t="inlineStr"/>
      <c r="G1411" s="17" t="inlineStr">
        <is>
          <t>sự kiện chưa chọn ảnh trả về rỗng chứ không ném</t>
        </is>
      </c>
      <c r="H1411" s="17" t="inlineStr">
        <is>
          <t>su_kien_chua_chon_anh</t>
        </is>
      </c>
      <c r="I1411" s="16" t="inlineStr">
        <is>
          <t>Đạt</t>
        </is>
      </c>
      <c r="J1411" s="16" t="n">
        <v>0.001</v>
      </c>
    </row>
    <row r="1412">
      <c r="A1412" s="16" t="n">
        <v>1408</v>
      </c>
      <c r="B1412" s="16" t="inlineStr">
        <is>
          <t>Backend</t>
        </is>
      </c>
      <c r="C1412" s="17" t="inlineStr">
        <is>
          <t>catalog-service</t>
        </is>
      </c>
      <c r="D1412" s="16" t="inlineStr">
        <is>
          <t>Unit</t>
        </is>
      </c>
      <c r="E1412" s="17" t="inlineStr">
        <is>
          <t>DemoPosterPhotosTest</t>
        </is>
      </c>
      <c r="F1412" s="17" t="inlineStr"/>
      <c r="G1412" s="17" t="inlineStr">
        <is>
          <t>mọi slug trong bảng đều là sự kiện mẫu có thật</t>
        </is>
      </c>
      <c r="H1412" s="17" t="inlineStr">
        <is>
          <t>khong_co_slug_viet_sai</t>
        </is>
      </c>
      <c r="I1412" s="16" t="inlineStr">
        <is>
          <t>Đạt</t>
        </is>
      </c>
      <c r="J1412" s="16" t="n">
        <v>0.002</v>
      </c>
    </row>
    <row r="1413">
      <c r="A1413" s="16" t="n">
        <v>1409</v>
      </c>
      <c r="B1413" s="16" t="inlineStr">
        <is>
          <t>Backend</t>
        </is>
      </c>
      <c r="C1413" s="17" t="inlineStr">
        <is>
          <t>catalog-service</t>
        </is>
      </c>
      <c r="D1413" s="16" t="inlineStr">
        <is>
          <t>Unit</t>
        </is>
      </c>
      <c r="E1413" s="17" t="inlineStr">
        <is>
          <t>DemoPosterPhotosTest</t>
        </is>
      </c>
      <c r="F1413" s="17" t="inlineStr"/>
      <c r="G1413" s="17" t="inlineStr">
        <is>
          <t>ảnh nào cũng ghi tên tác giả</t>
        </is>
      </c>
      <c r="H1413" s="17" t="inlineStr">
        <is>
          <t>luon_co_ten_tac_gia</t>
        </is>
      </c>
      <c r="I1413" s="16" t="inlineStr">
        <is>
          <t>Đạt</t>
        </is>
      </c>
      <c r="J1413" s="16" t="n">
        <v>0.005</v>
      </c>
    </row>
    <row r="1414">
      <c r="A1414" s="16" t="n">
        <v>1410</v>
      </c>
      <c r="B1414" s="16" t="inlineStr">
        <is>
          <t>Backend</t>
        </is>
      </c>
      <c r="C1414" s="17" t="inlineStr">
        <is>
          <t>catalog-service</t>
        </is>
      </c>
      <c r="D1414" s="16" t="inlineStr">
        <is>
          <t>Unit</t>
        </is>
      </c>
      <c r="E1414" s="17" t="inlineStr">
        <is>
          <t>DemoPosterPhotosTest</t>
        </is>
      </c>
      <c r="F1414" s="17" t="inlineStr"/>
      <c r="G1414" s="17" t="inlineStr">
        <is>
          <t>không sự kiện nào dùng chung ảnh với sự kiện khác</t>
        </is>
      </c>
      <c r="H1414" s="17" t="inlineStr">
        <is>
          <t>moi_su_kien_mot_anh_rieng</t>
        </is>
      </c>
      <c r="I1414" s="16" t="inlineStr">
        <is>
          <t>Đạt</t>
        </is>
      </c>
      <c r="J1414" s="16" t="n">
        <v>0.001</v>
      </c>
    </row>
    <row r="1415">
      <c r="A1415" s="16" t="n">
        <v>1411</v>
      </c>
      <c r="B1415" s="16" t="inlineStr">
        <is>
          <t>Backend</t>
        </is>
      </c>
      <c r="C1415" s="17" t="inlineStr">
        <is>
          <t>catalog-service</t>
        </is>
      </c>
      <c r="D1415" s="16" t="inlineStr">
        <is>
          <t>Unit</t>
        </is>
      </c>
      <c r="E1415" s="17" t="inlineStr">
        <is>
          <t>DemoPosterPhotosTest</t>
        </is>
      </c>
      <c r="F1415" s="17" t="inlineStr"/>
      <c r="G1415" s="17" t="inlineStr">
        <is>
          <t>địa chỉ tải về đã cắt sẵn khung 16:9 và hạn chất lượng</t>
        </is>
      </c>
      <c r="H1415" s="17" t="inlineStr">
        <is>
          <t>url_cat_san_anh</t>
        </is>
      </c>
      <c r="I1415" s="16" t="inlineStr">
        <is>
          <t>Đạt</t>
        </is>
      </c>
      <c r="J1415" s="16" t="n">
        <v>0.003</v>
      </c>
    </row>
    <row r="1416">
      <c r="A1416" s="16" t="n">
        <v>1412</v>
      </c>
      <c r="B1416" s="16" t="inlineStr">
        <is>
          <t>Backend</t>
        </is>
      </c>
      <c r="C1416" s="17" t="inlineStr">
        <is>
          <t>catalog-service</t>
        </is>
      </c>
      <c r="D1416" s="16" t="inlineStr">
        <is>
          <t>Unit</t>
        </is>
      </c>
      <c r="E1416" s="17" t="inlineStr">
        <is>
          <t>PosterArtworkTest</t>
        </is>
      </c>
      <c r="F1416" s="17" t="inlineStr"/>
      <c r="G1416" s="17" t="inlineStr">
        <is>
          <t>kết quả là XML hợp lệ</t>
        </is>
      </c>
      <c r="H1416" s="17" t="inlineStr">
        <is>
          <t>la_xml_hop_le</t>
        </is>
      </c>
      <c r="I1416" s="16" t="inlineStr">
        <is>
          <t>Đạt</t>
        </is>
      </c>
      <c r="J1416" s="16" t="n">
        <v>0.128</v>
      </c>
    </row>
    <row r="1417">
      <c r="A1417" s="16" t="n">
        <v>1413</v>
      </c>
      <c r="B1417" s="16" t="inlineStr">
        <is>
          <t>Backend</t>
        </is>
      </c>
      <c r="C1417" s="17" t="inlineStr">
        <is>
          <t>catalog-service</t>
        </is>
      </c>
      <c r="D1417" s="16" t="inlineStr">
        <is>
          <t>Unit</t>
        </is>
      </c>
      <c r="E1417" s="17" t="inlineStr">
        <is>
          <t>PosterArtworkTest</t>
        </is>
      </c>
      <c r="F1417" s="17" t="inlineStr"/>
      <c r="G1417" s="17" t="inlineStr">
        <is>
          <t>thể loại lạ vẫn vẽ ra ảnh, không vỡ</t>
        </is>
      </c>
      <c r="H1417" s="17" t="inlineStr">
        <is>
          <t>the_loai_la_van_ve_duoc</t>
        </is>
      </c>
      <c r="I1417" s="16" t="inlineStr">
        <is>
          <t>Đạt</t>
        </is>
      </c>
      <c r="J1417" s="16" t="n">
        <v>0.008999999999999999</v>
      </c>
    </row>
    <row r="1418">
      <c r="A1418" s="16" t="n">
        <v>1414</v>
      </c>
      <c r="B1418" s="16" t="inlineStr">
        <is>
          <t>Backend</t>
        </is>
      </c>
      <c r="C1418" s="17" t="inlineStr">
        <is>
          <t>catalog-service</t>
        </is>
      </c>
      <c r="D1418" s="16" t="inlineStr">
        <is>
          <t>Unit</t>
        </is>
      </c>
      <c r="E1418" s="17" t="inlineStr">
        <is>
          <t>PosterArtworkTest</t>
        </is>
      </c>
      <c r="F1418" s="17" t="inlineStr"/>
      <c r="G1418" s="17" t="inlineStr">
        <is>
          <t>mỗi thể loại một bảng màu — nhìn là nhận ra loại sự kiện</t>
        </is>
      </c>
      <c r="H1418" s="17" t="inlineStr">
        <is>
          <t>moi_the_loai_mot_mau</t>
        </is>
      </c>
      <c r="I1418" s="16" t="inlineStr">
        <is>
          <t>Đạt</t>
        </is>
      </c>
      <c r="J1418" s="16" t="n">
        <v>0.001</v>
      </c>
    </row>
    <row r="1419">
      <c r="A1419" s="16" t="n">
        <v>1415</v>
      </c>
      <c r="B1419" s="16" t="inlineStr">
        <is>
          <t>Backend</t>
        </is>
      </c>
      <c r="C1419" s="17" t="inlineStr">
        <is>
          <t>catalog-service</t>
        </is>
      </c>
      <c r="D1419" s="16" t="inlineStr">
        <is>
          <t>Unit</t>
        </is>
      </c>
      <c r="E1419" s="17" t="inlineStr">
        <is>
          <t>PosterArtworkTest</t>
        </is>
      </c>
      <c r="F1419" s="17" t="inlineStr"/>
      <c r="G1419" s="17" t="inlineStr">
        <is>
          <t>không có đội hình thì bỏ hẳn dòng đó</t>
        </is>
      </c>
      <c r="H1419" s="17" t="inlineStr">
        <is>
          <t>khong_co_doi_hinh_thi_bo_dong</t>
        </is>
      </c>
      <c r="I1419" s="16" t="inlineStr">
        <is>
          <t>Đạt</t>
        </is>
      </c>
      <c r="J1419" s="16" t="n">
        <v>0.002</v>
      </c>
    </row>
    <row r="1420">
      <c r="A1420" s="16" t="n">
        <v>1416</v>
      </c>
      <c r="B1420" s="16" t="inlineStr">
        <is>
          <t>Backend</t>
        </is>
      </c>
      <c r="C1420" s="17" t="inlineStr">
        <is>
          <t>catalog-service</t>
        </is>
      </c>
      <c r="D1420" s="16" t="inlineStr">
        <is>
          <t>Unit</t>
        </is>
      </c>
      <c r="E1420" s="17" t="inlineStr">
        <is>
          <t>PosterArtworkTest</t>
        </is>
      </c>
      <c r="F1420" s="17" t="inlineStr"/>
      <c r="G1420" s="17" t="inlineStr">
        <is>
          <t>cùng một sự kiện luôn cho ra cùng một ảnh</t>
        </is>
      </c>
      <c r="H1420" s="17" t="inlineStr">
        <is>
          <t>on_dinh_theo_seed</t>
        </is>
      </c>
      <c r="I1420" s="16" t="inlineStr">
        <is>
          <t>Đạt</t>
        </is>
      </c>
      <c r="J1420" s="16" t="n">
        <v>0.001</v>
      </c>
    </row>
    <row r="1421">
      <c r="A1421" s="16" t="n">
        <v>1417</v>
      </c>
      <c r="B1421" s="16" t="inlineStr">
        <is>
          <t>Backend</t>
        </is>
      </c>
      <c r="C1421" s="17" t="inlineStr">
        <is>
          <t>catalog-service</t>
        </is>
      </c>
      <c r="D1421" s="16" t="inlineStr">
        <is>
          <t>Unit</t>
        </is>
      </c>
      <c r="E1421" s="17" t="inlineStr">
        <is>
          <t>PosterArtworkTest</t>
        </is>
      </c>
      <c r="F1421" s="17" t="inlineStr"/>
      <c r="G1421" s="17" t="inlineStr">
        <is>
          <t>đội hình nghệ sĩ hiện lên poster, cắt ở câu đầu</t>
        </is>
      </c>
      <c r="H1421" s="17" t="inlineStr">
        <is>
          <t>doi_hinh_nghe_si_hien_len</t>
        </is>
      </c>
      <c r="I1421" s="16" t="inlineStr">
        <is>
          <t>Đạt</t>
        </is>
      </c>
      <c r="J1421" s="16" t="n">
        <v>0.002</v>
      </c>
    </row>
    <row r="1422">
      <c r="A1422" s="16" t="n">
        <v>1418</v>
      </c>
      <c r="B1422" s="16" t="inlineStr">
        <is>
          <t>Backend</t>
        </is>
      </c>
      <c r="C1422" s="17" t="inlineStr">
        <is>
          <t>catalog-service</t>
        </is>
      </c>
      <c r="D1422" s="16" t="inlineStr">
        <is>
          <t>Unit</t>
        </is>
      </c>
      <c r="E1422" s="17" t="inlineStr">
        <is>
          <t>PosterArtworkTest</t>
        </is>
      </c>
      <c r="F1422" s="17" t="inlineStr"/>
      <c r="G1422" s="17" t="inlineStr">
        <is>
          <t>tên dài xuống dòng theo từ và dừng ở ba dòng</t>
        </is>
      </c>
      <c r="H1422" s="17" t="inlineStr">
        <is>
          <t>ten_dai_cat_o_ba_dong</t>
        </is>
      </c>
      <c r="I1422" s="16" t="inlineStr">
        <is>
          <t>Đạt</t>
        </is>
      </c>
      <c r="J1422" s="16" t="n">
        <v>0.001</v>
      </c>
    </row>
    <row r="1423">
      <c r="A1423" s="16" t="n">
        <v>1419</v>
      </c>
      <c r="B1423" s="16" t="inlineStr">
        <is>
          <t>Backend</t>
        </is>
      </c>
      <c r="C1423" s="17" t="inlineStr">
        <is>
          <t>catalog-service</t>
        </is>
      </c>
      <c r="D1423" s="16" t="inlineStr">
        <is>
          <t>Unit</t>
        </is>
      </c>
      <c r="E1423" s="17" t="inlineStr">
        <is>
          <t>PosterArtworkTest</t>
        </is>
      </c>
      <c r="F1423" s="17" t="inlineStr"/>
      <c r="G1423" s="17" t="inlineStr">
        <is>
          <t>chữ không đè lên nhau: mọi dòng cách nhau ít nhất 24 đơn vị</t>
        </is>
      </c>
      <c r="H1423" s="17" t="inlineStr">
        <is>
          <t>chu_khong_de_len_nhau</t>
        </is>
      </c>
      <c r="I1423" s="16" t="inlineStr">
        <is>
          <t>Đạt</t>
        </is>
      </c>
      <c r="J1423" s="16" t="n">
        <v>0.002</v>
      </c>
    </row>
    <row r="1424">
      <c r="A1424" s="16" t="n">
        <v>1420</v>
      </c>
      <c r="B1424" s="16" t="inlineStr">
        <is>
          <t>Backend</t>
        </is>
      </c>
      <c r="C1424" s="17" t="inlineStr">
        <is>
          <t>catalog-service</t>
        </is>
      </c>
      <c r="D1424" s="16" t="inlineStr">
        <is>
          <t>Unit</t>
        </is>
      </c>
      <c r="E1424" s="17" t="inlineStr">
        <is>
          <t>PosterArtworkTest</t>
        </is>
      </c>
      <c r="F1424" s="17" t="inlineStr"/>
      <c r="G1424" s="17" t="inlineStr">
        <is>
          <t>không có thành phố thì bỏ hẳn dòng đó, không để trống</t>
        </is>
      </c>
      <c r="H1424" s="17" t="inlineStr">
        <is>
          <t>thieu_thanh_pho_thi_bo_dong</t>
        </is>
      </c>
      <c r="I1424" s="16" t="inlineStr">
        <is>
          <t>Đạt</t>
        </is>
      </c>
      <c r="J1424" s="16" t="n">
        <v>0.001</v>
      </c>
    </row>
    <row r="1425">
      <c r="A1425" s="16" t="n">
        <v>1421</v>
      </c>
      <c r="B1425" s="16" t="inlineStr">
        <is>
          <t>Backend</t>
        </is>
      </c>
      <c r="C1425" s="17" t="inlineStr">
        <is>
          <t>catalog-service</t>
        </is>
      </c>
      <c r="D1425" s="16" t="inlineStr">
        <is>
          <t>Unit</t>
        </is>
      </c>
      <c r="E1425" s="17" t="inlineStr">
        <is>
          <t>PosterArtworkTest</t>
        </is>
      </c>
      <c r="F1425" s="17" t="inlineStr"/>
      <c r="G1425" s="17" t="inlineStr">
        <is>
          <t>dấu &amp; trong tên không làm vỡ cả file</t>
        </is>
      </c>
      <c r="H1425" s="17" t="inlineStr">
        <is>
          <t>thoat_ky_tu_xml</t>
        </is>
      </c>
      <c r="I1425" s="16" t="inlineStr">
        <is>
          <t>Đạt</t>
        </is>
      </c>
      <c r="J1425" s="16" t="n">
        <v>0.004</v>
      </c>
    </row>
    <row r="1426">
      <c r="A1426" s="16" t="n">
        <v>1422</v>
      </c>
      <c r="B1426" s="16" t="inlineStr">
        <is>
          <t>Backend</t>
        </is>
      </c>
      <c r="C1426" s="17" t="inlineStr">
        <is>
          <t>catalog-service</t>
        </is>
      </c>
      <c r="D1426" s="16" t="inlineStr">
        <is>
          <t>API slice</t>
        </is>
      </c>
      <c r="E1426" s="17" t="inlineStr">
        <is>
          <t>AdminCatalogControllerTest › DiaDiem</t>
        </is>
      </c>
      <c r="F1426" s="17" t="inlineStr">
        <is>
          <t>Địa điểm và khu</t>
        </is>
      </c>
      <c r="G1426" s="17" t="inlineStr">
        <is>
          <t>thiếu hoặc trống tên/thành phố: 400 VALIDATION_FAILED kèm meta.fields</t>
        </is>
      </c>
      <c r="H1426" s="17" t="inlineStr">
        <is>
          <t>thieu_truong(String)[1]</t>
        </is>
      </c>
      <c r="I1426" s="16" t="inlineStr">
        <is>
          <t>Đạt</t>
        </is>
      </c>
      <c r="J1426" s="16" t="n">
        <v>0.017</v>
      </c>
    </row>
    <row r="1427">
      <c r="A1427" s="16" t="n">
        <v>1423</v>
      </c>
      <c r="B1427" s="16" t="inlineStr">
        <is>
          <t>Backend</t>
        </is>
      </c>
      <c r="C1427" s="17" t="inlineStr">
        <is>
          <t>catalog-service</t>
        </is>
      </c>
      <c r="D1427" s="16" t="inlineStr">
        <is>
          <t>API slice</t>
        </is>
      </c>
      <c r="E1427" s="17" t="inlineStr">
        <is>
          <t>AdminCatalogControllerTest › DiaDiem</t>
        </is>
      </c>
      <c r="F1427" s="17" t="inlineStr">
        <is>
          <t>Địa điểm và khu</t>
        </is>
      </c>
      <c r="G1427" s="17" t="inlineStr">
        <is>
          <t>thiếu hoặc trống tên/thành phố: 400 VALIDATION_FAILED kèm meta.fields</t>
        </is>
      </c>
      <c r="H1427" s="17" t="inlineStr">
        <is>
          <t>thieu_truong(String)[2]</t>
        </is>
      </c>
      <c r="I1427" s="16" t="inlineStr">
        <is>
          <t>Đạt</t>
        </is>
      </c>
      <c r="J1427" s="16" t="n">
        <v>0.008</v>
      </c>
    </row>
    <row r="1428">
      <c r="A1428" s="16" t="n">
        <v>1424</v>
      </c>
      <c r="B1428" s="16" t="inlineStr">
        <is>
          <t>Backend</t>
        </is>
      </c>
      <c r="C1428" s="17" t="inlineStr">
        <is>
          <t>catalog-service</t>
        </is>
      </c>
      <c r="D1428" s="16" t="inlineStr">
        <is>
          <t>API slice</t>
        </is>
      </c>
      <c r="E1428" s="17" t="inlineStr">
        <is>
          <t>AdminCatalogControllerTest › DiaDiem</t>
        </is>
      </c>
      <c r="F1428" s="17" t="inlineStr">
        <is>
          <t>Địa điểm và khu</t>
        </is>
      </c>
      <c r="G1428" s="17" t="inlineStr">
        <is>
          <t>thiếu hoặc trống tên/thành phố: 400 VALIDATION_FAILED kèm meta.fields</t>
        </is>
      </c>
      <c r="H1428" s="17" t="inlineStr">
        <is>
          <t>thieu_truong(String)[3]</t>
        </is>
      </c>
      <c r="I1428" s="16" t="inlineStr">
        <is>
          <t>Đạt</t>
        </is>
      </c>
      <c r="J1428" s="16" t="n">
        <v>0.008</v>
      </c>
    </row>
    <row r="1429">
      <c r="A1429" s="16" t="n">
        <v>1425</v>
      </c>
      <c r="B1429" s="16" t="inlineStr">
        <is>
          <t>Backend</t>
        </is>
      </c>
      <c r="C1429" s="17" t="inlineStr">
        <is>
          <t>catalog-service</t>
        </is>
      </c>
      <c r="D1429" s="16" t="inlineStr">
        <is>
          <t>API slice</t>
        </is>
      </c>
      <c r="E1429" s="17" t="inlineStr">
        <is>
          <t>AdminCatalogControllerTest › DiaDiem</t>
        </is>
      </c>
      <c r="F1429" s="17" t="inlineStr">
        <is>
          <t>Địa điểm và khu</t>
        </is>
      </c>
      <c r="G1429" s="17" t="inlineStr">
        <is>
          <t>thiếu hoặc trống tên/thành phố: 400 VALIDATION_FAILED kèm meta.fields</t>
        </is>
      </c>
      <c r="H1429" s="17" t="inlineStr">
        <is>
          <t>thieu_truong(String)[4]</t>
        </is>
      </c>
      <c r="I1429" s="16" t="inlineStr">
        <is>
          <t>Đạt</t>
        </is>
      </c>
      <c r="J1429" s="16" t="n">
        <v>0.005</v>
      </c>
    </row>
    <row r="1430">
      <c r="A1430" s="16" t="n">
        <v>1426</v>
      </c>
      <c r="B1430" s="16" t="inlineStr">
        <is>
          <t>Backend</t>
        </is>
      </c>
      <c r="C1430" s="17" t="inlineStr">
        <is>
          <t>catalog-service</t>
        </is>
      </c>
      <c r="D1430" s="16" t="inlineStr">
        <is>
          <t>API slice</t>
        </is>
      </c>
      <c r="E1430" s="17" t="inlineStr">
        <is>
          <t>AdminCatalogControllerTest › DiaDiem</t>
        </is>
      </c>
      <c r="F1430" s="17" t="inlineStr">
        <is>
          <t>Địa điểm và khu</t>
        </is>
      </c>
      <c r="G1430" s="17" t="inlineStr">
        <is>
          <t>thiếu hoặc trống tên/thành phố: 400 VALIDATION_FAILED kèm meta.fields</t>
        </is>
      </c>
      <c r="H1430" s="17" t="inlineStr">
        <is>
          <t>thieu_truong(String)[5]</t>
        </is>
      </c>
      <c r="I1430" s="16" t="inlineStr">
        <is>
          <t>Đạt</t>
        </is>
      </c>
      <c r="J1430" s="16" t="n">
        <v>0.006</v>
      </c>
    </row>
    <row r="1431">
      <c r="A1431" s="16" t="n">
        <v>1427</v>
      </c>
      <c r="B1431" s="16" t="inlineStr">
        <is>
          <t>Backend</t>
        </is>
      </c>
      <c r="C1431" s="17" t="inlineStr">
        <is>
          <t>catalog-service</t>
        </is>
      </c>
      <c r="D1431" s="16" t="inlineStr">
        <is>
          <t>API slice</t>
        </is>
      </c>
      <c r="E1431" s="17" t="inlineStr">
        <is>
          <t>AdminCatalogControllerTest › DiaDiem</t>
        </is>
      </c>
      <c r="F1431" s="17" t="inlineStr">
        <is>
          <t>Địa điểm và khu</t>
        </is>
      </c>
      <c r="G1431" s="17" t="inlineStr">
        <is>
          <t>sai Content-Type: 415, không phải 500</t>
        </is>
      </c>
      <c r="H1431" s="17" t="inlineStr">
        <is>
          <t>sai_content_type</t>
        </is>
      </c>
      <c r="I1431" s="16" t="inlineStr">
        <is>
          <t>Đạt</t>
        </is>
      </c>
      <c r="J1431" s="16" t="n">
        <v>0.007</v>
      </c>
    </row>
    <row r="1432">
      <c r="A1432" s="16" t="n">
        <v>1428</v>
      </c>
      <c r="B1432" s="16" t="inlineStr">
        <is>
          <t>Backend</t>
        </is>
      </c>
      <c r="C1432" s="17" t="inlineStr">
        <is>
          <t>catalog-service</t>
        </is>
      </c>
      <c r="D1432" s="16" t="inlineStr">
        <is>
          <t>API slice</t>
        </is>
      </c>
      <c r="E1432" s="17" t="inlineStr">
        <is>
          <t>AdminCatalogControllerTest › DiaDiem</t>
        </is>
      </c>
      <c r="F1432" s="17" t="inlineStr">
        <is>
          <t>Địa điểm và khu</t>
        </is>
      </c>
      <c r="G1432" s="17" t="inlineStr">
        <is>
          <t>JSON hỏng: 400, không lộ chi tiết của Jackson</t>
        </is>
      </c>
      <c r="H1432" s="17" t="inlineStr">
        <is>
          <t>json_hong</t>
        </is>
      </c>
      <c r="I1432" s="16" t="inlineStr">
        <is>
          <t>Đạt</t>
        </is>
      </c>
      <c r="J1432" s="16" t="n">
        <v>0.008999999999999999</v>
      </c>
    </row>
    <row r="1433">
      <c r="A1433" s="16" t="n">
        <v>1429</v>
      </c>
      <c r="B1433" s="16" t="inlineStr">
        <is>
          <t>Backend</t>
        </is>
      </c>
      <c r="C1433" s="17" t="inlineStr">
        <is>
          <t>catalog-service</t>
        </is>
      </c>
      <c r="D1433" s="16" t="inlineStr">
        <is>
          <t>API slice</t>
        </is>
      </c>
      <c r="E1433" s="17" t="inlineStr">
        <is>
          <t>AdminCatalogControllerTest › DiaDiem</t>
        </is>
      </c>
      <c r="F1433" s="17" t="inlineStr">
        <is>
          <t>Địa điểm và khu</t>
        </is>
      </c>
      <c r="G1433" s="17" t="inlineStr">
        <is>
          <t>khu sai loại / số âm / bằng 0 / mã quá dài / sai kiểu / thiếu kind: 400</t>
        </is>
      </c>
      <c r="H1433" s="17" t="inlineStr">
        <is>
          <t>khu_sai(String)[1]</t>
        </is>
      </c>
      <c r="I1433" s="16" t="inlineStr">
        <is>
          <t>Đạt</t>
        </is>
      </c>
      <c r="J1433" s="16" t="n">
        <v>0.02</v>
      </c>
    </row>
    <row r="1434">
      <c r="A1434" s="16" t="n">
        <v>1430</v>
      </c>
      <c r="B1434" s="16" t="inlineStr">
        <is>
          <t>Backend</t>
        </is>
      </c>
      <c r="C1434" s="17" t="inlineStr">
        <is>
          <t>catalog-service</t>
        </is>
      </c>
      <c r="D1434" s="16" t="inlineStr">
        <is>
          <t>API slice</t>
        </is>
      </c>
      <c r="E1434" s="17" t="inlineStr">
        <is>
          <t>AdminCatalogControllerTest › DiaDiem</t>
        </is>
      </c>
      <c r="F1434" s="17" t="inlineStr">
        <is>
          <t>Địa điểm và khu</t>
        </is>
      </c>
      <c r="G1434" s="17" t="inlineStr">
        <is>
          <t>khu sai loại / số âm / bằng 0 / mã quá dài / sai kiểu / thiếu kind: 400</t>
        </is>
      </c>
      <c r="H1434" s="17" t="inlineStr">
        <is>
          <t>khu_sai(String)[2]</t>
        </is>
      </c>
      <c r="I1434" s="16" t="inlineStr">
        <is>
          <t>Đạt</t>
        </is>
      </c>
      <c r="J1434" s="16" t="n">
        <v>0.008999999999999999</v>
      </c>
    </row>
    <row r="1435">
      <c r="A1435" s="16" t="n">
        <v>1431</v>
      </c>
      <c r="B1435" s="16" t="inlineStr">
        <is>
          <t>Backend</t>
        </is>
      </c>
      <c r="C1435" s="17" t="inlineStr">
        <is>
          <t>catalog-service</t>
        </is>
      </c>
      <c r="D1435" s="16" t="inlineStr">
        <is>
          <t>API slice</t>
        </is>
      </c>
      <c r="E1435" s="17" t="inlineStr">
        <is>
          <t>AdminCatalogControllerTest › DiaDiem</t>
        </is>
      </c>
      <c r="F1435" s="17" t="inlineStr">
        <is>
          <t>Địa điểm và khu</t>
        </is>
      </c>
      <c r="G1435" s="17" t="inlineStr">
        <is>
          <t>khu sai loại / số âm / bằng 0 / mã quá dài / sai kiểu / thiếu kind: 400</t>
        </is>
      </c>
      <c r="H1435" s="17" t="inlineStr">
        <is>
          <t>khu_sai(String)[3]</t>
        </is>
      </c>
      <c r="I1435" s="16" t="inlineStr">
        <is>
          <t>Đạt</t>
        </is>
      </c>
      <c r="J1435" s="16" t="n">
        <v>0.006</v>
      </c>
    </row>
    <row r="1436">
      <c r="A1436" s="16" t="n">
        <v>1432</v>
      </c>
      <c r="B1436" s="16" t="inlineStr">
        <is>
          <t>Backend</t>
        </is>
      </c>
      <c r="C1436" s="17" t="inlineStr">
        <is>
          <t>catalog-service</t>
        </is>
      </c>
      <c r="D1436" s="16" t="inlineStr">
        <is>
          <t>API slice</t>
        </is>
      </c>
      <c r="E1436" s="17" t="inlineStr">
        <is>
          <t>AdminCatalogControllerTest › DiaDiem</t>
        </is>
      </c>
      <c r="F1436" s="17" t="inlineStr">
        <is>
          <t>Địa điểm và khu</t>
        </is>
      </c>
      <c r="G1436" s="17" t="inlineStr">
        <is>
          <t>khu sai loại / số âm / bằng 0 / mã quá dài / sai kiểu / thiếu kind: 400</t>
        </is>
      </c>
      <c r="H1436" s="17" t="inlineStr">
        <is>
          <t>khu_sai(String)[4]</t>
        </is>
      </c>
      <c r="I1436" s="16" t="inlineStr">
        <is>
          <t>Đạt</t>
        </is>
      </c>
      <c r="J1436" s="16" t="n">
        <v>0.008</v>
      </c>
    </row>
    <row r="1437">
      <c r="A1437" s="16" t="n">
        <v>1433</v>
      </c>
      <c r="B1437" s="16" t="inlineStr">
        <is>
          <t>Backend</t>
        </is>
      </c>
      <c r="C1437" s="17" t="inlineStr">
        <is>
          <t>catalog-service</t>
        </is>
      </c>
      <c r="D1437" s="16" t="inlineStr">
        <is>
          <t>API slice</t>
        </is>
      </c>
      <c r="E1437" s="17" t="inlineStr">
        <is>
          <t>AdminCatalogControllerTest › DiaDiem</t>
        </is>
      </c>
      <c r="F1437" s="17" t="inlineStr">
        <is>
          <t>Địa điểm và khu</t>
        </is>
      </c>
      <c r="G1437" s="17" t="inlineStr">
        <is>
          <t>khu sai loại / số âm / bằng 0 / mã quá dài / sai kiểu / thiếu kind: 400</t>
        </is>
      </c>
      <c r="H1437" s="17" t="inlineStr">
        <is>
          <t>khu_sai(String)[5]</t>
        </is>
      </c>
      <c r="I1437" s="16" t="inlineStr">
        <is>
          <t>Đạt</t>
        </is>
      </c>
      <c r="J1437" s="16" t="n">
        <v>0.006</v>
      </c>
    </row>
    <row r="1438">
      <c r="A1438" s="16" t="n">
        <v>1434</v>
      </c>
      <c r="B1438" s="16" t="inlineStr">
        <is>
          <t>Backend</t>
        </is>
      </c>
      <c r="C1438" s="17" t="inlineStr">
        <is>
          <t>catalog-service</t>
        </is>
      </c>
      <c r="D1438" s="16" t="inlineStr">
        <is>
          <t>API slice</t>
        </is>
      </c>
      <c r="E1438" s="17" t="inlineStr">
        <is>
          <t>AdminCatalogControllerTest › DiaDiem</t>
        </is>
      </c>
      <c r="F1438" s="17" t="inlineStr">
        <is>
          <t>Địa điểm và khu</t>
        </is>
      </c>
      <c r="G1438" s="17" t="inlineStr">
        <is>
          <t>khu sai loại / số âm / bằng 0 / mã quá dài / sai kiểu / thiếu kind: 400</t>
        </is>
      </c>
      <c r="H1438" s="17" t="inlineStr">
        <is>
          <t>khu_sai(String)[6]</t>
        </is>
      </c>
      <c r="I1438" s="16" t="inlineStr">
        <is>
          <t>Đạt</t>
        </is>
      </c>
      <c r="J1438" s="16" t="n">
        <v>0.006</v>
      </c>
    </row>
    <row r="1439">
      <c r="A1439" s="16" t="n">
        <v>1435</v>
      </c>
      <c r="B1439" s="16" t="inlineStr">
        <is>
          <t>Backend</t>
        </is>
      </c>
      <c r="C1439" s="17" t="inlineStr">
        <is>
          <t>catalog-service</t>
        </is>
      </c>
      <c r="D1439" s="16" t="inlineStr">
        <is>
          <t>API slice</t>
        </is>
      </c>
      <c r="E1439" s="17" t="inlineStr">
        <is>
          <t>AdminCatalogControllerTest › DiaDiem</t>
        </is>
      </c>
      <c r="F1439" s="17" t="inlineStr">
        <is>
          <t>Địa điểm và khu</t>
        </is>
      </c>
      <c r="G1439" s="17" t="inlineStr">
        <is>
          <t>khu sai loại / số âm / bằng 0 / mã quá dài / sai kiểu / thiếu kind: 400</t>
        </is>
      </c>
      <c r="H1439" s="17" t="inlineStr">
        <is>
          <t>khu_sai(String)[7]</t>
        </is>
      </c>
      <c r="I1439" s="16" t="inlineStr">
        <is>
          <t>Đạt</t>
        </is>
      </c>
      <c r="J1439" s="16" t="n">
        <v>0.006</v>
      </c>
    </row>
    <row r="1440">
      <c r="A1440" s="16" t="n">
        <v>1436</v>
      </c>
      <c r="B1440" s="16" t="inlineStr">
        <is>
          <t>Backend</t>
        </is>
      </c>
      <c r="C1440" s="17" t="inlineStr">
        <is>
          <t>catalog-service</t>
        </is>
      </c>
      <c r="D1440" s="16" t="inlineStr">
        <is>
          <t>API slice</t>
        </is>
      </c>
      <c r="E1440" s="17" t="inlineStr">
        <is>
          <t>AdminCatalogControllerTest › DiaDiem</t>
        </is>
      </c>
      <c r="F1440" s="17" t="inlineStr">
        <is>
          <t>Địa điểm và khu</t>
        </is>
      </c>
      <c r="G1440" s="17" t="inlineStr">
        <is>
          <t>khu sai loại / số âm / bằng 0 / mã quá dài / sai kiểu / thiếu kind: 400</t>
        </is>
      </c>
      <c r="H1440" s="17" t="inlineStr">
        <is>
          <t>khu_sai(String)[8]</t>
        </is>
      </c>
      <c r="I1440" s="16" t="inlineStr">
        <is>
          <t>Đạt</t>
        </is>
      </c>
      <c r="J1440" s="16" t="n">
        <v>0.006</v>
      </c>
    </row>
    <row r="1441">
      <c r="A1441" s="16" t="n">
        <v>1437</v>
      </c>
      <c r="B1441" s="16" t="inlineStr">
        <is>
          <t>Backend</t>
        </is>
      </c>
      <c r="C1441" s="17" t="inlineStr">
        <is>
          <t>catalog-service</t>
        </is>
      </c>
      <c r="D1441" s="16" t="inlineStr">
        <is>
          <t>API slice</t>
        </is>
      </c>
      <c r="E1441" s="17" t="inlineStr">
        <is>
          <t>AdminCatalogControllerTest › DiaDiem</t>
        </is>
      </c>
      <c r="F1441" s="17" t="inlineStr">
        <is>
          <t>Địa điểm và khu</t>
        </is>
      </c>
      <c r="G1441" s="17" t="inlineStr">
        <is>
          <t>tạo địa điểm hợp lệ: 201, JSON, nosniff, và nội dung HTML được trả nguyên văn (không escape)</t>
        </is>
      </c>
      <c r="H1441" s="17" t="inlineStr">
        <is>
          <t>tao</t>
        </is>
      </c>
      <c r="I1441" s="16" t="inlineStr">
        <is>
          <t>Đạt</t>
        </is>
      </c>
      <c r="J1441" s="16" t="n">
        <v>0.021</v>
      </c>
    </row>
    <row r="1442">
      <c r="A1442" s="16" t="n">
        <v>1438</v>
      </c>
      <c r="B1442" s="16" t="inlineStr">
        <is>
          <t>Backend</t>
        </is>
      </c>
      <c r="C1442" s="17" t="inlineStr">
        <is>
          <t>catalog-service</t>
        </is>
      </c>
      <c r="D1442" s="16" t="inlineStr">
        <is>
          <t>API slice</t>
        </is>
      </c>
      <c r="E1442" s="17" t="inlineStr">
        <is>
          <t>AdminCatalogControllerTest › DiaDiem</t>
        </is>
      </c>
      <c r="F1442" s="17" t="inlineStr">
        <is>
          <t>Địa điểm và khu</t>
        </is>
      </c>
      <c r="G1442" s="17" t="inlineStr">
        <is>
          <t>khu hợp lệ: 201 và sortOrder mặc định 0</t>
        </is>
      </c>
      <c r="H1442" s="17" t="inlineStr">
        <is>
          <t>khu_hop_le</t>
        </is>
      </c>
      <c r="I1442" s="16" t="inlineStr">
        <is>
          <t>Đạt</t>
        </is>
      </c>
      <c r="J1442" s="16" t="n">
        <v>0.012</v>
      </c>
    </row>
    <row r="1443">
      <c r="A1443" s="16" t="n">
        <v>1439</v>
      </c>
      <c r="B1443" s="16" t="inlineStr">
        <is>
          <t>Backend</t>
        </is>
      </c>
      <c r="C1443" s="17" t="inlineStr">
        <is>
          <t>catalog-service</t>
        </is>
      </c>
      <c r="D1443" s="16" t="inlineStr">
        <is>
          <t>API slice</t>
        </is>
      </c>
      <c r="E1443" s="17" t="inlineStr">
        <is>
          <t>AdminCatalogControllerTest › DiaDiem</t>
        </is>
      </c>
      <c r="F1443" s="17" t="inlineStr">
        <is>
          <t>Địa điểm và khu</t>
        </is>
      </c>
      <c r="G1443" s="17" t="inlineStr">
        <is>
          <t>tên dài 201 ký tự: 400 nêu đúng trường name</t>
        </is>
      </c>
      <c r="H1443" s="17" t="inlineStr">
        <is>
          <t>ten_qua_dai</t>
        </is>
      </c>
      <c r="I1443" s="16" t="inlineStr">
        <is>
          <t>Đạt</t>
        </is>
      </c>
      <c r="J1443" s="16" t="n">
        <v>0.007</v>
      </c>
    </row>
    <row r="1444">
      <c r="A1444" s="16" t="n">
        <v>1440</v>
      </c>
      <c r="B1444" s="16" t="inlineStr">
        <is>
          <t>Backend</t>
        </is>
      </c>
      <c r="C1444" s="17" t="inlineStr">
        <is>
          <t>catalog-service</t>
        </is>
      </c>
      <c r="D1444" s="16" t="inlineStr">
        <is>
          <t>API slice</t>
        </is>
      </c>
      <c r="E1444" s="17" t="inlineStr">
        <is>
          <t>AdminCatalogControllerTest › DiaDiem</t>
        </is>
      </c>
      <c r="F1444" s="17" t="inlineStr">
        <is>
          <t>Địa điểm và khu</t>
        </is>
      </c>
      <c r="G1444" s="17" t="inlineStr">
        <is>
          <t>id địa điểm không phải UUID: 400, không phải 500</t>
        </is>
      </c>
      <c r="H1444" s="17" t="inlineStr">
        <is>
          <t>venue_id_sai</t>
        </is>
      </c>
      <c r="I1444" s="16" t="inlineStr">
        <is>
          <t>Đạt</t>
        </is>
      </c>
      <c r="J1444" s="16" t="n">
        <v>0.007</v>
      </c>
    </row>
    <row r="1445">
      <c r="A1445" s="16" t="n">
        <v>1441</v>
      </c>
      <c r="B1445" s="16" t="inlineStr">
        <is>
          <t>Backend</t>
        </is>
      </c>
      <c r="C1445" s="17" t="inlineStr">
        <is>
          <t>catalog-service</t>
        </is>
      </c>
      <c r="D1445" s="16" t="inlineStr">
        <is>
          <t>API slice</t>
        </is>
      </c>
      <c r="E1445" s="17" t="inlineStr">
        <is>
          <t>AdminCatalogControllerTest › HangVe</t>
        </is>
      </c>
      <c r="F1445" s="17" t="inlineStr">
        <is>
          <t>Hạng vé</t>
        </is>
      </c>
      <c r="G1445" s="17" t="inlineStr">
        <is>
          <t>sửa giá âm: 400; xoá hạng vé không có: 404; id sai: 400</t>
        </is>
      </c>
      <c r="H1445" s="17" t="inlineStr">
        <is>
          <t>sua_xoa</t>
        </is>
      </c>
      <c r="I1445" s="16" t="inlineStr">
        <is>
          <t>Đạt</t>
        </is>
      </c>
      <c r="J1445" s="16" t="n">
        <v>0.327</v>
      </c>
    </row>
    <row r="1446">
      <c r="A1446" s="16" t="n">
        <v>1442</v>
      </c>
      <c r="B1446" s="16" t="inlineStr">
        <is>
          <t>Backend</t>
        </is>
      </c>
      <c r="C1446" s="17" t="inlineStr">
        <is>
          <t>catalog-service</t>
        </is>
      </c>
      <c r="D1446" s="16" t="inlineStr">
        <is>
          <t>API slice</t>
        </is>
      </c>
      <c r="E1446" s="17" t="inlineStr">
        <is>
          <t>AdminCatalogControllerTest › HangVe</t>
        </is>
      </c>
      <c r="F1446" s="17" t="inlineStr">
        <is>
          <t>Hạng vé</t>
        </is>
      </c>
      <c r="G1446" s="17" t="inlineStr">
        <is>
          <t>giá âm: 400 nêu trường priceVnd</t>
        </is>
      </c>
      <c r="H1446" s="17" t="inlineStr">
        <is>
          <t>gia_am</t>
        </is>
      </c>
      <c r="I1446" s="16" t="inlineStr">
        <is>
          <t>Đạt</t>
        </is>
      </c>
      <c r="J1446" s="16" t="n">
        <v>0.08400000000000001</v>
      </c>
    </row>
    <row r="1447">
      <c r="A1447" s="16" t="n">
        <v>1443</v>
      </c>
      <c r="B1447" s="16" t="inlineStr">
        <is>
          <t>Backend</t>
        </is>
      </c>
      <c r="C1447" s="17" t="inlineStr">
        <is>
          <t>catalog-service</t>
        </is>
      </c>
      <c r="D1447" s="16" t="inlineStr">
        <is>
          <t>API slice</t>
        </is>
      </c>
      <c r="E1447" s="17" t="inlineStr">
        <is>
          <t>AdminCatalogControllerTest › HangVe</t>
        </is>
      </c>
      <c r="F1447" s="17" t="inlineStr">
        <is>
          <t>Hạng vé</t>
        </is>
      </c>
      <c r="G1447" s="17" t="inlineStr">
        <is>
          <t>thiếu khu hoặc tên trống: 400</t>
        </is>
      </c>
      <c r="H1447" s="17" t="inlineStr">
        <is>
          <t>thieu_khu_hoac_ten</t>
        </is>
      </c>
      <c r="I1447" s="16" t="inlineStr">
        <is>
          <t>Đạt</t>
        </is>
      </c>
      <c r="J1447" s="16" t="n">
        <v>0.02</v>
      </c>
    </row>
    <row r="1448">
      <c r="A1448" s="16" t="n">
        <v>1444</v>
      </c>
      <c r="B1448" s="16" t="inlineStr">
        <is>
          <t>Backend</t>
        </is>
      </c>
      <c r="C1448" s="17" t="inlineStr">
        <is>
          <t>catalog-service</t>
        </is>
      </c>
      <c r="D1448" s="16" t="inlineStr">
        <is>
          <t>API slice</t>
        </is>
      </c>
      <c r="E1448" s="17" t="inlineStr">
        <is>
          <t>AdminCatalogControllerTest › HangVe</t>
        </is>
      </c>
      <c r="F1448" s="17" t="inlineStr">
        <is>
          <t>Hạng vé</t>
        </is>
      </c>
      <c r="G1448" s="17" t="inlineStr">
        <is>
          <t>thiếu priceVnd: phải bị từ chối 400, không được âm thầm thành vé 0 đồng</t>
        </is>
      </c>
      <c r="H1448" s="17" t="inlineStr">
        <is>
          <t>thieu_gia</t>
        </is>
      </c>
      <c r="I1448" s="16" t="inlineStr">
        <is>
          <t>Đạt</t>
        </is>
      </c>
      <c r="J1448" s="16" t="n">
        <v>0.012</v>
      </c>
    </row>
    <row r="1449">
      <c r="A1449" s="16" t="n">
        <v>1445</v>
      </c>
      <c r="B1449" s="16" t="inlineStr">
        <is>
          <t>Backend</t>
        </is>
      </c>
      <c r="C1449" s="17" t="inlineStr">
        <is>
          <t>catalog-service</t>
        </is>
      </c>
      <c r="D1449" s="16" t="inlineStr">
        <is>
          <t>API slice</t>
        </is>
      </c>
      <c r="E1449" s="17" t="inlineStr">
        <is>
          <t>AdminCatalogControllerTest › HangVe</t>
        </is>
      </c>
      <c r="F1449" s="17" t="inlineStr">
        <is>
          <t>Hạng vé</t>
        </is>
      </c>
      <c r="G1449" s="17" t="inlineStr">
        <is>
          <t>giá tràn long / số mũ / chữ / số thực: 400, không bao giờ bị đọc thành số khác</t>
        </is>
      </c>
      <c r="H1449" s="17" t="inlineStr">
        <is>
          <t>gia_bat_thuong(String)[1]</t>
        </is>
      </c>
      <c r="I1449" s="16" t="inlineStr">
        <is>
          <t>Đạt</t>
        </is>
      </c>
      <c r="J1449" s="16" t="n">
        <v>0.016</v>
      </c>
    </row>
    <row r="1450">
      <c r="A1450" s="16" t="n">
        <v>1446</v>
      </c>
      <c r="B1450" s="16" t="inlineStr">
        <is>
          <t>Backend</t>
        </is>
      </c>
      <c r="C1450" s="17" t="inlineStr">
        <is>
          <t>catalog-service</t>
        </is>
      </c>
      <c r="D1450" s="16" t="inlineStr">
        <is>
          <t>API slice</t>
        </is>
      </c>
      <c r="E1450" s="17" t="inlineStr">
        <is>
          <t>AdminCatalogControllerTest › HangVe</t>
        </is>
      </c>
      <c r="F1450" s="17" t="inlineStr">
        <is>
          <t>Hạng vé</t>
        </is>
      </c>
      <c r="G1450" s="17" t="inlineStr">
        <is>
          <t>giá tràn long / số mũ / chữ / số thực: 400, không bao giờ bị đọc thành số khác</t>
        </is>
      </c>
      <c r="H1450" s="17" t="inlineStr">
        <is>
          <t>gia_bat_thuong(String)[2]</t>
        </is>
      </c>
      <c r="I1450" s="16" t="inlineStr">
        <is>
          <t>Đạt</t>
        </is>
      </c>
      <c r="J1450" s="16" t="n">
        <v>0.008999999999999999</v>
      </c>
    </row>
    <row r="1451">
      <c r="A1451" s="16" t="n">
        <v>1447</v>
      </c>
      <c r="B1451" s="16" t="inlineStr">
        <is>
          <t>Backend</t>
        </is>
      </c>
      <c r="C1451" s="17" t="inlineStr">
        <is>
          <t>catalog-service</t>
        </is>
      </c>
      <c r="D1451" s="16" t="inlineStr">
        <is>
          <t>API slice</t>
        </is>
      </c>
      <c r="E1451" s="17" t="inlineStr">
        <is>
          <t>AdminCatalogControllerTest › HangVe</t>
        </is>
      </c>
      <c r="F1451" s="17" t="inlineStr">
        <is>
          <t>Hạng vé</t>
        </is>
      </c>
      <c r="G1451" s="17" t="inlineStr">
        <is>
          <t>giá tràn long / số mũ / chữ / số thực: 400, không bao giờ bị đọc thành số khác</t>
        </is>
      </c>
      <c r="H1451" s="17" t="inlineStr">
        <is>
          <t>gia_bat_thuong(String)[3]</t>
        </is>
      </c>
      <c r="I1451" s="16" t="inlineStr">
        <is>
          <t>Đạt</t>
        </is>
      </c>
      <c r="J1451" s="16" t="n">
        <v>0.011</v>
      </c>
    </row>
    <row r="1452">
      <c r="A1452" s="16" t="n">
        <v>1448</v>
      </c>
      <c r="B1452" s="16" t="inlineStr">
        <is>
          <t>Backend</t>
        </is>
      </c>
      <c r="C1452" s="17" t="inlineStr">
        <is>
          <t>catalog-service</t>
        </is>
      </c>
      <c r="D1452" s="16" t="inlineStr">
        <is>
          <t>API slice</t>
        </is>
      </c>
      <c r="E1452" s="17" t="inlineStr">
        <is>
          <t>AdminCatalogControllerTest › HangVe</t>
        </is>
      </c>
      <c r="F1452" s="17" t="inlineStr">
        <is>
          <t>Hạng vé</t>
        </is>
      </c>
      <c r="G1452" s="17" t="inlineStr">
        <is>
          <t>giá tràn long / số mũ / chữ / số thực: 400, không bao giờ bị đọc thành số khác</t>
        </is>
      </c>
      <c r="H1452" s="17" t="inlineStr">
        <is>
          <t>gia_bat_thuong(String)[4]</t>
        </is>
      </c>
      <c r="I1452" s="16" t="inlineStr">
        <is>
          <t>Đạt</t>
        </is>
      </c>
      <c r="J1452" s="16" t="n">
        <v>0.011</v>
      </c>
    </row>
    <row r="1453">
      <c r="A1453" s="16" t="n">
        <v>1449</v>
      </c>
      <c r="B1453" s="16" t="inlineStr">
        <is>
          <t>Backend</t>
        </is>
      </c>
      <c r="C1453" s="17" t="inlineStr">
        <is>
          <t>catalog-service</t>
        </is>
      </c>
      <c r="D1453" s="16" t="inlineStr">
        <is>
          <t>API slice</t>
        </is>
      </c>
      <c r="E1453" s="17" t="inlineStr">
        <is>
          <t>AdminCatalogControllerTest › HangVe</t>
        </is>
      </c>
      <c r="F1453" s="17" t="inlineStr">
        <is>
          <t>Hạng vé</t>
        </is>
      </c>
      <c r="G1453" s="17" t="inlineStr">
        <is>
          <t>giá 0 và giá rất lớn nhưng vừa long: chuyển nguyên xuống handler</t>
        </is>
      </c>
      <c r="H1453" s="17" t="inlineStr">
        <is>
          <t>gia_bien(long)[1]</t>
        </is>
      </c>
      <c r="I1453" s="16" t="inlineStr">
        <is>
          <t>Đạt</t>
        </is>
      </c>
      <c r="J1453" s="16" t="n">
        <v>0.032</v>
      </c>
    </row>
    <row r="1454">
      <c r="A1454" s="16" t="n">
        <v>1450</v>
      </c>
      <c r="B1454" s="16" t="inlineStr">
        <is>
          <t>Backend</t>
        </is>
      </c>
      <c r="C1454" s="17" t="inlineStr">
        <is>
          <t>catalog-service</t>
        </is>
      </c>
      <c r="D1454" s="16" t="inlineStr">
        <is>
          <t>API slice</t>
        </is>
      </c>
      <c r="E1454" s="17" t="inlineStr">
        <is>
          <t>AdminCatalogControllerTest › HangVe</t>
        </is>
      </c>
      <c r="F1454" s="17" t="inlineStr">
        <is>
          <t>Hạng vé</t>
        </is>
      </c>
      <c r="G1454" s="17" t="inlineStr">
        <is>
          <t>giá 0 và giá rất lớn nhưng vừa long: chuyển nguyên xuống handler</t>
        </is>
      </c>
      <c r="H1454" s="17" t="inlineStr">
        <is>
          <t>gia_bien(long)[2]</t>
        </is>
      </c>
      <c r="I1454" s="16" t="inlineStr">
        <is>
          <t>Đạt</t>
        </is>
      </c>
      <c r="J1454" s="16" t="n">
        <v>0.008999999999999999</v>
      </c>
    </row>
    <row r="1455">
      <c r="A1455" s="16" t="n">
        <v>1451</v>
      </c>
      <c r="B1455" s="16" t="inlineStr">
        <is>
          <t>Backend</t>
        </is>
      </c>
      <c r="C1455" s="17" t="inlineStr">
        <is>
          <t>catalog-service</t>
        </is>
      </c>
      <c r="D1455" s="16" t="inlineStr">
        <is>
          <t>API slice</t>
        </is>
      </c>
      <c r="E1455" s="17" t="inlineStr">
        <is>
          <t>AdminCatalogControllerTest › HangVe</t>
        </is>
      </c>
      <c r="F1455" s="17" t="inlineStr">
        <is>
          <t>Hạng vé</t>
        </is>
      </c>
      <c r="G1455" s="17" t="inlineStr">
        <is>
          <t>khai giá lần hai cho cùng khu: 409 ZONE_ALREADY_PRICED</t>
        </is>
      </c>
      <c r="H1455" s="17" t="inlineStr">
        <is>
          <t>trung_khu</t>
        </is>
      </c>
      <c r="I1455" s="16" t="inlineStr">
        <is>
          <t>Đạt</t>
        </is>
      </c>
      <c r="J1455" s="16" t="n">
        <v>0.012</v>
      </c>
    </row>
    <row r="1456">
      <c r="A1456" s="16" t="n">
        <v>1452</v>
      </c>
      <c r="B1456" s="16" t="inlineStr">
        <is>
          <t>Backend</t>
        </is>
      </c>
      <c r="C1456" s="17" t="inlineStr">
        <is>
          <t>catalog-service</t>
        </is>
      </c>
      <c r="D1456" s="16" t="inlineStr">
        <is>
          <t>API slice</t>
        </is>
      </c>
      <c r="E1456" s="17" t="inlineStr">
        <is>
          <t>AdminCatalogControllerTest › SuatDien</t>
        </is>
      </c>
      <c r="F1456" s="17" t="inlineStr">
        <is>
          <t>Suất diễn</t>
        </is>
      </c>
      <c r="G1456" s="17" t="inlineStr">
        <is>
          <t>id suất không phải UUID: 400</t>
        </is>
      </c>
      <c r="H1456" s="17" t="inlineStr">
        <is>
          <t>id_sai</t>
        </is>
      </c>
      <c r="I1456" s="16" t="inlineStr">
        <is>
          <t>Đạt</t>
        </is>
      </c>
      <c r="J1456" s="16" t="n">
        <v>0.007</v>
      </c>
    </row>
    <row r="1457">
      <c r="A1457" s="16" t="n">
        <v>1453</v>
      </c>
      <c r="B1457" s="16" t="inlineStr">
        <is>
          <t>Backend</t>
        </is>
      </c>
      <c r="C1457" s="17" t="inlineStr">
        <is>
          <t>catalog-service</t>
        </is>
      </c>
      <c r="D1457" s="16" t="inlineStr">
        <is>
          <t>API slice</t>
        </is>
      </c>
      <c r="E1457" s="17" t="inlineStr">
        <is>
          <t>AdminCatalogControllerTest › SuatDien</t>
        </is>
      </c>
      <c r="F1457" s="17" t="inlineStr">
        <is>
          <t>Suất diễn</t>
        </is>
      </c>
      <c r="G1457" s="17" t="inlineStr">
        <is>
          <t>thiếu mốc bắt buộc, ngày sai định dạng, trần mua vé ≤ 0: 400</t>
        </is>
      </c>
      <c r="H1457" s="17" t="inlineStr">
        <is>
          <t>sai(String)[1]</t>
        </is>
      </c>
      <c r="I1457" s="16" t="inlineStr">
        <is>
          <t>Đạt</t>
        </is>
      </c>
      <c r="J1457" s="16" t="n">
        <v>0.021</v>
      </c>
    </row>
    <row r="1458">
      <c r="A1458" s="16" t="n">
        <v>1454</v>
      </c>
      <c r="B1458" s="16" t="inlineStr">
        <is>
          <t>Backend</t>
        </is>
      </c>
      <c r="C1458" s="17" t="inlineStr">
        <is>
          <t>catalog-service</t>
        </is>
      </c>
      <c r="D1458" s="16" t="inlineStr">
        <is>
          <t>API slice</t>
        </is>
      </c>
      <c r="E1458" s="17" t="inlineStr">
        <is>
          <t>AdminCatalogControllerTest › SuatDien</t>
        </is>
      </c>
      <c r="F1458" s="17" t="inlineStr">
        <is>
          <t>Suất diễn</t>
        </is>
      </c>
      <c r="G1458" s="17" t="inlineStr">
        <is>
          <t>thiếu mốc bắt buộc, ngày sai định dạng, trần mua vé ≤ 0: 400</t>
        </is>
      </c>
      <c r="H1458" s="17" t="inlineStr">
        <is>
          <t>sai(String)[2]</t>
        </is>
      </c>
      <c r="I1458" s="16" t="inlineStr">
        <is>
          <t>Đạt</t>
        </is>
      </c>
      <c r="J1458" s="16" t="n">
        <v>0.01</v>
      </c>
    </row>
    <row r="1459">
      <c r="A1459" s="16" t="n">
        <v>1455</v>
      </c>
      <c r="B1459" s="16" t="inlineStr">
        <is>
          <t>Backend</t>
        </is>
      </c>
      <c r="C1459" s="17" t="inlineStr">
        <is>
          <t>catalog-service</t>
        </is>
      </c>
      <c r="D1459" s="16" t="inlineStr">
        <is>
          <t>API slice</t>
        </is>
      </c>
      <c r="E1459" s="17" t="inlineStr">
        <is>
          <t>AdminCatalogControllerTest › SuatDien</t>
        </is>
      </c>
      <c r="F1459" s="17" t="inlineStr">
        <is>
          <t>Suất diễn</t>
        </is>
      </c>
      <c r="G1459" s="17" t="inlineStr">
        <is>
          <t>thiếu mốc bắt buộc, ngày sai định dạng, trần mua vé ≤ 0: 400</t>
        </is>
      </c>
      <c r="H1459" s="17" t="inlineStr">
        <is>
          <t>sai(String)[3]</t>
        </is>
      </c>
      <c r="I1459" s="16" t="inlineStr">
        <is>
          <t>Đạt</t>
        </is>
      </c>
      <c r="J1459" s="16" t="n">
        <v>0.021</v>
      </c>
    </row>
    <row r="1460">
      <c r="A1460" s="16" t="n">
        <v>1456</v>
      </c>
      <c r="B1460" s="16" t="inlineStr">
        <is>
          <t>Backend</t>
        </is>
      </c>
      <c r="C1460" s="17" t="inlineStr">
        <is>
          <t>catalog-service</t>
        </is>
      </c>
      <c r="D1460" s="16" t="inlineStr">
        <is>
          <t>API slice</t>
        </is>
      </c>
      <c r="E1460" s="17" t="inlineStr">
        <is>
          <t>AdminCatalogControllerTest › SuatDien</t>
        </is>
      </c>
      <c r="F1460" s="17" t="inlineStr">
        <is>
          <t>Suất diễn</t>
        </is>
      </c>
      <c r="G1460" s="17" t="inlineStr">
        <is>
          <t>thiếu mốc bắt buộc, ngày sai định dạng, trần mua vé ≤ 0: 400</t>
        </is>
      </c>
      <c r="H1460" s="17" t="inlineStr">
        <is>
          <t>sai(String)[4]</t>
        </is>
      </c>
      <c r="I1460" s="16" t="inlineStr">
        <is>
          <t>Đạt</t>
        </is>
      </c>
      <c r="J1460" s="16" t="n">
        <v>0.008</v>
      </c>
    </row>
    <row r="1461">
      <c r="A1461" s="16" t="n">
        <v>1457</v>
      </c>
      <c r="B1461" s="16" t="inlineStr">
        <is>
          <t>Backend</t>
        </is>
      </c>
      <c r="C1461" s="17" t="inlineStr">
        <is>
          <t>catalog-service</t>
        </is>
      </c>
      <c r="D1461" s="16" t="inlineStr">
        <is>
          <t>API slice</t>
        </is>
      </c>
      <c r="E1461" s="17" t="inlineStr">
        <is>
          <t>AdminCatalogControllerTest › SuatDien</t>
        </is>
      </c>
      <c r="F1461" s="17" t="inlineStr">
        <is>
          <t>Suất diễn</t>
        </is>
      </c>
      <c r="G1461" s="17" t="inlineStr">
        <is>
          <t>thiếu mốc bắt buộc, ngày sai định dạng, trần mua vé ≤ 0: 400</t>
        </is>
      </c>
      <c r="H1461" s="17" t="inlineStr">
        <is>
          <t>sai(String)[5]</t>
        </is>
      </c>
      <c r="I1461" s="16" t="inlineStr">
        <is>
          <t>Đạt</t>
        </is>
      </c>
      <c r="J1461" s="16" t="n">
        <v>0.007</v>
      </c>
    </row>
    <row r="1462">
      <c r="A1462" s="16" t="n">
        <v>1458</v>
      </c>
      <c r="B1462" s="16" t="inlineStr">
        <is>
          <t>Backend</t>
        </is>
      </c>
      <c r="C1462" s="17" t="inlineStr">
        <is>
          <t>catalog-service</t>
        </is>
      </c>
      <c r="D1462" s="16" t="inlineStr">
        <is>
          <t>API slice</t>
        </is>
      </c>
      <c r="E1462" s="17" t="inlineStr">
        <is>
          <t>AdminCatalogControllerTest › SuatDien</t>
        </is>
      </c>
      <c r="F1462" s="17" t="inlineStr">
        <is>
          <t>Suất diễn</t>
        </is>
      </c>
      <c r="G1462" s="17" t="inlineStr">
        <is>
          <t>thiếu mốc bắt buộc, ngày sai định dạng, trần mua vé ≤ 0: 400</t>
        </is>
      </c>
      <c r="H1462" s="17" t="inlineStr">
        <is>
          <t>sai(String)[6]</t>
        </is>
      </c>
      <c r="I1462" s="16" t="inlineStr">
        <is>
          <t>Đạt</t>
        </is>
      </c>
      <c r="J1462" s="16" t="n">
        <v>0.008</v>
      </c>
    </row>
    <row r="1463">
      <c r="A1463" s="16" t="n">
        <v>1459</v>
      </c>
      <c r="B1463" s="16" t="inlineStr">
        <is>
          <t>Backend</t>
        </is>
      </c>
      <c r="C1463" s="17" t="inlineStr">
        <is>
          <t>catalog-service</t>
        </is>
      </c>
      <c r="D1463" s="16" t="inlineStr">
        <is>
          <t>API slice</t>
        </is>
      </c>
      <c r="E1463" s="17" t="inlineStr">
        <is>
          <t>AdminCatalogControllerTest › SuatDien</t>
        </is>
      </c>
      <c r="F1463" s="17" t="inlineStr">
        <is>
          <t>Suất diễn</t>
        </is>
      </c>
      <c r="G1463" s="17" t="inlineStr">
        <is>
          <t>thiếu mốc bắt buộc, ngày sai định dạng, trần mua vé ≤ 0: 400</t>
        </is>
      </c>
      <c r="H1463" s="17" t="inlineStr">
        <is>
          <t>sai(String)[7]</t>
        </is>
      </c>
      <c r="I1463" s="16" t="inlineStr">
        <is>
          <t>Đạt</t>
        </is>
      </c>
      <c r="J1463" s="16" t="n">
        <v>0.008999999999999999</v>
      </c>
    </row>
    <row r="1464">
      <c r="A1464" s="16" t="n">
        <v>1460</v>
      </c>
      <c r="B1464" s="16" t="inlineStr">
        <is>
          <t>Backend</t>
        </is>
      </c>
      <c r="C1464" s="17" t="inlineStr">
        <is>
          <t>catalog-service</t>
        </is>
      </c>
      <c r="D1464" s="16" t="inlineStr">
        <is>
          <t>API slice</t>
        </is>
      </c>
      <c r="E1464" s="17" t="inlineStr">
        <is>
          <t>AdminCatalogControllerTest › SuatDien</t>
        </is>
      </c>
      <c r="F1464" s="17" t="inlineStr">
        <is>
          <t>Suất diễn</t>
        </is>
      </c>
      <c r="G1464" s="17" t="inlineStr">
        <is>
          <t>sửa suất: trần âm 400; xoá suất không có: 404 SESSION_NOT_FOUND</t>
        </is>
      </c>
      <c r="H1464" s="17" t="inlineStr">
        <is>
          <t>sua_va_xoa</t>
        </is>
      </c>
      <c r="I1464" s="16" t="inlineStr">
        <is>
          <t>Đạt</t>
        </is>
      </c>
      <c r="J1464" s="16" t="n">
        <v>0.022</v>
      </c>
    </row>
    <row r="1465">
      <c r="A1465" s="16" t="n">
        <v>1461</v>
      </c>
      <c r="B1465" s="16" t="inlineStr">
        <is>
          <t>Backend</t>
        </is>
      </c>
      <c r="C1465" s="17" t="inlineStr">
        <is>
          <t>catalog-service</t>
        </is>
      </c>
      <c r="D1465" s="16" t="inlineStr">
        <is>
          <t>API slice</t>
        </is>
      </c>
      <c r="E1465" s="17" t="inlineStr">
        <is>
          <t>AdminCatalogControllerTest › SuatDien</t>
        </is>
      </c>
      <c r="F1465" s="17" t="inlineStr">
        <is>
          <t>Suất diễn</t>
        </is>
      </c>
      <c r="G1465" s="17" t="inlineStr">
        <is>
          <t>giờ Việt Nam (+07:00) được đọc thành đúng thời điểm UTC</t>
        </is>
      </c>
      <c r="H1465" s="17" t="inlineStr">
        <is>
          <t>mui_gio</t>
        </is>
      </c>
      <c r="I1465" s="16" t="inlineStr">
        <is>
          <t>Đạt</t>
        </is>
      </c>
      <c r="J1465" s="16" t="n">
        <v>0.01</v>
      </c>
    </row>
    <row r="1466">
      <c r="A1466" s="16" t="n">
        <v>1462</v>
      </c>
      <c r="B1466" s="16" t="inlineStr">
        <is>
          <t>Backend</t>
        </is>
      </c>
      <c r="C1466" s="17" t="inlineStr">
        <is>
          <t>catalog-service</t>
        </is>
      </c>
      <c r="D1466" s="16" t="inlineStr">
        <is>
          <t>API slice</t>
        </is>
      </c>
      <c r="E1466" s="17" t="inlineStr">
        <is>
          <t>AdminCatalogControllerTest › SuatDien</t>
        </is>
      </c>
      <c r="F1466" s="17" t="inlineStr">
        <is>
          <t>Suất diễn</t>
        </is>
      </c>
      <c r="G1466" s="17" t="inlineStr">
        <is>
          <t>suất của sự kiện đang bán: 409 từ handler được trả nguyên mã</t>
        </is>
      </c>
      <c r="H1466" s="17" t="inlineStr">
        <is>
          <t>dang_ban</t>
        </is>
      </c>
      <c r="I1466" s="16" t="inlineStr">
        <is>
          <t>Đạt</t>
        </is>
      </c>
      <c r="J1466" s="16" t="n">
        <v>0.008999999999999999</v>
      </c>
    </row>
    <row r="1467">
      <c r="A1467" s="16" t="n">
        <v>1463</v>
      </c>
      <c r="B1467" s="16" t="inlineStr">
        <is>
          <t>Backend</t>
        </is>
      </c>
      <c r="C1467" s="17" t="inlineStr">
        <is>
          <t>catalog-service</t>
        </is>
      </c>
      <c r="D1467" s="16" t="inlineStr">
        <is>
          <t>API slice</t>
        </is>
      </c>
      <c r="E1467" s="17" t="inlineStr">
        <is>
          <t>AdminCatalogControllerTest › SuKien</t>
        </is>
      </c>
      <c r="F1467" s="17" t="inlineStr">
        <is>
          <t>Sự kiện</t>
        </is>
      </c>
      <c r="G1467" s="17" t="inlineStr">
        <is>
          <t>huỷ lần hai: 409; xoá bản nháp: 204; xoá sự kiện đã bán: 409</t>
        </is>
      </c>
      <c r="H1467" s="17" t="inlineStr">
        <is>
          <t>huy_va_xoa</t>
        </is>
      </c>
      <c r="I1467" s="16" t="inlineStr">
        <is>
          <t>Đạt</t>
        </is>
      </c>
      <c r="J1467" s="16" t="n">
        <v>0.014</v>
      </c>
    </row>
    <row r="1468">
      <c r="A1468" s="16" t="n">
        <v>1464</v>
      </c>
      <c r="B1468" s="16" t="inlineStr">
        <is>
          <t>Backend</t>
        </is>
      </c>
      <c r="C1468" s="17" t="inlineStr">
        <is>
          <t>catalog-service</t>
        </is>
      </c>
      <c r="D1468" s="16" t="inlineStr">
        <is>
          <t>API slice</t>
        </is>
      </c>
      <c r="E1468" s="17" t="inlineStr">
        <is>
          <t>AdminCatalogControllerTest › SuKien</t>
        </is>
      </c>
      <c r="F1468" s="17" t="inlineStr">
        <is>
          <t>Sự kiện</t>
        </is>
      </c>
      <c r="G1468" s="17" t="inlineStr">
        <is>
          <t>publish bị chặn: 409 PUBLISH_BLOCKED, meta.blockers là danh sách</t>
        </is>
      </c>
      <c r="H1468" s="17" t="inlineStr">
        <is>
          <t>publish_bi_chan</t>
        </is>
      </c>
      <c r="I1468" s="16" t="inlineStr">
        <is>
          <t>Đạt</t>
        </is>
      </c>
      <c r="J1468" s="16" t="n">
        <v>0.011</v>
      </c>
    </row>
    <row r="1469">
      <c r="A1469" s="16" t="n">
        <v>1465</v>
      </c>
      <c r="B1469" s="16" t="inlineStr">
        <is>
          <t>Backend</t>
        </is>
      </c>
      <c r="C1469" s="17" t="inlineStr">
        <is>
          <t>catalog-service</t>
        </is>
      </c>
      <c r="D1469" s="16" t="inlineStr">
        <is>
          <t>API slice</t>
        </is>
      </c>
      <c r="E1469" s="17" t="inlineStr">
        <is>
          <t>AdminCatalogControllerTest › SuKien</t>
        </is>
      </c>
      <c r="F1469" s="17" t="inlineStr">
        <is>
          <t>Sự kiện</t>
        </is>
      </c>
      <c r="G1469" s="17" t="inlineStr">
        <is>
          <t>xem chi tiết sự kiện không có: 404 EVENT_NOT_FOUND</t>
        </is>
      </c>
      <c r="H1469" s="17" t="inlineStr">
        <is>
          <t>khong_co</t>
        </is>
      </c>
      <c r="I1469" s="16" t="inlineStr">
        <is>
          <t>Đạt</t>
        </is>
      </c>
      <c r="J1469" s="16" t="n">
        <v>0.008</v>
      </c>
    </row>
    <row r="1470">
      <c r="A1470" s="16" t="n">
        <v>1466</v>
      </c>
      <c r="B1470" s="16" t="inlineStr">
        <is>
          <t>Backend</t>
        </is>
      </c>
      <c r="C1470" s="17" t="inlineStr">
        <is>
          <t>catalog-service</t>
        </is>
      </c>
      <c r="D1470" s="16" t="inlineStr">
        <is>
          <t>API slice</t>
        </is>
      </c>
      <c r="E1470" s="17" t="inlineStr">
        <is>
          <t>AdminCatalogControllerTest › SuKien</t>
        </is>
      </c>
      <c r="F1470" s="17" t="inlineStr">
        <is>
          <t>Sự kiện</t>
        </is>
      </c>
      <c r="G1470" s="17" t="inlineStr">
        <is>
          <t>slug đã có: 409, thân lỗi RFC 7807 khớp mã HTTP</t>
        </is>
      </c>
      <c r="H1470" s="17" t="inlineStr">
        <is>
          <t>slug_trung</t>
        </is>
      </c>
      <c r="I1470" s="16" t="inlineStr">
        <is>
          <t>Đạt</t>
        </is>
      </c>
      <c r="J1470" s="16" t="n">
        <v>0.018</v>
      </c>
    </row>
    <row r="1471">
      <c r="A1471" s="16" t="n">
        <v>1467</v>
      </c>
      <c r="B1471" s="16" t="inlineStr">
        <is>
          <t>Backend</t>
        </is>
      </c>
      <c r="C1471" s="17" t="inlineStr">
        <is>
          <t>catalog-service</t>
        </is>
      </c>
      <c r="D1471" s="16" t="inlineStr">
        <is>
          <t>API slice</t>
        </is>
      </c>
      <c r="E1471" s="17" t="inlineStr">
        <is>
          <t>AdminCatalogControllerTest › SuKien</t>
        </is>
      </c>
      <c r="F1471" s="17" t="inlineStr">
        <is>
          <t>Sự kiện</t>
        </is>
      </c>
      <c r="G1471" s="17" t="inlineStr">
        <is>
          <t>id sự kiện không phải UUID: 400 trên mọi đường (GET, PATCH, DELETE, publish)</t>
        </is>
      </c>
      <c r="H1471" s="17" t="inlineStr">
        <is>
          <t>id_sai</t>
        </is>
      </c>
      <c r="I1471" s="16" t="inlineStr">
        <is>
          <t>Đạt</t>
        </is>
      </c>
      <c r="J1471" s="16" t="n">
        <v>0.018</v>
      </c>
    </row>
    <row r="1472">
      <c r="A1472" s="16" t="n">
        <v>1468</v>
      </c>
      <c r="B1472" s="16" t="inlineStr">
        <is>
          <t>Backend</t>
        </is>
      </c>
      <c r="C1472" s="17" t="inlineStr">
        <is>
          <t>catalog-service</t>
        </is>
      </c>
      <c r="D1472" s="16" t="inlineStr">
        <is>
          <t>API slice</t>
        </is>
      </c>
      <c r="E1472" s="17" t="inlineStr">
        <is>
          <t>AdminCatalogControllerTest › SuKien</t>
        </is>
      </c>
      <c r="F1472" s="17" t="inlineStr">
        <is>
          <t>Sự kiện</t>
        </is>
      </c>
      <c r="G1472" s="17" t="inlineStr">
        <is>
          <t>đồng bộ lại tồn kho: trả số suất đã gửi</t>
        </is>
      </c>
      <c r="H1472" s="17" t="inlineStr">
        <is>
          <t>resync</t>
        </is>
      </c>
      <c r="I1472" s="16" t="inlineStr">
        <is>
          <t>Đạt</t>
        </is>
      </c>
      <c r="J1472" s="16" t="n">
        <v>0.01</v>
      </c>
    </row>
    <row r="1473">
      <c r="A1473" s="16" t="n">
        <v>1469</v>
      </c>
      <c r="B1473" s="16" t="inlineStr">
        <is>
          <t>Backend</t>
        </is>
      </c>
      <c r="C1473" s="17" t="inlineStr">
        <is>
          <t>catalog-service</t>
        </is>
      </c>
      <c r="D1473" s="16" t="inlineStr">
        <is>
          <t>API slice</t>
        </is>
      </c>
      <c r="E1473" s="17" t="inlineStr">
        <is>
          <t>AdminCatalogControllerTest › SuKien</t>
        </is>
      </c>
      <c r="F1473" s="17" t="inlineStr">
        <is>
          <t>Sự kiện</t>
        </is>
      </c>
      <c r="G1473" s="17" t="inlineStr">
        <is>
          <t>thiếu venueId/tiêu đề/thể loại, venueId sai, slug &gt; 96 ký tự: 400</t>
        </is>
      </c>
      <c r="H1473" s="17" t="inlineStr">
        <is>
          <t>sai(String)[1]</t>
        </is>
      </c>
      <c r="I1473" s="16" t="inlineStr">
        <is>
          <t>Đạt</t>
        </is>
      </c>
      <c r="J1473" s="16" t="n">
        <v>0.008</v>
      </c>
    </row>
    <row r="1474">
      <c r="A1474" s="16" t="n">
        <v>1470</v>
      </c>
      <c r="B1474" s="16" t="inlineStr">
        <is>
          <t>Backend</t>
        </is>
      </c>
      <c r="C1474" s="17" t="inlineStr">
        <is>
          <t>catalog-service</t>
        </is>
      </c>
      <c r="D1474" s="16" t="inlineStr">
        <is>
          <t>API slice</t>
        </is>
      </c>
      <c r="E1474" s="17" t="inlineStr">
        <is>
          <t>AdminCatalogControllerTest › SuKien</t>
        </is>
      </c>
      <c r="F1474" s="17" t="inlineStr">
        <is>
          <t>Sự kiện</t>
        </is>
      </c>
      <c r="G1474" s="17" t="inlineStr">
        <is>
          <t>thiếu venueId/tiêu đề/thể loại, venueId sai, slug &gt; 96 ký tự: 400</t>
        </is>
      </c>
      <c r="H1474" s="17" t="inlineStr">
        <is>
          <t>sai(String)[2]</t>
        </is>
      </c>
      <c r="I1474" s="16" t="inlineStr">
        <is>
          <t>Đạt</t>
        </is>
      </c>
      <c r="J1474" s="16" t="n">
        <v>0.008</v>
      </c>
    </row>
    <row r="1475">
      <c r="A1475" s="16" t="n">
        <v>1471</v>
      </c>
      <c r="B1475" s="16" t="inlineStr">
        <is>
          <t>Backend</t>
        </is>
      </c>
      <c r="C1475" s="17" t="inlineStr">
        <is>
          <t>catalog-service</t>
        </is>
      </c>
      <c r="D1475" s="16" t="inlineStr">
        <is>
          <t>API slice</t>
        </is>
      </c>
      <c r="E1475" s="17" t="inlineStr">
        <is>
          <t>AdminCatalogControllerTest › SuKien</t>
        </is>
      </c>
      <c r="F1475" s="17" t="inlineStr">
        <is>
          <t>Sự kiện</t>
        </is>
      </c>
      <c r="G1475" s="17" t="inlineStr">
        <is>
          <t>thiếu venueId/tiêu đề/thể loại, venueId sai, slug &gt; 96 ký tự: 400</t>
        </is>
      </c>
      <c r="H1475" s="17" t="inlineStr">
        <is>
          <t>sai(String)[3]</t>
        </is>
      </c>
      <c r="I1475" s="16" t="inlineStr">
        <is>
          <t>Đạt</t>
        </is>
      </c>
      <c r="J1475" s="16" t="n">
        <v>0.007</v>
      </c>
    </row>
    <row r="1476">
      <c r="A1476" s="16" t="n">
        <v>1472</v>
      </c>
      <c r="B1476" s="16" t="inlineStr">
        <is>
          <t>Backend</t>
        </is>
      </c>
      <c r="C1476" s="17" t="inlineStr">
        <is>
          <t>catalog-service</t>
        </is>
      </c>
      <c r="D1476" s="16" t="inlineStr">
        <is>
          <t>API slice</t>
        </is>
      </c>
      <c r="E1476" s="17" t="inlineStr">
        <is>
          <t>AdminCatalogControllerTest › SuKien</t>
        </is>
      </c>
      <c r="F1476" s="17" t="inlineStr">
        <is>
          <t>Sự kiện</t>
        </is>
      </c>
      <c r="G1476" s="17" t="inlineStr">
        <is>
          <t>thiếu venueId/tiêu đề/thể loại, venueId sai, slug &gt; 96 ký tự: 400</t>
        </is>
      </c>
      <c r="H1476" s="17" t="inlineStr">
        <is>
          <t>sai(String)[4]</t>
        </is>
      </c>
      <c r="I1476" s="16" t="inlineStr">
        <is>
          <t>Đạt</t>
        </is>
      </c>
      <c r="J1476" s="16" t="n">
        <v>0.006</v>
      </c>
    </row>
    <row r="1477">
      <c r="A1477" s="16" t="n">
        <v>1473</v>
      </c>
      <c r="B1477" s="16" t="inlineStr">
        <is>
          <t>Backend</t>
        </is>
      </c>
      <c r="C1477" s="17" t="inlineStr">
        <is>
          <t>catalog-service</t>
        </is>
      </c>
      <c r="D1477" s="16" t="inlineStr">
        <is>
          <t>API slice</t>
        </is>
      </c>
      <c r="E1477" s="17" t="inlineStr">
        <is>
          <t>AdminCatalogControllerTest › SuKien</t>
        </is>
      </c>
      <c r="F1477" s="17" t="inlineStr">
        <is>
          <t>Sự kiện</t>
        </is>
      </c>
      <c r="G1477" s="17" t="inlineStr">
        <is>
          <t>thiếu venueId/tiêu đề/thể loại, venueId sai, slug &gt; 96 ký tự: 400</t>
        </is>
      </c>
      <c r="H1477" s="17" t="inlineStr">
        <is>
          <t>sai(String)[5]</t>
        </is>
      </c>
      <c r="I1477" s="16" t="inlineStr">
        <is>
          <t>Đạt</t>
        </is>
      </c>
      <c r="J1477" s="16" t="n">
        <v>0.01</v>
      </c>
    </row>
    <row r="1478">
      <c r="A1478" s="16" t="n">
        <v>1474</v>
      </c>
      <c r="B1478" s="16" t="inlineStr">
        <is>
          <t>Backend</t>
        </is>
      </c>
      <c r="C1478" s="17" t="inlineStr">
        <is>
          <t>catalog-service</t>
        </is>
      </c>
      <c r="D1478" s="16" t="inlineStr">
        <is>
          <t>API slice</t>
        </is>
      </c>
      <c r="E1478" s="17" t="inlineStr">
        <is>
          <t>AdminCatalogControllerTest › SuKien</t>
        </is>
      </c>
      <c r="F1478" s="17" t="inlineStr">
        <is>
          <t>Sự kiện</t>
        </is>
      </c>
      <c r="G1478" s="17" t="inlineStr">
        <is>
          <t>tạo hợp lệ: 201 kèm chi tiết bản nháp</t>
        </is>
      </c>
      <c r="H1478" s="17" t="inlineStr">
        <is>
          <t>tao</t>
        </is>
      </c>
      <c r="I1478" s="16" t="inlineStr">
        <is>
          <t>Đạt</t>
        </is>
      </c>
      <c r="J1478" s="16" t="n">
        <v>0.008999999999999999</v>
      </c>
    </row>
    <row r="1479">
      <c r="A1479" s="16" t="n">
        <v>1475</v>
      </c>
      <c r="B1479" s="16" t="inlineStr">
        <is>
          <t>Backend</t>
        </is>
      </c>
      <c r="C1479" s="17" t="inlineStr">
        <is>
          <t>catalog-service</t>
        </is>
      </c>
      <c r="D1479" s="16" t="inlineStr">
        <is>
          <t>API slice</t>
        </is>
      </c>
      <c r="E1479" s="17" t="inlineStr">
        <is>
          <t>AdminCatalogControllerTest › SuKien</t>
        </is>
      </c>
      <c r="F1479" s="17" t="inlineStr">
        <is>
          <t>Sự kiện</t>
        </is>
      </c>
      <c r="G1479" s="17" t="inlineStr">
        <is>
          <t>rút xuống khi không đang bán: 409 EVENT_NOT_PUBLISHED</t>
        </is>
      </c>
      <c r="H1479" s="17" t="inlineStr">
        <is>
          <t>rut_xuong</t>
        </is>
      </c>
      <c r="I1479" s="16" t="inlineStr">
        <is>
          <t>Đạt</t>
        </is>
      </c>
      <c r="J1479" s="16" t="n">
        <v>0.008999999999999999</v>
      </c>
    </row>
    <row r="1480">
      <c r="A1480" s="16" t="n">
        <v>1476</v>
      </c>
      <c r="B1480" s="16" t="inlineStr">
        <is>
          <t>Backend</t>
        </is>
      </c>
      <c r="C1480" s="17" t="inlineStr">
        <is>
          <t>catalog-service</t>
        </is>
      </c>
      <c r="D1480" s="16" t="inlineStr">
        <is>
          <t>API slice</t>
        </is>
      </c>
      <c r="E1480" s="17" t="inlineStr">
        <is>
          <t>AdminCatalogControllerTest › SuKien</t>
        </is>
      </c>
      <c r="F1480" s="17" t="inlineStr">
        <is>
          <t>Sự kiện</t>
        </is>
      </c>
      <c r="G1480" s="17" t="inlineStr">
        <is>
          <t>ảnh bìa bị chính sách từ chối: 422</t>
        </is>
      </c>
      <c r="H1480" s="17" t="inlineStr">
        <is>
          <t>anh_bia_sai</t>
        </is>
      </c>
      <c r="I1480" s="16" t="inlineStr">
        <is>
          <t>Đạt</t>
        </is>
      </c>
      <c r="J1480" s="16" t="n">
        <v>0.007</v>
      </c>
    </row>
    <row r="1481">
      <c r="A1481" s="16" t="n">
        <v>1477</v>
      </c>
      <c r="B1481" s="16" t="inlineStr">
        <is>
          <t>Backend</t>
        </is>
      </c>
      <c r="C1481" s="17" t="inlineStr">
        <is>
          <t>catalog-service</t>
        </is>
      </c>
      <c r="D1481" s="16" t="inlineStr">
        <is>
          <t>API slice</t>
        </is>
      </c>
      <c r="E1481" s="17" t="inlineStr">
        <is>
          <t>AdminCatalogControllerTest › SuKien</t>
        </is>
      </c>
      <c r="F1481" s="17" t="inlineStr">
        <is>
          <t>Sự kiện</t>
        </is>
      </c>
      <c r="G1481" s="17" t="inlineStr">
        <is>
          <t>tiêu đề 201, tóm tắt 501, ảnh bìa 501 ký tự: 400 và nêu đúng từng trường</t>
        </is>
      </c>
      <c r="H1481" s="17" t="inlineStr">
        <is>
          <t>qua_dai</t>
        </is>
      </c>
      <c r="I1481" s="16" t="inlineStr">
        <is>
          <t>Đạt</t>
        </is>
      </c>
      <c r="J1481" s="16" t="n">
        <v>0.008</v>
      </c>
    </row>
    <row r="1482">
      <c r="A1482" s="16" t="n">
        <v>1478</v>
      </c>
      <c r="B1482" s="16" t="inlineStr">
        <is>
          <t>Backend</t>
        </is>
      </c>
      <c r="C1482" s="17" t="inlineStr">
        <is>
          <t>catalog-service</t>
        </is>
      </c>
      <c r="D1482" s="16" t="inlineStr">
        <is>
          <t>API slice</t>
        </is>
      </c>
      <c r="E1482" s="17" t="inlineStr">
        <is>
          <t>AdminCatalogControllerTest › SuKien</t>
        </is>
      </c>
      <c r="F1482" s="17" t="inlineStr">
        <is>
          <t>Sự kiện</t>
        </is>
      </c>
      <c r="G1482" s="17" t="inlineStr">
        <is>
          <t>phương thức sai: 405, không phải 500</t>
        </is>
      </c>
      <c r="H1482" s="17" t="inlineStr">
        <is>
          <t>sai_phuong_thuc</t>
        </is>
      </c>
      <c r="I1482" s="16" t="inlineStr">
        <is>
          <t>Đạt</t>
        </is>
      </c>
      <c r="J1482" s="16" t="n">
        <v>0.012</v>
      </c>
    </row>
    <row r="1483">
      <c r="A1483" s="16" t="n">
        <v>1479</v>
      </c>
      <c r="B1483" s="16" t="inlineStr">
        <is>
          <t>Backend</t>
        </is>
      </c>
      <c r="C1483" s="17" t="inlineStr">
        <is>
          <t>catalog-service</t>
        </is>
      </c>
      <c r="D1483" s="16" t="inlineStr">
        <is>
          <t>API slice</t>
        </is>
      </c>
      <c r="E1483" s="17" t="inlineStr">
        <is>
          <t>AdminCatalogControllerTest › XacThuc</t>
        </is>
      </c>
      <c r="F1483" s="17" t="inlineStr">
        <is>
          <t>Xác thực và cách ly tổ chức</t>
        </is>
      </c>
      <c r="G1483" s="17" t="inlineStr">
        <is>
          <t>id tổ chức sai hình dạng hoặc mã hoá phần trăm: 404, không lọt qua bộ lọc</t>
        </is>
      </c>
      <c r="H1483" s="17" t="inlineStr">
        <is>
          <t>id_to_chuc_sai(String)[1]</t>
        </is>
      </c>
      <c r="I1483" s="16" t="inlineStr">
        <is>
          <t>Đạt</t>
        </is>
      </c>
      <c r="J1483" s="16" t="n">
        <v>0.004</v>
      </c>
    </row>
    <row r="1484">
      <c r="A1484" s="16" t="n">
        <v>1480</v>
      </c>
      <c r="B1484" s="16" t="inlineStr">
        <is>
          <t>Backend</t>
        </is>
      </c>
      <c r="C1484" s="17" t="inlineStr">
        <is>
          <t>catalog-service</t>
        </is>
      </c>
      <c r="D1484" s="16" t="inlineStr">
        <is>
          <t>API slice</t>
        </is>
      </c>
      <c r="E1484" s="17" t="inlineStr">
        <is>
          <t>AdminCatalogControllerTest › XacThuc</t>
        </is>
      </c>
      <c r="F1484" s="17" t="inlineStr">
        <is>
          <t>Xác thực và cách ly tổ chức</t>
        </is>
      </c>
      <c r="G1484" s="17" t="inlineStr">
        <is>
          <t>id tổ chức sai hình dạng hoặc mã hoá phần trăm: 404, không lọt qua bộ lọc</t>
        </is>
      </c>
      <c r="H1484" s="17" t="inlineStr">
        <is>
          <t>id_to_chuc_sai(String)[2]</t>
        </is>
      </c>
      <c r="I1484" s="16" t="inlineStr">
        <is>
          <t>Đạt</t>
        </is>
      </c>
      <c r="J1484" s="16" t="n">
        <v>0.005</v>
      </c>
    </row>
    <row r="1485">
      <c r="A1485" s="16" t="n">
        <v>1481</v>
      </c>
      <c r="B1485" s="16" t="inlineStr">
        <is>
          <t>Backend</t>
        </is>
      </c>
      <c r="C1485" s="17" t="inlineStr">
        <is>
          <t>catalog-service</t>
        </is>
      </c>
      <c r="D1485" s="16" t="inlineStr">
        <is>
          <t>API slice</t>
        </is>
      </c>
      <c r="E1485" s="17" t="inlineStr">
        <is>
          <t>AdminCatalogControllerTest › XacThuc</t>
        </is>
      </c>
      <c r="F1485" s="17" t="inlineStr">
        <is>
          <t>Xác thực và cách ly tổ chức</t>
        </is>
      </c>
      <c r="G1485" s="17" t="inlineStr">
        <is>
          <t>id tổ chức sai hình dạng hoặc mã hoá phần trăm: 404, không lọt qua bộ lọc</t>
        </is>
      </c>
      <c r="H1485" s="17" t="inlineStr">
        <is>
          <t>id_to_chuc_sai(String)[3]</t>
        </is>
      </c>
      <c r="I1485" s="16" t="inlineStr">
        <is>
          <t>Đạt</t>
        </is>
      </c>
      <c r="J1485" s="16" t="n">
        <v>0.004</v>
      </c>
    </row>
    <row r="1486">
      <c r="A1486" s="16" t="n">
        <v>1482</v>
      </c>
      <c r="B1486" s="16" t="inlineStr">
        <is>
          <t>Backend</t>
        </is>
      </c>
      <c r="C1486" s="17" t="inlineStr">
        <is>
          <t>catalog-service</t>
        </is>
      </c>
      <c r="D1486" s="16" t="inlineStr">
        <is>
          <t>API slice</t>
        </is>
      </c>
      <c r="E1486" s="17" t="inlineStr">
        <is>
          <t>AdminCatalogControllerTest › XacThuc</t>
        </is>
      </c>
      <c r="F1486" s="17" t="inlineStr">
        <is>
          <t>Xác thực và cách ly tổ chức</t>
        </is>
      </c>
      <c r="G1486" s="17" t="inlineStr">
        <is>
          <t>superadmin không thuộc tổ chức nào nên cũng nhận 404 ở /organizations/{id} — theo thiết kế</t>
        </is>
      </c>
      <c r="H1486" s="17" t="inlineStr">
        <is>
          <t>superadmin</t>
        </is>
      </c>
      <c r="I1486" s="16" t="inlineStr">
        <is>
          <t>Đạt</t>
        </is>
      </c>
      <c r="J1486" s="16" t="n">
        <v>0.004</v>
      </c>
    </row>
    <row r="1487">
      <c r="A1487" s="16" t="n">
        <v>1483</v>
      </c>
      <c r="B1487" s="16" t="inlineStr">
        <is>
          <t>Backend</t>
        </is>
      </c>
      <c r="C1487" s="17" t="inlineStr">
        <is>
          <t>catalog-service</t>
        </is>
      </c>
      <c r="D1487" s="16" t="inlineStr">
        <is>
          <t>API slice</t>
        </is>
      </c>
      <c r="E1487" s="17" t="inlineStr">
        <is>
          <t>AdminCatalogControllerTest › XacThuc</t>
        </is>
      </c>
      <c r="F1487" s="17" t="inlineStr">
        <is>
          <t>Xác thực và cách ly tổ chức</t>
        </is>
      </c>
      <c r="G1487" s="17" t="inlineStr">
        <is>
          <t>khách không thuộc tổ chức nào: 404</t>
        </is>
      </c>
      <c r="H1487" s="17" t="inlineStr">
        <is>
          <t>khach</t>
        </is>
      </c>
      <c r="I1487" s="16" t="inlineStr">
        <is>
          <t>Đạt</t>
        </is>
      </c>
      <c r="J1487" s="16" t="n">
        <v>0.003</v>
      </c>
    </row>
    <row r="1488">
      <c r="A1488" s="16" t="n">
        <v>1484</v>
      </c>
      <c r="B1488" s="16" t="inlineStr">
        <is>
          <t>Backend</t>
        </is>
      </c>
      <c r="C1488" s="17" t="inlineStr">
        <is>
          <t>catalog-service</t>
        </is>
      </c>
      <c r="D1488" s="16" t="inlineStr">
        <is>
          <t>API slice</t>
        </is>
      </c>
      <c r="E1488" s="17" t="inlineStr">
        <is>
          <t>AdminCatalogControllerTest › XacThuc</t>
        </is>
      </c>
      <c r="F1488" s="17" t="inlineStr">
        <is>
          <t>Xác thực và cách ly tổ chức</t>
        </is>
      </c>
      <c r="G1488" s="17" t="inlineStr">
        <is>
          <t>token rác: 401</t>
        </is>
      </c>
      <c r="H1488" s="17" t="inlineStr">
        <is>
          <t>token_rac</t>
        </is>
      </c>
      <c r="I1488" s="16" t="inlineStr">
        <is>
          <t>Đạt</t>
        </is>
      </c>
      <c r="J1488" s="16" t="n">
        <v>0.006</v>
      </c>
    </row>
    <row r="1489">
      <c r="A1489" s="16" t="n">
        <v>1485</v>
      </c>
      <c r="B1489" s="16" t="inlineStr">
        <is>
          <t>Backend</t>
        </is>
      </c>
      <c r="C1489" s="17" t="inlineStr">
        <is>
          <t>catalog-service</t>
        </is>
      </c>
      <c r="D1489" s="16" t="inlineStr">
        <is>
          <t>API slice</t>
        </is>
      </c>
      <c r="E1489" s="17" t="inlineStr">
        <is>
          <t>AdminCatalogControllerTest › XacThuc</t>
        </is>
      </c>
      <c r="F1489" s="17" t="inlineStr">
        <is>
          <t>Xác thực và cách ly tổ chức</t>
        </is>
      </c>
      <c r="G1489" s="17" t="inlineStr">
        <is>
          <t>tổ chức của người khác: 404 chứ không 403, mọi phương thức, không chạm kho</t>
        </is>
      </c>
      <c r="H1489" s="17" t="inlineStr">
        <is>
          <t>to_chuc_khac</t>
        </is>
      </c>
      <c r="I1489" s="16" t="inlineStr">
        <is>
          <t>Đạt</t>
        </is>
      </c>
      <c r="J1489" s="16" t="n">
        <v>0.006</v>
      </c>
    </row>
    <row r="1490">
      <c r="A1490" s="16" t="n">
        <v>1486</v>
      </c>
      <c r="B1490" s="16" t="inlineStr">
        <is>
          <t>Backend</t>
        </is>
      </c>
      <c r="C1490" s="17" t="inlineStr">
        <is>
          <t>catalog-service</t>
        </is>
      </c>
      <c r="D1490" s="16" t="inlineStr">
        <is>
          <t>API slice</t>
        </is>
      </c>
      <c r="E1490" s="17" t="inlineStr">
        <is>
          <t>AdminCatalogControllerTest › XacThuc</t>
        </is>
      </c>
      <c r="F1490" s="17" t="inlineStr">
        <is>
          <t>Xác thực và cách ly tổ chức</t>
        </is>
      </c>
      <c r="G1490" s="17" t="inlineStr">
        <is>
          <t>không token: 401, không chạm kho</t>
        </is>
      </c>
      <c r="H1490" s="17" t="inlineStr">
        <is>
          <t>khong_token</t>
        </is>
      </c>
      <c r="I1490" s="16" t="inlineStr">
        <is>
          <t>Đạt</t>
        </is>
      </c>
      <c r="J1490" s="16" t="n">
        <v>0.005</v>
      </c>
    </row>
    <row r="1491">
      <c r="A1491" s="16" t="n">
        <v>1487</v>
      </c>
      <c r="B1491" s="16" t="inlineStr">
        <is>
          <t>Backend</t>
        </is>
      </c>
      <c r="C1491" s="17" t="inlineStr">
        <is>
          <t>catalog-service</t>
        </is>
      </c>
      <c r="D1491" s="16" t="inlineStr">
        <is>
          <t>API slice</t>
        </is>
      </c>
      <c r="E1491" s="17" t="inlineStr">
        <is>
          <t>InternalCatalogControllerTest</t>
        </is>
      </c>
      <c r="F1491" s="17" t="inlineStr"/>
      <c r="G1491" s="17" t="inlineStr">
        <is>
          <t>thiếu hoặc sai bí mật nội bộ: 404 không thân, không chạm truy vấn — kể cả khi có JWT hợp lệ</t>
        </is>
      </c>
      <c r="H1491" s="17" t="inlineStr">
        <is>
          <t>khong_duoc_phep(String)[1]</t>
        </is>
      </c>
      <c r="I1491" s="16" t="inlineStr">
        <is>
          <t>Đạt</t>
        </is>
      </c>
      <c r="J1491" s="16" t="n">
        <v>0.01</v>
      </c>
    </row>
    <row r="1492">
      <c r="A1492" s="16" t="n">
        <v>1488</v>
      </c>
      <c r="B1492" s="16" t="inlineStr">
        <is>
          <t>Backend</t>
        </is>
      </c>
      <c r="C1492" s="17" t="inlineStr">
        <is>
          <t>catalog-service</t>
        </is>
      </c>
      <c r="D1492" s="16" t="inlineStr">
        <is>
          <t>API slice</t>
        </is>
      </c>
      <c r="E1492" s="17" t="inlineStr">
        <is>
          <t>InternalCatalogControllerTest</t>
        </is>
      </c>
      <c r="F1492" s="17" t="inlineStr"/>
      <c r="G1492" s="17" t="inlineStr">
        <is>
          <t>thiếu hoặc sai bí mật nội bộ: 404 không thân, không chạm truy vấn — kể cả khi có JWT hợp lệ</t>
        </is>
      </c>
      <c r="H1492" s="17" t="inlineStr">
        <is>
          <t>khong_duoc_phep(String)[2]</t>
        </is>
      </c>
      <c r="I1492" s="16" t="inlineStr">
        <is>
          <t>Đạt</t>
        </is>
      </c>
      <c r="J1492" s="16" t="n">
        <v>0.005</v>
      </c>
    </row>
    <row r="1493">
      <c r="A1493" s="16" t="n">
        <v>1489</v>
      </c>
      <c r="B1493" s="16" t="inlineStr">
        <is>
          <t>Backend</t>
        </is>
      </c>
      <c r="C1493" s="17" t="inlineStr">
        <is>
          <t>catalog-service</t>
        </is>
      </c>
      <c r="D1493" s="16" t="inlineStr">
        <is>
          <t>API slice</t>
        </is>
      </c>
      <c r="E1493" s="17" t="inlineStr">
        <is>
          <t>InternalCatalogControllerTest</t>
        </is>
      </c>
      <c r="F1493" s="17" t="inlineStr"/>
      <c r="G1493" s="17" t="inlineStr">
        <is>
          <t>id suất không phải UUID: 400</t>
        </is>
      </c>
      <c r="H1493" s="17" t="inlineStr">
        <is>
          <t>id_sai</t>
        </is>
      </c>
      <c r="I1493" s="16" t="inlineStr">
        <is>
          <t>Đạt</t>
        </is>
      </c>
      <c r="J1493" s="16" t="n">
        <v>0.012</v>
      </c>
    </row>
    <row r="1494">
      <c r="A1494" s="16" t="n">
        <v>1490</v>
      </c>
      <c r="B1494" s="16" t="inlineStr">
        <is>
          <t>Backend</t>
        </is>
      </c>
      <c r="C1494" s="17" t="inlineStr">
        <is>
          <t>catalog-service</t>
        </is>
      </c>
      <c r="D1494" s="16" t="inlineStr">
        <is>
          <t>API slice</t>
        </is>
      </c>
      <c r="E1494" s="17" t="inlineStr">
        <is>
          <t>InternalCatalogControllerTest</t>
        </is>
      </c>
      <c r="F1494" s="17" t="inlineStr"/>
      <c r="G1494" s="17" t="inlineStr">
        <is>
          <t>giá: hoa hồng lấy từ cấu hình server, giảm giá 0, đúng tên field ordering đọc</t>
        </is>
      </c>
      <c r="H1494" s="17" t="inlineStr">
        <is>
          <t>gia</t>
        </is>
      </c>
      <c r="I1494" s="16" t="inlineStr">
        <is>
          <t>Đạt</t>
        </is>
      </c>
      <c r="J1494" s="16" t="n">
        <v>0.013</v>
      </c>
    </row>
    <row r="1495">
      <c r="A1495" s="16" t="n">
        <v>1491</v>
      </c>
      <c r="B1495" s="16" t="inlineStr">
        <is>
          <t>Backend</t>
        </is>
      </c>
      <c r="C1495" s="17" t="inlineStr">
        <is>
          <t>catalog-service</t>
        </is>
      </c>
      <c r="D1495" s="16" t="inlineStr">
        <is>
          <t>API slice</t>
        </is>
      </c>
      <c r="E1495" s="17" t="inlineStr">
        <is>
          <t>InternalCatalogControllerTest</t>
        </is>
      </c>
      <c r="F1495" s="17" t="inlineStr"/>
      <c r="G1495" s="17" t="inlineStr">
        <is>
          <t>có mã khuyến mãi: 422 PROMOTION_INVALID — câu trả lời dứt khoát, khác 404</t>
        </is>
      </c>
      <c r="H1495" s="17" t="inlineStr">
        <is>
          <t>co_ma</t>
        </is>
      </c>
      <c r="I1495" s="16" t="inlineStr">
        <is>
          <t>Đạt</t>
        </is>
      </c>
      <c r="J1495" s="16" t="n">
        <v>0.007</v>
      </c>
    </row>
    <row r="1496">
      <c r="A1496" s="16" t="n">
        <v>1492</v>
      </c>
      <c r="B1496" s="16" t="inlineStr">
        <is>
          <t>Backend</t>
        </is>
      </c>
      <c r="C1496" s="17" t="inlineStr">
        <is>
          <t>catalog-service</t>
        </is>
      </c>
      <c r="D1496" s="16" t="inlineStr">
        <is>
          <t>API slice</t>
        </is>
      </c>
      <c r="E1496" s="17" t="inlineStr">
        <is>
          <t>InternalCatalogControllerTest</t>
        </is>
      </c>
      <c r="F1496" s="17" t="inlineStr"/>
      <c r="G1496" s="17" t="inlineStr">
        <is>
          <t>mã khuyến mãi rỗng (UriComponentsBuilder vẫn gắn tên tham số): coi như không nhập</t>
        </is>
      </c>
      <c r="H1496" s="17" t="inlineStr">
        <is>
          <t>ma_rong</t>
        </is>
      </c>
      <c r="I1496" s="16" t="inlineStr">
        <is>
          <t>Đạt</t>
        </is>
      </c>
      <c r="J1496" s="16" t="n">
        <v>0.003</v>
      </c>
    </row>
    <row r="1497">
      <c r="A1497" s="16" t="n">
        <v>1493</v>
      </c>
      <c r="B1497" s="16" t="inlineStr">
        <is>
          <t>Backend</t>
        </is>
      </c>
      <c r="C1497" s="17" t="inlineStr">
        <is>
          <t>catalog-service</t>
        </is>
      </c>
      <c r="D1497" s="16" t="inlineStr">
        <is>
          <t>API slice</t>
        </is>
      </c>
      <c r="E1497" s="17" t="inlineStr">
        <is>
          <t>InternalCatalogControllerTest</t>
        </is>
      </c>
      <c r="F1497" s="17" t="inlineStr"/>
      <c r="G1497" s="17" t="inlineStr">
        <is>
          <t>tạm tính âm / không phải số / tràn long: 4xx, không phải 500</t>
        </is>
      </c>
      <c r="H1497" s="17" t="inlineStr">
        <is>
          <t>tam_tinh_hong(String)[1]</t>
        </is>
      </c>
      <c r="I1497" s="16" t="inlineStr">
        <is>
          <t>Đạt</t>
        </is>
      </c>
      <c r="J1497" s="16" t="n">
        <v>0.007</v>
      </c>
    </row>
    <row r="1498">
      <c r="A1498" s="16" t="n">
        <v>1494</v>
      </c>
      <c r="B1498" s="16" t="inlineStr">
        <is>
          <t>Backend</t>
        </is>
      </c>
      <c r="C1498" s="17" t="inlineStr">
        <is>
          <t>catalog-service</t>
        </is>
      </c>
      <c r="D1498" s="16" t="inlineStr">
        <is>
          <t>API slice</t>
        </is>
      </c>
      <c r="E1498" s="17" t="inlineStr">
        <is>
          <t>InternalCatalogControllerTest</t>
        </is>
      </c>
      <c r="F1498" s="17" t="inlineStr"/>
      <c r="G1498" s="17" t="inlineStr">
        <is>
          <t>tạm tính âm / không phải số / tràn long: 4xx, không phải 500</t>
        </is>
      </c>
      <c r="H1498" s="17" t="inlineStr">
        <is>
          <t>tam_tinh_hong(String)[2]</t>
        </is>
      </c>
      <c r="I1498" s="16" t="inlineStr">
        <is>
          <t>Đạt</t>
        </is>
      </c>
      <c r="J1498" s="16" t="n">
        <v>0.005</v>
      </c>
    </row>
    <row r="1499">
      <c r="A1499" s="16" t="n">
        <v>1495</v>
      </c>
      <c r="B1499" s="16" t="inlineStr">
        <is>
          <t>Backend</t>
        </is>
      </c>
      <c r="C1499" s="17" t="inlineStr">
        <is>
          <t>catalog-service</t>
        </is>
      </c>
      <c r="D1499" s="16" t="inlineStr">
        <is>
          <t>API slice</t>
        </is>
      </c>
      <c r="E1499" s="17" t="inlineStr">
        <is>
          <t>InternalCatalogControllerTest</t>
        </is>
      </c>
      <c r="F1499" s="17" t="inlineStr"/>
      <c r="G1499" s="17" t="inlineStr">
        <is>
          <t>tạm tính âm / không phải số / tràn long: 4xx, không phải 500</t>
        </is>
      </c>
      <c r="H1499" s="17" t="inlineStr">
        <is>
          <t>tam_tinh_hong(String)[3]</t>
        </is>
      </c>
      <c r="I1499" s="16" t="inlineStr">
        <is>
          <t>Đạt</t>
        </is>
      </c>
      <c r="J1499" s="16" t="n">
        <v>0.004</v>
      </c>
    </row>
    <row r="1500">
      <c r="A1500" s="16" t="n">
        <v>1496</v>
      </c>
      <c r="B1500" s="16" t="inlineStr">
        <is>
          <t>Backend</t>
        </is>
      </c>
      <c r="C1500" s="17" t="inlineStr">
        <is>
          <t>catalog-service</t>
        </is>
      </c>
      <c r="D1500" s="16" t="inlineStr">
        <is>
          <t>API slice</t>
        </is>
      </c>
      <c r="E1500" s="17" t="inlineStr">
        <is>
          <t>InternalCatalogControllerTest</t>
        </is>
      </c>
      <c r="F1500" s="17" t="inlineStr"/>
      <c r="G1500" s="17" t="inlineStr">
        <is>
          <t>tạm tính âm / không phải số / tràn long: 4xx, không phải 500</t>
        </is>
      </c>
      <c r="H1500" s="17" t="inlineStr">
        <is>
          <t>tam_tinh_hong(String)[4]</t>
        </is>
      </c>
      <c r="I1500" s="16" t="inlineStr">
        <is>
          <t>Đạt</t>
        </is>
      </c>
      <c r="J1500" s="16" t="n">
        <v>0.005</v>
      </c>
    </row>
    <row r="1501">
      <c r="A1501" s="16" t="n">
        <v>1497</v>
      </c>
      <c r="B1501" s="16" t="inlineStr">
        <is>
          <t>Backend</t>
        </is>
      </c>
      <c r="C1501" s="17" t="inlineStr">
        <is>
          <t>catalog-service</t>
        </is>
      </c>
      <c r="D1501" s="16" t="inlineStr">
        <is>
          <t>API slice</t>
        </is>
      </c>
      <c r="E1501" s="17" t="inlineStr">
        <is>
          <t>InternalCatalogControllerTest</t>
        </is>
      </c>
      <c r="F1501" s="17" t="inlineStr"/>
      <c r="G1501" s="17" t="inlineStr">
        <is>
          <t>tham số giả (commissionBps, discountVnd) do người gọi gửi lên bị bỏ qua</t>
        </is>
      </c>
      <c r="H1501" s="17" t="inlineStr">
        <is>
          <t>tham_so_gia_bi_bo_qua</t>
        </is>
      </c>
      <c r="I1501" s="16" t="inlineStr">
        <is>
          <t>Đạt</t>
        </is>
      </c>
      <c r="J1501" s="16" t="n">
        <v>0.004</v>
      </c>
    </row>
    <row r="1502">
      <c r="A1502" s="16" t="n">
        <v>1498</v>
      </c>
      <c r="B1502" s="16" t="inlineStr">
        <is>
          <t>Backend</t>
        </is>
      </c>
      <c r="C1502" s="17" t="inlineStr">
        <is>
          <t>catalog-service</t>
        </is>
      </c>
      <c r="D1502" s="16" t="inlineStr">
        <is>
          <t>API slice</t>
        </is>
      </c>
      <c r="E1502" s="17" t="inlineStr">
        <is>
          <t>InternalCatalogControllerTest</t>
        </is>
      </c>
      <c r="F1502" s="17" t="inlineStr"/>
      <c r="G1502" s="17" t="inlineStr">
        <is>
          <t>thông tin suất cho soát vé: 200 đúng tên field; suất không có: 404 có mã</t>
        </is>
      </c>
      <c r="H1502" s="17" t="inlineStr">
        <is>
          <t>thong_tin_suat</t>
        </is>
      </c>
      <c r="I1502" s="16" t="inlineStr">
        <is>
          <t>Đạt</t>
        </is>
      </c>
      <c r="J1502" s="16" t="n">
        <v>0.015</v>
      </c>
    </row>
    <row r="1503">
      <c r="A1503" s="16" t="n">
        <v>1499</v>
      </c>
      <c r="B1503" s="16" t="inlineStr">
        <is>
          <t>Backend</t>
        </is>
      </c>
      <c r="C1503" s="17" t="inlineStr">
        <is>
          <t>catalog-service</t>
        </is>
      </c>
      <c r="D1503" s="16" t="inlineStr">
        <is>
          <t>API slice</t>
        </is>
      </c>
      <c r="E1503" s="17" t="inlineStr">
        <is>
          <t>InternalCatalogControllerTest</t>
        </is>
      </c>
      <c r="F1503" s="17" t="inlineStr"/>
      <c r="G1503" s="17" t="inlineStr">
        <is>
          <t>suất không tồn tại: 404 SESSION_NOT_FOUND có thân (phân biệt với 404 của bộ lọc)</t>
        </is>
      </c>
      <c r="H1503" s="17" t="inlineStr">
        <is>
          <t>suat_khong_ton_tai</t>
        </is>
      </c>
      <c r="I1503" s="16" t="inlineStr">
        <is>
          <t>Đạt</t>
        </is>
      </c>
      <c r="J1503" s="16" t="n">
        <v>0.005</v>
      </c>
    </row>
    <row r="1504">
      <c r="A1504" s="16" t="n">
        <v>1500</v>
      </c>
      <c r="B1504" s="16" t="inlineStr">
        <is>
          <t>Backend</t>
        </is>
      </c>
      <c r="C1504" s="17" t="inlineStr">
        <is>
          <t>catalog-service</t>
        </is>
      </c>
      <c r="D1504" s="16" t="inlineStr">
        <is>
          <t>API slice</t>
        </is>
      </c>
      <c r="E1504" s="17" t="inlineStr">
        <is>
          <t>OrganizationControllersTest › BangDieuKhien</t>
        </is>
      </c>
      <c r="F1504" s="17" t="inlineStr">
        <is>
          <t>Bảng điều khiển</t>
        </is>
      </c>
      <c r="G1504" s="17" t="inlineStr">
        <is>
          <t>tổng quan: 200; tổ chức khác: 404; không token: 401</t>
        </is>
      </c>
      <c r="H1504" s="17" t="inlineStr">
        <is>
          <t>tong_quan</t>
        </is>
      </c>
      <c r="I1504" s="16" t="inlineStr">
        <is>
          <t>Đạt</t>
        </is>
      </c>
      <c r="J1504" s="16" t="n">
        <v>0.016</v>
      </c>
    </row>
    <row r="1505">
      <c r="A1505" s="16" t="n">
        <v>1501</v>
      </c>
      <c r="B1505" s="16" t="inlineStr">
        <is>
          <t>Backend</t>
        </is>
      </c>
      <c r="C1505" s="17" t="inlineStr">
        <is>
          <t>catalog-service</t>
        </is>
      </c>
      <c r="D1505" s="16" t="inlineStr">
        <is>
          <t>API slice</t>
        </is>
      </c>
      <c r="E1505" s="17" t="inlineStr">
        <is>
          <t>OrganizationControllersTest › BangDieuKhien</t>
        </is>
      </c>
      <c r="F1505" s="17" t="inlineStr">
        <is>
          <t>Bảng điều khiển</t>
        </is>
      </c>
      <c r="G1505" s="17" t="inlineStr">
        <is>
          <t>master data: sự kiện không có → 404; id sai → 400; không đủ quyền (handler) → 403</t>
        </is>
      </c>
      <c r="H1505" s="17" t="inlineStr">
        <is>
          <t>master_data</t>
        </is>
      </c>
      <c r="I1505" s="16" t="inlineStr">
        <is>
          <t>Đạt</t>
        </is>
      </c>
      <c r="J1505" s="16" t="n">
        <v>0.008999999999999999</v>
      </c>
    </row>
    <row r="1506">
      <c r="A1506" s="16" t="n">
        <v>1502</v>
      </c>
      <c r="B1506" s="16" t="inlineStr">
        <is>
          <t>Backend</t>
        </is>
      </c>
      <c r="C1506" s="17" t="inlineStr">
        <is>
          <t>catalog-service</t>
        </is>
      </c>
      <c r="D1506" s="16" t="inlineStr">
        <is>
          <t>API slice</t>
        </is>
      </c>
      <c r="E1506" s="17" t="inlineStr">
        <is>
          <t>OrganizationControllersTest › DanhBa</t>
        </is>
      </c>
      <c r="F1506" s="17" t="inlineStr">
        <is>
          <t>Danh bạ suất cho thống kê</t>
        </is>
      </c>
      <c r="G1506" s="17" t="inlineStr">
        <is>
          <t>nhân viên soát vé: 403 — họ có danh sách riêng ở /checkin-sessions</t>
        </is>
      </c>
      <c r="H1506" s="17" t="inlineStr">
        <is>
          <t>nhan_vien</t>
        </is>
      </c>
      <c r="I1506" s="16" t="inlineStr">
        <is>
          <t>Đạt</t>
        </is>
      </c>
      <c r="J1506" s="16" t="n">
        <v>0.006</v>
      </c>
    </row>
    <row r="1507">
      <c r="A1507" s="16" t="n">
        <v>1503</v>
      </c>
      <c r="B1507" s="16" t="inlineStr">
        <is>
          <t>Backend</t>
        </is>
      </c>
      <c r="C1507" s="17" t="inlineStr">
        <is>
          <t>catalog-service</t>
        </is>
      </c>
      <c r="D1507" s="16" t="inlineStr">
        <is>
          <t>API slice</t>
        </is>
      </c>
      <c r="E1507" s="17" t="inlineStr">
        <is>
          <t>OrganizationControllersTest › DanhBa</t>
        </is>
      </c>
      <c r="F1507" s="17" t="inlineStr">
        <is>
          <t>Danh bạ suất cho thống kê</t>
        </is>
      </c>
      <c r="G1507" s="17" t="inlineStr">
        <is>
          <t>tổ chức khác: 404</t>
        </is>
      </c>
      <c r="H1507" s="17" t="inlineStr">
        <is>
          <t>to_chuc_khac</t>
        </is>
      </c>
      <c r="I1507" s="16" t="inlineStr">
        <is>
          <t>Đạt</t>
        </is>
      </c>
      <c r="J1507" s="16" t="n">
        <v>0.004</v>
      </c>
    </row>
    <row r="1508">
      <c r="A1508" s="16" t="n">
        <v>1504</v>
      </c>
      <c r="B1508" s="16" t="inlineStr">
        <is>
          <t>Backend</t>
        </is>
      </c>
      <c r="C1508" s="17" t="inlineStr">
        <is>
          <t>catalog-service</t>
        </is>
      </c>
      <c r="D1508" s="16" t="inlineStr">
        <is>
          <t>API slice</t>
        </is>
      </c>
      <c r="E1508" s="17" t="inlineStr">
        <is>
          <t>OrganizationControllersTest › DanhBa</t>
        </is>
      </c>
      <c r="F1508" s="17" t="inlineStr">
        <is>
          <t>Danh bạ suất cho thống kê</t>
        </is>
      </c>
      <c r="G1508" s="17" t="inlineStr">
        <is>
          <t>quản lý sự kiện: 200</t>
        </is>
      </c>
      <c r="H1508" s="17" t="inlineStr">
        <is>
          <t>quan_ly</t>
        </is>
      </c>
      <c r="I1508" s="16" t="inlineStr">
        <is>
          <t>Đạt</t>
        </is>
      </c>
      <c r="J1508" s="16" t="n">
        <v>0.01</v>
      </c>
    </row>
    <row r="1509">
      <c r="A1509" s="16" t="n">
        <v>1505</v>
      </c>
      <c r="B1509" s="16" t="inlineStr">
        <is>
          <t>Backend</t>
        </is>
      </c>
      <c r="C1509" s="17" t="inlineStr">
        <is>
          <t>catalog-service</t>
        </is>
      </c>
      <c r="D1509" s="16" t="inlineStr">
        <is>
          <t>API slice</t>
        </is>
      </c>
      <c r="E1509" s="17" t="inlineStr">
        <is>
          <t>OrganizationControllersTest › SoatVe</t>
        </is>
      </c>
      <c r="F1509" s="17" t="inlineStr">
        <is>
          <t>Danh sách suất cho soát vé</t>
        </is>
      </c>
      <c r="G1509" s="17" t="inlineStr">
        <is>
          <t>không token: 401; tổ chức khác: 404; id tổ chức hỏng: 404 — không chạm truy vấn</t>
        </is>
      </c>
      <c r="H1509" s="17" t="inlineStr">
        <is>
          <t>khong_duoc_phep</t>
        </is>
      </c>
      <c r="I1509" s="16" t="inlineStr">
        <is>
          <t>Đạt</t>
        </is>
      </c>
      <c r="J1509" s="16" t="n">
        <v>0.006</v>
      </c>
    </row>
    <row r="1510">
      <c r="A1510" s="16" t="n">
        <v>1506</v>
      </c>
      <c r="B1510" s="16" t="inlineStr">
        <is>
          <t>Backend</t>
        </is>
      </c>
      <c r="C1510" s="17" t="inlineStr">
        <is>
          <t>catalog-service</t>
        </is>
      </c>
      <c r="D1510" s="16" t="inlineStr">
        <is>
          <t>API slice</t>
        </is>
      </c>
      <c r="E1510" s="17" t="inlineStr">
        <is>
          <t>OrganizationControllersTest › SoatVe</t>
        </is>
      </c>
      <c r="F1510" s="17" t="inlineStr">
        <is>
          <t>Danh sách suất cho soát vé</t>
        </is>
      </c>
      <c r="G1510" s="17" t="inlineStr">
        <is>
          <t>khách thuộc tổ chức với vai trò CUSTOMER: 403 chứ không 200</t>
        </is>
      </c>
      <c r="H1510" s="17" t="inlineStr">
        <is>
          <t>vai_tro_khach</t>
        </is>
      </c>
      <c r="I1510" s="16" t="inlineStr">
        <is>
          <t>Đạt</t>
        </is>
      </c>
      <c r="J1510" s="16" t="n">
        <v>0.005</v>
      </c>
    </row>
    <row r="1511">
      <c r="A1511" s="16" t="n">
        <v>1507</v>
      </c>
      <c r="B1511" s="16" t="inlineStr">
        <is>
          <t>Backend</t>
        </is>
      </c>
      <c r="C1511" s="17" t="inlineStr">
        <is>
          <t>catalog-service</t>
        </is>
      </c>
      <c r="D1511" s="16" t="inlineStr">
        <is>
          <t>API slice</t>
        </is>
      </c>
      <c r="E1511" s="17" t="inlineStr">
        <is>
          <t>OrganizationControllersTest › SoatVe</t>
        </is>
      </c>
      <c r="F1511" s="17" t="inlineStr">
        <is>
          <t>Danh sách suất cho soát vé</t>
        </is>
      </c>
      <c r="G1511" s="17" t="inlineStr">
        <is>
          <t>vai trò có quyền CHECKIN_SCAN: 200</t>
        </is>
      </c>
      <c r="H1511" s="17" t="inlineStr">
        <is>
          <t>co_quyen(Role)[1]</t>
        </is>
      </c>
      <c r="I1511" s="16" t="inlineStr">
        <is>
          <t>Đạt</t>
        </is>
      </c>
      <c r="J1511" s="16" t="n">
        <v>0.006</v>
      </c>
    </row>
    <row r="1512">
      <c r="A1512" s="16" t="n">
        <v>1508</v>
      </c>
      <c r="B1512" s="16" t="inlineStr">
        <is>
          <t>Backend</t>
        </is>
      </c>
      <c r="C1512" s="17" t="inlineStr">
        <is>
          <t>catalog-service</t>
        </is>
      </c>
      <c r="D1512" s="16" t="inlineStr">
        <is>
          <t>API slice</t>
        </is>
      </c>
      <c r="E1512" s="17" t="inlineStr">
        <is>
          <t>OrganizationControllersTest › SoatVe</t>
        </is>
      </c>
      <c r="F1512" s="17" t="inlineStr">
        <is>
          <t>Danh sách suất cho soát vé</t>
        </is>
      </c>
      <c r="G1512" s="17" t="inlineStr">
        <is>
          <t>vai trò có quyền CHECKIN_SCAN: 200</t>
        </is>
      </c>
      <c r="H1512" s="17" t="inlineStr">
        <is>
          <t>co_quyen(Role)[2]</t>
        </is>
      </c>
      <c r="I1512" s="16" t="inlineStr">
        <is>
          <t>Đạt</t>
        </is>
      </c>
      <c r="J1512" s="16" t="n">
        <v>0.006</v>
      </c>
    </row>
    <row r="1513">
      <c r="A1513" s="16" t="n">
        <v>1509</v>
      </c>
      <c r="B1513" s="16" t="inlineStr">
        <is>
          <t>Backend</t>
        </is>
      </c>
      <c r="C1513" s="17" t="inlineStr">
        <is>
          <t>catalog-service</t>
        </is>
      </c>
      <c r="D1513" s="16" t="inlineStr">
        <is>
          <t>API slice</t>
        </is>
      </c>
      <c r="E1513" s="17" t="inlineStr">
        <is>
          <t>OrganizationControllersTest › SoatVe</t>
        </is>
      </c>
      <c r="F1513" s="17" t="inlineStr">
        <is>
          <t>Danh sách suất cho soát vé</t>
        </is>
      </c>
      <c r="G1513" s="17" t="inlineStr">
        <is>
          <t>vai trò có quyền CHECKIN_SCAN: 200</t>
        </is>
      </c>
      <c r="H1513" s="17" t="inlineStr">
        <is>
          <t>co_quyen(Role)[3]</t>
        </is>
      </c>
      <c r="I1513" s="16" t="inlineStr">
        <is>
          <t>Đạt</t>
        </is>
      </c>
      <c r="J1513" s="16" t="n">
        <v>0.006</v>
      </c>
    </row>
    <row r="1514">
      <c r="A1514" s="16" t="n">
        <v>1510</v>
      </c>
      <c r="B1514" s="16" t="inlineStr">
        <is>
          <t>Backend</t>
        </is>
      </c>
      <c r="C1514" s="17" t="inlineStr">
        <is>
          <t>catalog-service</t>
        </is>
      </c>
      <c r="D1514" s="16" t="inlineStr">
        <is>
          <t>API slice</t>
        </is>
      </c>
      <c r="E1514" s="17" t="inlineStr">
        <is>
          <t>OrganizationControllersTest › SoatVe</t>
        </is>
      </c>
      <c r="F1514" s="17" t="inlineStr">
        <is>
          <t>Danh sách suất cho soát vé</t>
        </is>
      </c>
      <c r="G1514" s="17" t="inlineStr">
        <is>
          <t>vai trò có quyền CHECKIN_SCAN: 200</t>
        </is>
      </c>
      <c r="H1514" s="17" t="inlineStr">
        <is>
          <t>co_quyen(Role)[4]</t>
        </is>
      </c>
      <c r="I1514" s="16" t="inlineStr">
        <is>
          <t>Đạt</t>
        </is>
      </c>
      <c r="J1514" s="16" t="n">
        <v>0.004</v>
      </c>
    </row>
    <row r="1515">
      <c r="A1515" s="16" t="n">
        <v>1511</v>
      </c>
      <c r="B1515" s="16" t="inlineStr">
        <is>
          <t>Backend</t>
        </is>
      </c>
      <c r="C1515" s="17" t="inlineStr">
        <is>
          <t>catalog-service</t>
        </is>
      </c>
      <c r="D1515" s="16" t="inlineStr">
        <is>
          <t>API slice</t>
        </is>
      </c>
      <c r="E1515" s="17" t="inlineStr">
        <is>
          <t>OrganizationControllersTest › SoDo</t>
        </is>
      </c>
      <c r="F1515" s="17" t="inlineStr">
        <is>
          <t>Sơ đồ ghế và dựng từ khung</t>
        </is>
      </c>
      <c r="G1515" s="17" t="inlineStr">
        <is>
          <t>khung chưa mở: 409 TEMPLATE_NOT_USABLE; thiếu giá: 422 kèm meta.zoneCodes</t>
        </is>
      </c>
      <c r="H1515" s="17" t="inlineStr">
        <is>
          <t>tu_khung_loi_nghiep_vu</t>
        </is>
      </c>
      <c r="I1515" s="16" t="inlineStr">
        <is>
          <t>Đạt</t>
        </is>
      </c>
      <c r="J1515" s="16" t="n">
        <v>0.05</v>
      </c>
    </row>
    <row r="1516">
      <c r="A1516" s="16" t="n">
        <v>1512</v>
      </c>
      <c r="B1516" s="16" t="inlineStr">
        <is>
          <t>Backend</t>
        </is>
      </c>
      <c r="C1516" s="17" t="inlineStr">
        <is>
          <t>catalog-service</t>
        </is>
      </c>
      <c r="D1516" s="16" t="inlineStr">
        <is>
          <t>API slice</t>
        </is>
      </c>
      <c r="E1516" s="17" t="inlineStr">
        <is>
          <t>OrganizationControllersTest › SoDo</t>
        </is>
      </c>
      <c r="F1516" s="17" t="inlineStr">
        <is>
          <t>Sơ đồ ghế và dựng từ khung</t>
        </is>
      </c>
      <c r="G1516" s="17" t="inlineStr">
        <is>
          <t>xem ảnh sơ đồ của sự kiện không có: 404 EVENT_NOT_FOUND</t>
        </is>
      </c>
      <c r="H1516" s="17" t="inlineStr">
        <is>
          <t>xem_anh_khong_co</t>
        </is>
      </c>
      <c r="I1516" s="16" t="inlineStr">
        <is>
          <t>Đạt</t>
        </is>
      </c>
      <c r="J1516" s="16" t="n">
        <v>0.007</v>
      </c>
    </row>
    <row r="1517">
      <c r="A1517" s="16" t="n">
        <v>1513</v>
      </c>
      <c r="B1517" s="16" t="inlineStr">
        <is>
          <t>Backend</t>
        </is>
      </c>
      <c r="C1517" s="17" t="inlineStr">
        <is>
          <t>catalog-service</t>
        </is>
      </c>
      <c r="D1517" s="16" t="inlineStr">
        <is>
          <t>API slice</t>
        </is>
      </c>
      <c r="E1517" s="17" t="inlineStr">
        <is>
          <t>OrganizationControllersTest › SoDo</t>
        </is>
      </c>
      <c r="F1517" s="17" t="inlineStr">
        <is>
          <t>Sơ đồ ghế và dựng từ khung</t>
        </is>
      </c>
      <c r="G1517" s="17" t="inlineStr">
        <is>
          <t>hình bàn tròn (TABLE) mà domain và dữ liệu mẫu hỗ trợ phải đặt được qua API</t>
        </is>
      </c>
      <c r="H1517" s="17" t="inlineStr">
        <is>
          <t>hinh_ban_tron</t>
        </is>
      </c>
      <c r="I1517" s="16" t="inlineStr">
        <is>
          <t>Đạt</t>
        </is>
      </c>
      <c r="J1517" s="16" t="n">
        <v>0.073</v>
      </c>
    </row>
    <row r="1518">
      <c r="A1518" s="16" t="n">
        <v>1514</v>
      </c>
      <c r="B1518" s="16" t="inlineStr">
        <is>
          <t>Backend</t>
        </is>
      </c>
      <c r="C1518" s="17" t="inlineStr">
        <is>
          <t>catalog-service</t>
        </is>
      </c>
      <c r="D1518" s="16" t="inlineStr">
        <is>
          <t>API slice</t>
        </is>
      </c>
      <c r="E1518" s="17" t="inlineStr">
        <is>
          <t>OrganizationControllersTest › SoDo</t>
        </is>
      </c>
      <c r="F1518" s="17" t="inlineStr">
        <is>
          <t>Sơ đồ ghế và dựng từ khung</t>
        </is>
      </c>
      <c r="G1518" s="17" t="inlineStr">
        <is>
          <t>địa điểm của tổ chức khác (đường dẫn): 404; id địa điểm sai: 400</t>
        </is>
      </c>
      <c r="H1518" s="17" t="inlineStr">
        <is>
          <t>dia_diem</t>
        </is>
      </c>
      <c r="I1518" s="16" t="inlineStr">
        <is>
          <t>Đạt</t>
        </is>
      </c>
      <c r="J1518" s="16" t="n">
        <v>0.007</v>
      </c>
    </row>
    <row r="1519">
      <c r="A1519" s="16" t="n">
        <v>1515</v>
      </c>
      <c r="B1519" s="16" t="inlineStr">
        <is>
          <t>Backend</t>
        </is>
      </c>
      <c r="C1519" s="17" t="inlineStr">
        <is>
          <t>catalog-service</t>
        </is>
      </c>
      <c r="D1519" s="16" t="inlineStr">
        <is>
          <t>API slice</t>
        </is>
      </c>
      <c r="E1519" s="17" t="inlineStr">
        <is>
          <t>OrganizationControllersTest › SoDo</t>
        </is>
      </c>
      <c r="F1519" s="17" t="inlineStr">
        <is>
          <t>Sơ đồ ghế và dựng từ khung</t>
        </is>
      </c>
      <c r="G1519" s="17" t="inlineStr">
        <is>
          <t>ảnh sơ đồ: URL 501 ký tự → 400; hợp lệ → 204 không thân; use case từ chối → 422</t>
        </is>
      </c>
      <c r="H1519" s="17" t="inlineStr">
        <is>
          <t>anh_so_do</t>
        </is>
      </c>
      <c r="I1519" s="16" t="inlineStr">
        <is>
          <t>Đạt</t>
        </is>
      </c>
      <c r="J1519" s="16" t="n">
        <v>0.02</v>
      </c>
    </row>
    <row r="1520">
      <c r="A1520" s="16" t="n">
        <v>1516</v>
      </c>
      <c r="B1520" s="16" t="inlineStr">
        <is>
          <t>Backend</t>
        </is>
      </c>
      <c r="C1520" s="17" t="inlineStr">
        <is>
          <t>catalog-service</t>
        </is>
      </c>
      <c r="D1520" s="16" t="inlineStr">
        <is>
          <t>API slice</t>
        </is>
      </c>
      <c r="E1520" s="17" t="inlineStr">
        <is>
          <t>OrganizationControllersTest › SoDo</t>
        </is>
      </c>
      <c r="F1520" s="17" t="inlineStr">
        <is>
          <t>Sơ đồ ghế và dựng từ khung</t>
        </is>
      </c>
      <c r="G1520" s="17" t="inlineStr">
        <is>
          <t>sơ đồ bị khoá (dựng từ khung): 409 VENUE_LAYOUT_LOCKED; đang dùng: 409 VENUE_IN_USE</t>
        </is>
      </c>
      <c r="H1520" s="17" t="inlineStr">
        <is>
          <t>bi_khoa</t>
        </is>
      </c>
      <c r="I1520" s="16" t="inlineStr">
        <is>
          <t>Đạt</t>
        </is>
      </c>
      <c r="J1520" s="16" t="n">
        <v>0.011</v>
      </c>
    </row>
    <row r="1521">
      <c r="A1521" s="16" t="n">
        <v>1517</v>
      </c>
      <c r="B1521" s="16" t="inlineStr">
        <is>
          <t>Backend</t>
        </is>
      </c>
      <c r="C1521" s="17" t="inlineStr">
        <is>
          <t>catalog-service</t>
        </is>
      </c>
      <c r="D1521" s="16" t="inlineStr">
        <is>
          <t>API slice</t>
        </is>
      </c>
      <c r="E1521" s="17" t="inlineStr">
        <is>
          <t>OrganizationControllersTest › SoDo</t>
        </is>
      </c>
      <c r="F1521" s="17" t="inlineStr">
        <is>
          <t>Sơ đồ ghế và dựng từ khung</t>
        </is>
      </c>
      <c r="G1521" s="17" t="inlineStr">
        <is>
          <t>sơ đồ rỗng, khu thiếu trường, hình lạ, bán kính âm, sân khấu hỏng: 400 ở cả lưu lẫn xem trước</t>
        </is>
      </c>
      <c r="H1521" s="17" t="inlineStr">
        <is>
          <t>so_do_hong(String)[1]</t>
        </is>
      </c>
      <c r="I1521" s="16" t="inlineStr">
        <is>
          <t>Đạt</t>
        </is>
      </c>
      <c r="J1521" s="16" t="n">
        <v>0.008999999999999999</v>
      </c>
    </row>
    <row r="1522">
      <c r="A1522" s="16" t="n">
        <v>1518</v>
      </c>
      <c r="B1522" s="16" t="inlineStr">
        <is>
          <t>Backend</t>
        </is>
      </c>
      <c r="C1522" s="17" t="inlineStr">
        <is>
          <t>catalog-service</t>
        </is>
      </c>
      <c r="D1522" s="16" t="inlineStr">
        <is>
          <t>API slice</t>
        </is>
      </c>
      <c r="E1522" s="17" t="inlineStr">
        <is>
          <t>OrganizationControllersTest › SoDo</t>
        </is>
      </c>
      <c r="F1522" s="17" t="inlineStr">
        <is>
          <t>Sơ đồ ghế và dựng từ khung</t>
        </is>
      </c>
      <c r="G1522" s="17" t="inlineStr">
        <is>
          <t>sơ đồ rỗng, khu thiếu trường, hình lạ, bán kính âm, sân khấu hỏng: 400 ở cả lưu lẫn xem trước</t>
        </is>
      </c>
      <c r="H1522" s="17" t="inlineStr">
        <is>
          <t>so_do_hong(String)[2]</t>
        </is>
      </c>
      <c r="I1522" s="16" t="inlineStr">
        <is>
          <t>Đạt</t>
        </is>
      </c>
      <c r="J1522" s="16" t="n">
        <v>0.008999999999999999</v>
      </c>
    </row>
    <row r="1523">
      <c r="A1523" s="16" t="n">
        <v>1519</v>
      </c>
      <c r="B1523" s="16" t="inlineStr">
        <is>
          <t>Backend</t>
        </is>
      </c>
      <c r="C1523" s="17" t="inlineStr">
        <is>
          <t>catalog-service</t>
        </is>
      </c>
      <c r="D1523" s="16" t="inlineStr">
        <is>
          <t>API slice</t>
        </is>
      </c>
      <c r="E1523" s="17" t="inlineStr">
        <is>
          <t>OrganizationControllersTest › SoDo</t>
        </is>
      </c>
      <c r="F1523" s="17" t="inlineStr">
        <is>
          <t>Sơ đồ ghế và dựng từ khung</t>
        </is>
      </c>
      <c r="G1523" s="17" t="inlineStr">
        <is>
          <t>sơ đồ rỗng, khu thiếu trường, hình lạ, bán kính âm, sân khấu hỏng: 400 ở cả lưu lẫn xem trước</t>
        </is>
      </c>
      <c r="H1523" s="17" t="inlineStr">
        <is>
          <t>so_do_hong(String)[3]</t>
        </is>
      </c>
      <c r="I1523" s="16" t="inlineStr">
        <is>
          <t>Đạt</t>
        </is>
      </c>
      <c r="J1523" s="16" t="n">
        <v>0.008</v>
      </c>
    </row>
    <row r="1524">
      <c r="A1524" s="16" t="n">
        <v>1520</v>
      </c>
      <c r="B1524" s="16" t="inlineStr">
        <is>
          <t>Backend</t>
        </is>
      </c>
      <c r="C1524" s="17" t="inlineStr">
        <is>
          <t>catalog-service</t>
        </is>
      </c>
      <c r="D1524" s="16" t="inlineStr">
        <is>
          <t>API slice</t>
        </is>
      </c>
      <c r="E1524" s="17" t="inlineStr">
        <is>
          <t>OrganizationControllersTest › SoDo</t>
        </is>
      </c>
      <c r="F1524" s="17" t="inlineStr">
        <is>
          <t>Sơ đồ ghế và dựng từ khung</t>
        </is>
      </c>
      <c r="G1524" s="17" t="inlineStr">
        <is>
          <t>sơ đồ rỗng, khu thiếu trường, hình lạ, bán kính âm, sân khấu hỏng: 400 ở cả lưu lẫn xem trước</t>
        </is>
      </c>
      <c r="H1524" s="17" t="inlineStr">
        <is>
          <t>so_do_hong(String)[4]</t>
        </is>
      </c>
      <c r="I1524" s="16" t="inlineStr">
        <is>
          <t>Đạt</t>
        </is>
      </c>
      <c r="J1524" s="16" t="n">
        <v>0.012</v>
      </c>
    </row>
    <row r="1525">
      <c r="A1525" s="16" t="n">
        <v>1521</v>
      </c>
      <c r="B1525" s="16" t="inlineStr">
        <is>
          <t>Backend</t>
        </is>
      </c>
      <c r="C1525" s="17" t="inlineStr">
        <is>
          <t>catalog-service</t>
        </is>
      </c>
      <c r="D1525" s="16" t="inlineStr">
        <is>
          <t>API slice</t>
        </is>
      </c>
      <c r="E1525" s="17" t="inlineStr">
        <is>
          <t>OrganizationControllersTest › SoDo</t>
        </is>
      </c>
      <c r="F1525" s="17" t="inlineStr">
        <is>
          <t>Sơ đồ ghế và dựng từ khung</t>
        </is>
      </c>
      <c r="G1525" s="17" t="inlineStr">
        <is>
          <t>sơ đồ rỗng, khu thiếu trường, hình lạ, bán kính âm, sân khấu hỏng: 400 ở cả lưu lẫn xem trước</t>
        </is>
      </c>
      <c r="H1525" s="17" t="inlineStr">
        <is>
          <t>so_do_hong(String)[5]</t>
        </is>
      </c>
      <c r="I1525" s="16" t="inlineStr">
        <is>
          <t>Đạt</t>
        </is>
      </c>
      <c r="J1525" s="16" t="n">
        <v>0.008999999999999999</v>
      </c>
    </row>
    <row r="1526">
      <c r="A1526" s="16" t="n">
        <v>1522</v>
      </c>
      <c r="B1526" s="16" t="inlineStr">
        <is>
          <t>Backend</t>
        </is>
      </c>
      <c r="C1526" s="17" t="inlineStr">
        <is>
          <t>catalog-service</t>
        </is>
      </c>
      <c r="D1526" s="16" t="inlineStr">
        <is>
          <t>API slice</t>
        </is>
      </c>
      <c r="E1526" s="17" t="inlineStr">
        <is>
          <t>OrganizationControllersTest › SoDo</t>
        </is>
      </c>
      <c r="F1526" s="17" t="inlineStr">
        <is>
          <t>Sơ đồ ghế và dựng từ khung</t>
        </is>
      </c>
      <c r="G1526" s="17" t="inlineStr">
        <is>
          <t>sơ đồ rỗng, khu thiếu trường, hình lạ, bán kính âm, sân khấu hỏng: 400 ở cả lưu lẫn xem trước</t>
        </is>
      </c>
      <c r="H1526" s="17" t="inlineStr">
        <is>
          <t>so_do_hong(String)[6]</t>
        </is>
      </c>
      <c r="I1526" s="16" t="inlineStr">
        <is>
          <t>Đạt</t>
        </is>
      </c>
      <c r="J1526" s="16" t="n">
        <v>0.01</v>
      </c>
    </row>
    <row r="1527">
      <c r="A1527" s="16" t="n">
        <v>1523</v>
      </c>
      <c r="B1527" s="16" t="inlineStr">
        <is>
          <t>Backend</t>
        </is>
      </c>
      <c r="C1527" s="17" t="inlineStr">
        <is>
          <t>catalog-service</t>
        </is>
      </c>
      <c r="D1527" s="16" t="inlineStr">
        <is>
          <t>API slice</t>
        </is>
      </c>
      <c r="E1527" s="17" t="inlineStr">
        <is>
          <t>OrganizationControllersTest › SoDo</t>
        </is>
      </c>
      <c r="F1527" s="17" t="inlineStr">
        <is>
          <t>Sơ đồ ghế và dựng từ khung</t>
        </is>
      </c>
      <c r="G1527" s="17" t="inlineStr">
        <is>
          <t>sơ đồ rỗng, khu thiếu trường, hình lạ, bán kính âm, sân khấu hỏng: 400 ở cả lưu lẫn xem trước</t>
        </is>
      </c>
      <c r="H1527" s="17" t="inlineStr">
        <is>
          <t>so_do_hong(String)[7]</t>
        </is>
      </c>
      <c r="I1527" s="16" t="inlineStr">
        <is>
          <t>Đạt</t>
        </is>
      </c>
      <c r="J1527" s="16" t="n">
        <v>0.015</v>
      </c>
    </row>
    <row r="1528">
      <c r="A1528" s="16" t="n">
        <v>1524</v>
      </c>
      <c r="B1528" s="16" t="inlineStr">
        <is>
          <t>Backend</t>
        </is>
      </c>
      <c r="C1528" s="17" t="inlineStr">
        <is>
          <t>catalog-service</t>
        </is>
      </c>
      <c r="D1528" s="16" t="inlineStr">
        <is>
          <t>API slice</t>
        </is>
      </c>
      <c r="E1528" s="17" t="inlineStr">
        <is>
          <t>OrganizationControllersTest › SoDo</t>
        </is>
      </c>
      <c r="F1528" s="17" t="inlineStr">
        <is>
          <t>Sơ đồ ghế và dựng từ khung</t>
        </is>
      </c>
      <c r="G1528" s="17" t="inlineStr">
        <is>
          <t>sơ đồ rỗng, khu thiếu trường, hình lạ, bán kính âm, sân khấu hỏng: 400 ở cả lưu lẫn xem trước</t>
        </is>
      </c>
      <c r="H1528" s="17" t="inlineStr">
        <is>
          <t>so_do_hong(String)[8]</t>
        </is>
      </c>
      <c r="I1528" s="16" t="inlineStr">
        <is>
          <t>Đạt</t>
        </is>
      </c>
      <c r="J1528" s="16" t="n">
        <v>0.007</v>
      </c>
    </row>
    <row r="1529">
      <c r="A1529" s="16" t="n">
        <v>1525</v>
      </c>
      <c r="B1529" s="16" t="inlineStr">
        <is>
          <t>Backend</t>
        </is>
      </c>
      <c r="C1529" s="17" t="inlineStr">
        <is>
          <t>catalog-service</t>
        </is>
      </c>
      <c r="D1529" s="16" t="inlineStr">
        <is>
          <t>API slice</t>
        </is>
      </c>
      <c r="E1529" s="17" t="inlineStr">
        <is>
          <t>OrganizationControllersTest › SoDo</t>
        </is>
      </c>
      <c r="F1529" s="17" t="inlineStr">
        <is>
          <t>Sơ đồ ghế và dựng từ khung</t>
        </is>
      </c>
      <c r="G1529" s="17" t="inlineStr">
        <is>
          <t>sơ đồ rỗng, khu thiếu trường, hình lạ, bán kính âm, sân khấu hỏng: 400 ở cả lưu lẫn xem trước</t>
        </is>
      </c>
      <c r="H1529" s="17" t="inlineStr">
        <is>
          <t>so_do_hong(String)[9]</t>
        </is>
      </c>
      <c r="I1529" s="16" t="inlineStr">
        <is>
          <t>Đạt</t>
        </is>
      </c>
      <c r="J1529" s="16" t="n">
        <v>0.01</v>
      </c>
    </row>
    <row r="1530">
      <c r="A1530" s="16" t="n">
        <v>1526</v>
      </c>
      <c r="B1530" s="16" t="inlineStr">
        <is>
          <t>Backend</t>
        </is>
      </c>
      <c r="C1530" s="17" t="inlineStr">
        <is>
          <t>catalog-service</t>
        </is>
      </c>
      <c r="D1530" s="16" t="inlineStr">
        <is>
          <t>API slice</t>
        </is>
      </c>
      <c r="E1530" s="17" t="inlineStr">
        <is>
          <t>OrganizationControllersTest › SoDo</t>
        </is>
      </c>
      <c r="F1530" s="17" t="inlineStr">
        <is>
          <t>Sơ đồ ghế và dựng từ khung</t>
        </is>
      </c>
      <c r="G1530" s="17" t="inlineStr">
        <is>
          <t>dựng từ khung thiếu trường bắt buộc, giá khu âm/sai kiểu, trần ≤ 0: 400</t>
        </is>
      </c>
      <c r="H1530" s="17" t="inlineStr">
        <is>
          <t>tu_khung_hong(String)[1]</t>
        </is>
      </c>
      <c r="I1530" s="16" t="inlineStr">
        <is>
          <t>Đạt</t>
        </is>
      </c>
      <c r="J1530" s="16" t="n">
        <v>0.006</v>
      </c>
    </row>
    <row r="1531">
      <c r="A1531" s="16" t="n">
        <v>1527</v>
      </c>
      <c r="B1531" s="16" t="inlineStr">
        <is>
          <t>Backend</t>
        </is>
      </c>
      <c r="C1531" s="17" t="inlineStr">
        <is>
          <t>catalog-service</t>
        </is>
      </c>
      <c r="D1531" s="16" t="inlineStr">
        <is>
          <t>API slice</t>
        </is>
      </c>
      <c r="E1531" s="17" t="inlineStr">
        <is>
          <t>OrganizationControllersTest › SoDo</t>
        </is>
      </c>
      <c r="F1531" s="17" t="inlineStr">
        <is>
          <t>Sơ đồ ghế và dựng từ khung</t>
        </is>
      </c>
      <c r="G1531" s="17" t="inlineStr">
        <is>
          <t>dựng từ khung thiếu trường bắt buộc, giá khu âm/sai kiểu, trần ≤ 0: 400</t>
        </is>
      </c>
      <c r="H1531" s="17" t="inlineStr">
        <is>
          <t>tu_khung_hong(String)[2]</t>
        </is>
      </c>
      <c r="I1531" s="16" t="inlineStr">
        <is>
          <t>Đạt</t>
        </is>
      </c>
      <c r="J1531" s="16" t="n">
        <v>0.004</v>
      </c>
    </row>
    <row r="1532">
      <c r="A1532" s="16" t="n">
        <v>1528</v>
      </c>
      <c r="B1532" s="16" t="inlineStr">
        <is>
          <t>Backend</t>
        </is>
      </c>
      <c r="C1532" s="17" t="inlineStr">
        <is>
          <t>catalog-service</t>
        </is>
      </c>
      <c r="D1532" s="16" t="inlineStr">
        <is>
          <t>API slice</t>
        </is>
      </c>
      <c r="E1532" s="17" t="inlineStr">
        <is>
          <t>OrganizationControllersTest › SoDo</t>
        </is>
      </c>
      <c r="F1532" s="17" t="inlineStr">
        <is>
          <t>Sơ đồ ghế và dựng từ khung</t>
        </is>
      </c>
      <c r="G1532" s="17" t="inlineStr">
        <is>
          <t>dựng từ khung thiếu trường bắt buộc, giá khu âm/sai kiểu, trần ≤ 0: 400</t>
        </is>
      </c>
      <c r="H1532" s="17" t="inlineStr">
        <is>
          <t>tu_khung_hong(String)[3]</t>
        </is>
      </c>
      <c r="I1532" s="16" t="inlineStr">
        <is>
          <t>Đạt</t>
        </is>
      </c>
      <c r="J1532" s="16" t="n">
        <v>0.008</v>
      </c>
    </row>
    <row r="1533">
      <c r="A1533" s="16" t="n">
        <v>1529</v>
      </c>
      <c r="B1533" s="16" t="inlineStr">
        <is>
          <t>Backend</t>
        </is>
      </c>
      <c r="C1533" s="17" t="inlineStr">
        <is>
          <t>catalog-service</t>
        </is>
      </c>
      <c r="D1533" s="16" t="inlineStr">
        <is>
          <t>API slice</t>
        </is>
      </c>
      <c r="E1533" s="17" t="inlineStr">
        <is>
          <t>OrganizationControllersTest › SoDo</t>
        </is>
      </c>
      <c r="F1533" s="17" t="inlineStr">
        <is>
          <t>Sơ đồ ghế và dựng từ khung</t>
        </is>
      </c>
      <c r="G1533" s="17" t="inlineStr">
        <is>
          <t>dựng từ khung thiếu trường bắt buộc, giá khu âm/sai kiểu, trần ≤ 0: 400</t>
        </is>
      </c>
      <c r="H1533" s="17" t="inlineStr">
        <is>
          <t>tu_khung_hong(String)[4]</t>
        </is>
      </c>
      <c r="I1533" s="16" t="inlineStr">
        <is>
          <t>Đạt</t>
        </is>
      </c>
      <c r="J1533" s="16" t="n">
        <v>0.007</v>
      </c>
    </row>
    <row r="1534">
      <c r="A1534" s="16" t="n">
        <v>1530</v>
      </c>
      <c r="B1534" s="16" t="inlineStr">
        <is>
          <t>Backend</t>
        </is>
      </c>
      <c r="C1534" s="17" t="inlineStr">
        <is>
          <t>catalog-service</t>
        </is>
      </c>
      <c r="D1534" s="16" t="inlineStr">
        <is>
          <t>API slice</t>
        </is>
      </c>
      <c r="E1534" s="17" t="inlineStr">
        <is>
          <t>OrganizationControllersTest › SoDo</t>
        </is>
      </c>
      <c r="F1534" s="17" t="inlineStr">
        <is>
          <t>Sơ đồ ghế và dựng từ khung</t>
        </is>
      </c>
      <c r="G1534" s="17" t="inlineStr">
        <is>
          <t>dựng từ khung thiếu trường bắt buộc, giá khu âm/sai kiểu, trần ≤ 0: 400</t>
        </is>
      </c>
      <c r="H1534" s="17" t="inlineStr">
        <is>
          <t>tu_khung_hong(String)[5]</t>
        </is>
      </c>
      <c r="I1534" s="16" t="inlineStr">
        <is>
          <t>Đạt</t>
        </is>
      </c>
      <c r="J1534" s="16" t="n">
        <v>0.007</v>
      </c>
    </row>
    <row r="1535">
      <c r="A1535" s="16" t="n">
        <v>1531</v>
      </c>
      <c r="B1535" s="16" t="inlineStr">
        <is>
          <t>Backend</t>
        </is>
      </c>
      <c r="C1535" s="17" t="inlineStr">
        <is>
          <t>catalog-service</t>
        </is>
      </c>
      <c r="D1535" s="16" t="inlineStr">
        <is>
          <t>API slice</t>
        </is>
      </c>
      <c r="E1535" s="17" t="inlineStr">
        <is>
          <t>OrganizationControllersTest › SoDo</t>
        </is>
      </c>
      <c r="F1535" s="17" t="inlineStr">
        <is>
          <t>Sơ đồ ghế và dựng từ khung</t>
        </is>
      </c>
      <c r="G1535" s="17" t="inlineStr">
        <is>
          <t>dựng từ khung thiếu trường bắt buộc, giá khu âm/sai kiểu, trần ≤ 0: 400</t>
        </is>
      </c>
      <c r="H1535" s="17" t="inlineStr">
        <is>
          <t>tu_khung_hong(String)[6]</t>
        </is>
      </c>
      <c r="I1535" s="16" t="inlineStr">
        <is>
          <t>Đạt</t>
        </is>
      </c>
      <c r="J1535" s="16" t="n">
        <v>0.005</v>
      </c>
    </row>
    <row r="1536">
      <c r="A1536" s="16" t="n">
        <v>1532</v>
      </c>
      <c r="B1536" s="16" t="inlineStr">
        <is>
          <t>Backend</t>
        </is>
      </c>
      <c r="C1536" s="17" t="inlineStr">
        <is>
          <t>catalog-service</t>
        </is>
      </c>
      <c r="D1536" s="16" t="inlineStr">
        <is>
          <t>API slice</t>
        </is>
      </c>
      <c r="E1536" s="17" t="inlineStr">
        <is>
          <t>OrganizationControllersTest › SoDo</t>
        </is>
      </c>
      <c r="F1536" s="17" t="inlineStr">
        <is>
          <t>Sơ đồ ghế và dựng từ khung</t>
        </is>
      </c>
      <c r="G1536" s="17" t="inlineStr">
        <is>
          <t>hình học không dựng được: 422 ZONE_LAYOUT_INVALID</t>
        </is>
      </c>
      <c r="H1536" s="17" t="inlineStr">
        <is>
          <t>hinh_hoc_hong</t>
        </is>
      </c>
      <c r="I1536" s="16" t="inlineStr">
        <is>
          <t>Đạt</t>
        </is>
      </c>
      <c r="J1536" s="16" t="n">
        <v>0.007</v>
      </c>
    </row>
    <row r="1537">
      <c r="A1537" s="16" t="n">
        <v>1533</v>
      </c>
      <c r="B1537" s="16" t="inlineStr">
        <is>
          <t>Backend</t>
        </is>
      </c>
      <c r="C1537" s="17" t="inlineStr">
        <is>
          <t>catalog-service</t>
        </is>
      </c>
      <c r="D1537" s="16" t="inlineStr">
        <is>
          <t>API slice</t>
        </is>
      </c>
      <c r="E1537" s="17" t="inlineStr">
        <is>
          <t>OrganizationControllersTest › TaiAnh</t>
        </is>
      </c>
      <c r="F1537" s="17" t="inlineStr">
        <is>
          <t>Tải ảnh lên</t>
        </is>
      </c>
      <c r="G1537" s="17" t="inlineStr">
        <is>
          <t>không token: 401; tổ chức khác: 404</t>
        </is>
      </c>
      <c r="H1537" s="17" t="inlineStr">
        <is>
          <t>khong_duoc_phep</t>
        </is>
      </c>
      <c r="I1537" s="16" t="inlineStr">
        <is>
          <t>Đạt</t>
        </is>
      </c>
      <c r="J1537" s="16" t="n">
        <v>0.006</v>
      </c>
    </row>
    <row r="1538">
      <c r="A1538" s="16" t="n">
        <v>1534</v>
      </c>
      <c r="B1538" s="16" t="inlineStr">
        <is>
          <t>Backend</t>
        </is>
      </c>
      <c r="C1538" s="17" t="inlineStr">
        <is>
          <t>catalog-service</t>
        </is>
      </c>
      <c r="D1538" s="16" t="inlineStr">
        <is>
          <t>API slice</t>
        </is>
      </c>
      <c r="E1538" s="17" t="inlineStr">
        <is>
          <t>OrganizationControllersTest › TaiAnh</t>
        </is>
      </c>
      <c r="F1538" s="17" t="inlineStr">
        <is>
          <t>Tải ảnh lên</t>
        </is>
      </c>
      <c r="G1538" s="17" t="inlineStr">
        <is>
          <t>xin URL ký sẵn: 200 kèm URL, URL công khai, trần kích thước</t>
        </is>
      </c>
      <c r="H1538" s="17" t="inlineStr">
        <is>
          <t>thanh_cong</t>
        </is>
      </c>
      <c r="I1538" s="16" t="inlineStr">
        <is>
          <t>Đạt</t>
        </is>
      </c>
      <c r="J1538" s="16" t="n">
        <v>0.011</v>
      </c>
    </row>
    <row r="1539">
      <c r="A1539" s="16" t="n">
        <v>1535</v>
      </c>
      <c r="B1539" s="16" t="inlineStr">
        <is>
          <t>Backend</t>
        </is>
      </c>
      <c r="C1539" s="17" t="inlineStr">
        <is>
          <t>catalog-service</t>
        </is>
      </c>
      <c r="D1539" s="16" t="inlineStr">
        <is>
          <t>API slice</t>
        </is>
      </c>
      <c r="E1539" s="17" t="inlineStr">
        <is>
          <t>OrganizationControllersTest › TaiAnh</t>
        </is>
      </c>
      <c r="F1539" s="17" t="inlineStr">
        <is>
          <t>Tải ảnh lên</t>
        </is>
      </c>
      <c r="G1539" s="17" t="inlineStr">
        <is>
          <t>contentType dài 101 ký tự: 400</t>
        </is>
      </c>
      <c r="H1539" s="17" t="inlineStr">
        <is>
          <t>kieu_qua_dai</t>
        </is>
      </c>
      <c r="I1539" s="16" t="inlineStr">
        <is>
          <t>Đạt</t>
        </is>
      </c>
      <c r="J1539" s="16" t="n">
        <v>0.006</v>
      </c>
    </row>
    <row r="1540">
      <c r="A1540" s="16" t="n">
        <v>1536</v>
      </c>
      <c r="B1540" s="16" t="inlineStr">
        <is>
          <t>Backend</t>
        </is>
      </c>
      <c r="C1540" s="17" t="inlineStr">
        <is>
          <t>catalog-service</t>
        </is>
      </c>
      <c r="D1540" s="16" t="inlineStr">
        <is>
          <t>API slice</t>
        </is>
      </c>
      <c r="E1540" s="17" t="inlineStr">
        <is>
          <t>OrganizationControllersTest › TaiAnh</t>
        </is>
      </c>
      <c r="F1540" s="17" t="inlineStr">
        <is>
          <t>Tải ảnh lên</t>
        </is>
      </c>
      <c r="G1540" s="17" t="inlineStr">
        <is>
          <t>kiểu không cho phép (SVG/HTML): 422 từ use case, và request multipart không được nhận</t>
        </is>
      </c>
      <c r="H1540" s="17" t="inlineStr">
        <is>
          <t>kieu_khong_cho_phep</t>
        </is>
      </c>
      <c r="I1540" s="16" t="inlineStr">
        <is>
          <t>Đạt</t>
        </is>
      </c>
      <c r="J1540" s="16" t="n">
        <v>0.008</v>
      </c>
    </row>
    <row r="1541">
      <c r="A1541" s="16" t="n">
        <v>1537</v>
      </c>
      <c r="B1541" s="16" t="inlineStr">
        <is>
          <t>Backend</t>
        </is>
      </c>
      <c r="C1541" s="17" t="inlineStr">
        <is>
          <t>catalog-service</t>
        </is>
      </c>
      <c r="D1541" s="16" t="inlineStr">
        <is>
          <t>API slice</t>
        </is>
      </c>
      <c r="E1541" s="17" t="inlineStr">
        <is>
          <t>OrganizationControllersTest › TaiAnh</t>
        </is>
      </c>
      <c r="F1541" s="17" t="inlineStr">
        <is>
          <t>Tải ảnh lên</t>
        </is>
      </c>
      <c r="G1541" s="17" t="inlineStr">
        <is>
          <t>thiếu hoặc trống contentType: 400, không ký gì</t>
        </is>
      </c>
      <c r="H1541" s="17" t="inlineStr">
        <is>
          <t>thieu_kieu(String)[1]</t>
        </is>
      </c>
      <c r="I1541" s="16" t="inlineStr">
        <is>
          <t>Đạt</t>
        </is>
      </c>
      <c r="J1541" s="16" t="n">
        <v>0.004</v>
      </c>
    </row>
    <row r="1542">
      <c r="A1542" s="16" t="n">
        <v>1538</v>
      </c>
      <c r="B1542" s="16" t="inlineStr">
        <is>
          <t>Backend</t>
        </is>
      </c>
      <c r="C1542" s="17" t="inlineStr">
        <is>
          <t>catalog-service</t>
        </is>
      </c>
      <c r="D1542" s="16" t="inlineStr">
        <is>
          <t>API slice</t>
        </is>
      </c>
      <c r="E1542" s="17" t="inlineStr">
        <is>
          <t>OrganizationControllersTest › TaiAnh</t>
        </is>
      </c>
      <c r="F1542" s="17" t="inlineStr">
        <is>
          <t>Tải ảnh lên</t>
        </is>
      </c>
      <c r="G1542" s="17" t="inlineStr">
        <is>
          <t>thiếu hoặc trống contentType: 400, không ký gì</t>
        </is>
      </c>
      <c r="H1542" s="17" t="inlineStr">
        <is>
          <t>thieu_kieu(String)[2]</t>
        </is>
      </c>
      <c r="I1542" s="16" t="inlineStr">
        <is>
          <t>Đạt</t>
        </is>
      </c>
      <c r="J1542" s="16" t="n">
        <v>0.005</v>
      </c>
    </row>
    <row r="1543">
      <c r="A1543" s="16" t="n">
        <v>1539</v>
      </c>
      <c r="B1543" s="16" t="inlineStr">
        <is>
          <t>Backend</t>
        </is>
      </c>
      <c r="C1543" s="17" t="inlineStr">
        <is>
          <t>catalog-service</t>
        </is>
      </c>
      <c r="D1543" s="16" t="inlineStr">
        <is>
          <t>API slice</t>
        </is>
      </c>
      <c r="E1543" s="17" t="inlineStr">
        <is>
          <t>OrganizationControllersTest › TaiAnh</t>
        </is>
      </c>
      <c r="F1543" s="17" t="inlineStr">
        <is>
          <t>Tải ảnh lên</t>
        </is>
      </c>
      <c r="G1543" s="17" t="inlineStr">
        <is>
          <t>thiếu hoặc trống contentType: 400, không ký gì</t>
        </is>
      </c>
      <c r="H1543" s="17" t="inlineStr">
        <is>
          <t>thieu_kieu(String)[3]</t>
        </is>
      </c>
      <c r="I1543" s="16" t="inlineStr">
        <is>
          <t>Đạt</t>
        </is>
      </c>
      <c r="J1543" s="16" t="n">
        <v>0.006</v>
      </c>
    </row>
    <row r="1544">
      <c r="A1544" s="16" t="n">
        <v>1540</v>
      </c>
      <c r="B1544" s="16" t="inlineStr">
        <is>
          <t>Backend</t>
        </is>
      </c>
      <c r="C1544" s="17" t="inlineStr">
        <is>
          <t>catalog-service</t>
        </is>
      </c>
      <c r="D1544" s="16" t="inlineStr">
        <is>
          <t>API slice</t>
        </is>
      </c>
      <c r="E1544" s="17" t="inlineStr">
        <is>
          <t>OrganizationControllersTest › TaiAnh</t>
        </is>
      </c>
      <c r="F1544" s="17" t="inlineStr">
        <is>
          <t>Tải ảnh lên</t>
        </is>
      </c>
      <c r="G1544" s="17" t="inlineStr">
        <is>
          <t>thiếu hoặc trống contentType: 400, không ký gì</t>
        </is>
      </c>
      <c r="H1544" s="17" t="inlineStr">
        <is>
          <t>thieu_kieu(String)[4]</t>
        </is>
      </c>
      <c r="I1544" s="16" t="inlineStr">
        <is>
          <t>Đạt</t>
        </is>
      </c>
      <c r="J1544" s="16" t="n">
        <v>0.006</v>
      </c>
    </row>
    <row r="1545">
      <c r="A1545" s="16" t="n">
        <v>1541</v>
      </c>
      <c r="B1545" s="16" t="inlineStr">
        <is>
          <t>Backend</t>
        </is>
      </c>
      <c r="C1545" s="17" t="inlineStr">
        <is>
          <t>catalog-service</t>
        </is>
      </c>
      <c r="D1545" s="16" t="inlineStr">
        <is>
          <t>API slice</t>
        </is>
      </c>
      <c r="E1545" s="17" t="inlineStr">
        <is>
          <t>PublicCatalogControllerTest › BanChay</t>
        </is>
      </c>
      <c r="F1545" s="17" t="inlineStr">
        <is>
          <t>Bán chạy</t>
        </is>
      </c>
      <c r="G1545" s="17" t="inlineStr">
        <is>
          <t>mặc định 8 mục, cache 5 phút; /trending không bị nhầm với slug</t>
        </is>
      </c>
      <c r="H1545" s="17" t="inlineStr">
        <is>
          <t>mac_dinh</t>
        </is>
      </c>
      <c r="I1545" s="16" t="inlineStr">
        <is>
          <t>Đạt</t>
        </is>
      </c>
      <c r="J1545" s="16" t="n">
        <v>0.011</v>
      </c>
    </row>
    <row r="1546">
      <c r="A1546" s="16" t="n">
        <v>1542</v>
      </c>
      <c r="B1546" s="16" t="inlineStr">
        <is>
          <t>Backend</t>
        </is>
      </c>
      <c r="C1546" s="17" t="inlineStr">
        <is>
          <t>catalog-service</t>
        </is>
      </c>
      <c r="D1546" s="16" t="inlineStr">
        <is>
          <t>API slice</t>
        </is>
      </c>
      <c r="E1546" s="17" t="inlineStr">
        <is>
          <t>PublicCatalogControllerTest › BanChay</t>
        </is>
      </c>
      <c r="F1546" s="17" t="inlineStr">
        <is>
          <t>Bán chạy</t>
        </is>
      </c>
      <c r="G1546" s="17" t="inlineStr">
        <is>
          <t>size bị kẹp vào 1..60</t>
        </is>
      </c>
      <c r="H1546" s="17" t="inlineStr">
        <is>
          <t>kep_size(int, int)[1]</t>
        </is>
      </c>
      <c r="I1546" s="16" t="inlineStr">
        <is>
          <t>Đạt</t>
        </is>
      </c>
      <c r="J1546" s="16" t="n">
        <v>0.023</v>
      </c>
    </row>
    <row r="1547">
      <c r="A1547" s="16" t="n">
        <v>1543</v>
      </c>
      <c r="B1547" s="16" t="inlineStr">
        <is>
          <t>Backend</t>
        </is>
      </c>
      <c r="C1547" s="17" t="inlineStr">
        <is>
          <t>catalog-service</t>
        </is>
      </c>
      <c r="D1547" s="16" t="inlineStr">
        <is>
          <t>API slice</t>
        </is>
      </c>
      <c r="E1547" s="17" t="inlineStr">
        <is>
          <t>PublicCatalogControllerTest › BanChay</t>
        </is>
      </c>
      <c r="F1547" s="17" t="inlineStr">
        <is>
          <t>Bán chạy</t>
        </is>
      </c>
      <c r="G1547" s="17" t="inlineStr">
        <is>
          <t>size bị kẹp vào 1..60</t>
        </is>
      </c>
      <c r="H1547" s="17" t="inlineStr">
        <is>
          <t>kep_size(int, int)[2]</t>
        </is>
      </c>
      <c r="I1547" s="16" t="inlineStr">
        <is>
          <t>Đạt</t>
        </is>
      </c>
      <c r="J1547" s="16" t="n">
        <v>0.006</v>
      </c>
    </row>
    <row r="1548">
      <c r="A1548" s="16" t="n">
        <v>1544</v>
      </c>
      <c r="B1548" s="16" t="inlineStr">
        <is>
          <t>Backend</t>
        </is>
      </c>
      <c r="C1548" s="17" t="inlineStr">
        <is>
          <t>catalog-service</t>
        </is>
      </c>
      <c r="D1548" s="16" t="inlineStr">
        <is>
          <t>API slice</t>
        </is>
      </c>
      <c r="E1548" s="17" t="inlineStr">
        <is>
          <t>PublicCatalogControllerTest › BanChay</t>
        </is>
      </c>
      <c r="F1548" s="17" t="inlineStr">
        <is>
          <t>Bán chạy</t>
        </is>
      </c>
      <c r="G1548" s="17" t="inlineStr">
        <is>
          <t>size bị kẹp vào 1..60</t>
        </is>
      </c>
      <c r="H1548" s="17" t="inlineStr">
        <is>
          <t>kep_size(int, int)[3]</t>
        </is>
      </c>
      <c r="I1548" s="16" t="inlineStr">
        <is>
          <t>Đạt</t>
        </is>
      </c>
      <c r="J1548" s="16" t="n">
        <v>0.007</v>
      </c>
    </row>
    <row r="1549">
      <c r="A1549" s="16" t="n">
        <v>1545</v>
      </c>
      <c r="B1549" s="16" t="inlineStr">
        <is>
          <t>Backend</t>
        </is>
      </c>
      <c r="C1549" s="17" t="inlineStr">
        <is>
          <t>catalog-service</t>
        </is>
      </c>
      <c r="D1549" s="16" t="inlineStr">
        <is>
          <t>API slice</t>
        </is>
      </c>
      <c r="E1549" s="17" t="inlineStr">
        <is>
          <t>PublicCatalogControllerTest › BanChay</t>
        </is>
      </c>
      <c r="F1549" s="17" t="inlineStr">
        <is>
          <t>Bán chạy</t>
        </is>
      </c>
      <c r="G1549" s="17" t="inlineStr">
        <is>
          <t>size bị kẹp vào 1..60</t>
        </is>
      </c>
      <c r="H1549" s="17" t="inlineStr">
        <is>
          <t>kep_size(int, int)[4]</t>
        </is>
      </c>
      <c r="I1549" s="16" t="inlineStr">
        <is>
          <t>Đạt</t>
        </is>
      </c>
      <c r="J1549" s="16" t="n">
        <v>0.015</v>
      </c>
    </row>
    <row r="1550">
      <c r="A1550" s="16" t="n">
        <v>1546</v>
      </c>
      <c r="B1550" s="16" t="inlineStr">
        <is>
          <t>Backend</t>
        </is>
      </c>
      <c r="C1550" s="17" t="inlineStr">
        <is>
          <t>catalog-service</t>
        </is>
      </c>
      <c r="D1550" s="16" t="inlineStr">
        <is>
          <t>API slice</t>
        </is>
      </c>
      <c r="E1550" s="17" t="inlineStr">
        <is>
          <t>PublicCatalogControllerTest › BanChay</t>
        </is>
      </c>
      <c r="F1550" s="17" t="inlineStr">
        <is>
          <t>Bán chạy</t>
        </is>
      </c>
      <c r="G1550" s="17" t="inlineStr">
        <is>
          <t>size không phải số: 400</t>
        </is>
      </c>
      <c r="H1550" s="17" t="inlineStr">
        <is>
          <t>size_hong</t>
        </is>
      </c>
      <c r="I1550" s="16" t="inlineStr">
        <is>
          <t>Đạt</t>
        </is>
      </c>
      <c r="J1550" s="16" t="n">
        <v>0.007</v>
      </c>
    </row>
    <row r="1551">
      <c r="A1551" s="16" t="n">
        <v>1547</v>
      </c>
      <c r="B1551" s="16" t="inlineStr">
        <is>
          <t>Backend</t>
        </is>
      </c>
      <c r="C1551" s="17" t="inlineStr">
        <is>
          <t>catalog-service</t>
        </is>
      </c>
      <c r="D1551" s="16" t="inlineStr">
        <is>
          <t>API slice</t>
        </is>
      </c>
      <c r="E1551" s="17" t="inlineStr">
        <is>
          <t>PublicCatalogControllerTest › ChiTiet</t>
        </is>
      </c>
      <c r="F1551" s="17" t="inlineStr">
        <is>
          <t>Chi tiết và mặt bằng</t>
        </is>
      </c>
      <c r="G1551" s="17" t="inlineStr">
        <is>
          <t>slug mang ký tự nguy hiểm: bị từ chối 4xx (firewall hoặc 404), không 5xx, không phản chiếu đầu vào</t>
        </is>
      </c>
      <c r="H1551" s="17" t="inlineStr">
        <is>
          <t>slug_nguy_hiem(String)[1]</t>
        </is>
      </c>
      <c r="I1551" s="16" t="inlineStr">
        <is>
          <t>Đạt</t>
        </is>
      </c>
      <c r="J1551" s="16" t="n">
        <v>0.01</v>
      </c>
    </row>
    <row r="1552">
      <c r="A1552" s="16" t="n">
        <v>1548</v>
      </c>
      <c r="B1552" s="16" t="inlineStr">
        <is>
          <t>Backend</t>
        </is>
      </c>
      <c r="C1552" s="17" t="inlineStr">
        <is>
          <t>catalog-service</t>
        </is>
      </c>
      <c r="D1552" s="16" t="inlineStr">
        <is>
          <t>API slice</t>
        </is>
      </c>
      <c r="E1552" s="17" t="inlineStr">
        <is>
          <t>PublicCatalogControllerTest › ChiTiet</t>
        </is>
      </c>
      <c r="F1552" s="17" t="inlineStr">
        <is>
          <t>Chi tiết và mặt bằng</t>
        </is>
      </c>
      <c r="G1552" s="17" t="inlineStr">
        <is>
          <t>slug mang ký tự nguy hiểm: bị từ chối 4xx (firewall hoặc 404), không 5xx, không phản chiếu đầu vào</t>
        </is>
      </c>
      <c r="H1552" s="17" t="inlineStr">
        <is>
          <t>slug_nguy_hiem(String)[2]</t>
        </is>
      </c>
      <c r="I1552" s="16" t="inlineStr">
        <is>
          <t>Đạt</t>
        </is>
      </c>
      <c r="J1552" s="16" t="n">
        <v>0.031</v>
      </c>
    </row>
    <row r="1553">
      <c r="A1553" s="16" t="n">
        <v>1549</v>
      </c>
      <c r="B1553" s="16" t="inlineStr">
        <is>
          <t>Backend</t>
        </is>
      </c>
      <c r="C1553" s="17" t="inlineStr">
        <is>
          <t>catalog-service</t>
        </is>
      </c>
      <c r="D1553" s="16" t="inlineStr">
        <is>
          <t>API slice</t>
        </is>
      </c>
      <c r="E1553" s="17" t="inlineStr">
        <is>
          <t>PublicCatalogControllerTest › ChiTiet</t>
        </is>
      </c>
      <c r="F1553" s="17" t="inlineStr">
        <is>
          <t>Chi tiết và mặt bằng</t>
        </is>
      </c>
      <c r="G1553" s="17" t="inlineStr">
        <is>
          <t>slug mang ký tự nguy hiểm: bị từ chối 4xx (firewall hoặc 404), không 5xx, không phản chiếu đầu vào</t>
        </is>
      </c>
      <c r="H1553" s="17" t="inlineStr">
        <is>
          <t>slug_nguy_hiem(String)[3]</t>
        </is>
      </c>
      <c r="I1553" s="16" t="inlineStr">
        <is>
          <t>Đạt</t>
        </is>
      </c>
      <c r="J1553" s="16" t="n">
        <v>0.003</v>
      </c>
    </row>
    <row r="1554">
      <c r="A1554" s="16" t="n">
        <v>1550</v>
      </c>
      <c r="B1554" s="16" t="inlineStr">
        <is>
          <t>Backend</t>
        </is>
      </c>
      <c r="C1554" s="17" t="inlineStr">
        <is>
          <t>catalog-service</t>
        </is>
      </c>
      <c r="D1554" s="16" t="inlineStr">
        <is>
          <t>API slice</t>
        </is>
      </c>
      <c r="E1554" s="17" t="inlineStr">
        <is>
          <t>PublicCatalogControllerTest › ChiTiet</t>
        </is>
      </c>
      <c r="F1554" s="17" t="inlineStr">
        <is>
          <t>Chi tiết và mặt bằng</t>
        </is>
      </c>
      <c r="G1554" s="17" t="inlineStr">
        <is>
          <t>slug mang ký tự nguy hiểm: bị từ chối 4xx (firewall hoặc 404), không 5xx, không phản chiếu đầu vào</t>
        </is>
      </c>
      <c r="H1554" s="17" t="inlineStr">
        <is>
          <t>slug_nguy_hiem(String)[4]</t>
        </is>
      </c>
      <c r="I1554" s="16" t="inlineStr">
        <is>
          <t>Đạt</t>
        </is>
      </c>
      <c r="J1554" s="16" t="n">
        <v>0.005</v>
      </c>
    </row>
    <row r="1555">
      <c r="A1555" s="16" t="n">
        <v>1551</v>
      </c>
      <c r="B1555" s="16" t="inlineStr">
        <is>
          <t>Backend</t>
        </is>
      </c>
      <c r="C1555" s="17" t="inlineStr">
        <is>
          <t>catalog-service</t>
        </is>
      </c>
      <c r="D1555" s="16" t="inlineStr">
        <is>
          <t>API slice</t>
        </is>
      </c>
      <c r="E1555" s="17" t="inlineStr">
        <is>
          <t>PublicCatalogControllerTest › ChiTiet</t>
        </is>
      </c>
      <c r="F1555" s="17" t="inlineStr">
        <is>
          <t>Chi tiết và mặt bằng</t>
        </is>
      </c>
      <c r="G1555" s="17" t="inlineStr">
        <is>
          <t>slug không có (hoặc sự kiện chưa publish): 404 EVENT_NOT_FOUND dạng RFC 7807</t>
        </is>
      </c>
      <c r="H1555" s="17" t="inlineStr">
        <is>
          <t>khong_co</t>
        </is>
      </c>
      <c r="I1555" s="16" t="inlineStr">
        <is>
          <t>Đạt</t>
        </is>
      </c>
      <c r="J1555" s="16" t="n">
        <v>0.007</v>
      </c>
    </row>
    <row r="1556">
      <c r="A1556" s="16" t="n">
        <v>1552</v>
      </c>
      <c r="B1556" s="16" t="inlineStr">
        <is>
          <t>Backend</t>
        </is>
      </c>
      <c r="C1556" s="17" t="inlineStr">
        <is>
          <t>catalog-service</t>
        </is>
      </c>
      <c r="D1556" s="16" t="inlineStr">
        <is>
          <t>API slice</t>
        </is>
      </c>
      <c r="E1556" s="17" t="inlineStr">
        <is>
          <t>PublicCatalogControllerTest › ChiTiet</t>
        </is>
      </c>
      <c r="F1556" s="17" t="inlineStr">
        <is>
          <t>Chi tiết và mặt bằng</t>
        </is>
      </c>
      <c r="G1556" s="17" t="inlineStr">
        <is>
          <t>mặt bằng của sự kiện không công khai: 404; có thì cache 10 phút</t>
        </is>
      </c>
      <c r="H1556" s="17" t="inlineStr">
        <is>
          <t>mat_bang</t>
        </is>
      </c>
      <c r="I1556" s="16" t="inlineStr">
        <is>
          <t>Đạt</t>
        </is>
      </c>
      <c r="J1556" s="16" t="n">
        <v>0.021</v>
      </c>
    </row>
    <row r="1557">
      <c r="A1557" s="16" t="n">
        <v>1553</v>
      </c>
      <c r="B1557" s="16" t="inlineStr">
        <is>
          <t>Backend</t>
        </is>
      </c>
      <c r="C1557" s="17" t="inlineStr">
        <is>
          <t>catalog-service</t>
        </is>
      </c>
      <c r="D1557" s="16" t="inlineStr">
        <is>
          <t>API slice</t>
        </is>
      </c>
      <c r="E1557" s="17" t="inlineStr">
        <is>
          <t>PublicCatalogControllerTest › ChiTiet</t>
        </is>
      </c>
      <c r="F1557" s="17" t="inlineStr">
        <is>
          <t>Chi tiết và mặt bằng</t>
        </is>
      </c>
      <c r="G1557" s="17" t="inlineStr">
        <is>
          <t>chỉ đọc: POST/DELETE lên danh sách công khai không được 2xx</t>
        </is>
      </c>
      <c r="H1557" s="17" t="inlineStr">
        <is>
          <t>chi_doc</t>
        </is>
      </c>
      <c r="I1557" s="16" t="inlineStr">
        <is>
          <t>Đạt</t>
        </is>
      </c>
      <c r="J1557" s="16" t="n">
        <v>0.006</v>
      </c>
    </row>
    <row r="1558">
      <c r="A1558" s="16" t="n">
        <v>1554</v>
      </c>
      <c r="B1558" s="16" t="inlineStr">
        <is>
          <t>Backend</t>
        </is>
      </c>
      <c r="C1558" s="17" t="inlineStr">
        <is>
          <t>catalog-service</t>
        </is>
      </c>
      <c r="D1558" s="16" t="inlineStr">
        <is>
          <t>API slice</t>
        </is>
      </c>
      <c r="E1558" s="17" t="inlineStr">
        <is>
          <t>PublicCatalogControllerTest › ChiTiet</t>
        </is>
      </c>
      <c r="F1558" s="17" t="inlineStr">
        <is>
          <t>Chi tiết và mặt bằng</t>
        </is>
      </c>
      <c r="G1558" s="17" t="inlineStr">
        <is>
          <t>sự kiện có tiêu đề chứa HTML: trả JSON nguyên văn, kiểu nội dung JSON, kèm nosniff</t>
        </is>
      </c>
      <c r="H1558" s="17" t="inlineStr">
        <is>
          <t>noi_dung_html_khong_thanh_trang_html</t>
        </is>
      </c>
      <c r="I1558" s="16" t="inlineStr">
        <is>
          <t>Đạt</t>
        </is>
      </c>
      <c r="J1558" s="16" t="n">
        <v>0.013</v>
      </c>
    </row>
    <row r="1559">
      <c r="A1559" s="16" t="n">
        <v>1555</v>
      </c>
      <c r="B1559" s="16" t="inlineStr">
        <is>
          <t>Backend</t>
        </is>
      </c>
      <c r="C1559" s="17" t="inlineStr">
        <is>
          <t>catalog-service</t>
        </is>
      </c>
      <c r="D1559" s="16" t="inlineStr">
        <is>
          <t>API slice</t>
        </is>
      </c>
      <c r="E1559" s="17" t="inlineStr">
        <is>
          <t>PublicCatalogControllerTest › DanhSach</t>
        </is>
      </c>
      <c r="F1559" s="17" t="inlineStr">
        <is>
          <t>Danh sách</t>
        </is>
      </c>
      <c r="G1559" s="17" t="inlineStr">
        <is>
          <t>bộ lọc được chuyển nguyên xuống truy vấn, mốc thời gian đọc theo ISO-8601</t>
        </is>
      </c>
      <c r="H1559" s="17" t="inlineStr">
        <is>
          <t>bo_loc</t>
        </is>
      </c>
      <c r="I1559" s="16" t="inlineStr">
        <is>
          <t>Đạt</t>
        </is>
      </c>
      <c r="J1559" s="16" t="n">
        <v>0.02</v>
      </c>
    </row>
    <row r="1560">
      <c r="A1560" s="16" t="n">
        <v>1556</v>
      </c>
      <c r="B1560" s="16" t="inlineStr">
        <is>
          <t>Backend</t>
        </is>
      </c>
      <c r="C1560" s="17" t="inlineStr">
        <is>
          <t>catalog-service</t>
        </is>
      </c>
      <c r="D1560" s="16" t="inlineStr">
        <is>
          <t>API slice</t>
        </is>
      </c>
      <c r="E1560" s="17" t="inlineStr">
        <is>
          <t>PublicCatalogControllerTest › DanhSach</t>
        </is>
      </c>
      <c r="F1560" s="17" t="inlineStr">
        <is>
          <t>Danh sách</t>
        </is>
      </c>
      <c r="G1560" s="17" t="inlineStr">
        <is>
          <t>tham số sai kiểu hoặc âm: 400, không phải 500, không chạm truy vấn</t>
        </is>
      </c>
      <c r="H1560" s="17" t="inlineStr">
        <is>
          <t>tham_so_hong(String, String)[1]</t>
        </is>
      </c>
      <c r="I1560" s="16" t="inlineStr">
        <is>
          <t>Đạt</t>
        </is>
      </c>
      <c r="J1560" s="16" t="n">
        <v>0.005</v>
      </c>
    </row>
    <row r="1561">
      <c r="A1561" s="16" t="n">
        <v>1557</v>
      </c>
      <c r="B1561" s="16" t="inlineStr">
        <is>
          <t>Backend</t>
        </is>
      </c>
      <c r="C1561" s="17" t="inlineStr">
        <is>
          <t>catalog-service</t>
        </is>
      </c>
      <c r="D1561" s="16" t="inlineStr">
        <is>
          <t>API slice</t>
        </is>
      </c>
      <c r="E1561" s="17" t="inlineStr">
        <is>
          <t>PublicCatalogControllerTest › DanhSach</t>
        </is>
      </c>
      <c r="F1561" s="17" t="inlineStr">
        <is>
          <t>Danh sách</t>
        </is>
      </c>
      <c r="G1561" s="17" t="inlineStr">
        <is>
          <t>tham số sai kiểu hoặc âm: 400, không phải 500, không chạm truy vấn</t>
        </is>
      </c>
      <c r="H1561" s="17" t="inlineStr">
        <is>
          <t>tham_so_hong(String, String)[2]</t>
        </is>
      </c>
      <c r="I1561" s="16" t="inlineStr">
        <is>
          <t>Đạt</t>
        </is>
      </c>
      <c r="J1561" s="16" t="n">
        <v>0.007</v>
      </c>
    </row>
    <row r="1562">
      <c r="A1562" s="16" t="n">
        <v>1558</v>
      </c>
      <c r="B1562" s="16" t="inlineStr">
        <is>
          <t>Backend</t>
        </is>
      </c>
      <c r="C1562" s="17" t="inlineStr">
        <is>
          <t>catalog-service</t>
        </is>
      </c>
      <c r="D1562" s="16" t="inlineStr">
        <is>
          <t>API slice</t>
        </is>
      </c>
      <c r="E1562" s="17" t="inlineStr">
        <is>
          <t>PublicCatalogControllerTest › DanhSach</t>
        </is>
      </c>
      <c r="F1562" s="17" t="inlineStr">
        <is>
          <t>Danh sách</t>
        </is>
      </c>
      <c r="G1562" s="17" t="inlineStr">
        <is>
          <t>tham số sai kiểu hoặc âm: 400, không phải 500, không chạm truy vấn</t>
        </is>
      </c>
      <c r="H1562" s="17" t="inlineStr">
        <is>
          <t>tham_so_hong(String, String)[3]</t>
        </is>
      </c>
      <c r="I1562" s="16" t="inlineStr">
        <is>
          <t>Đạt</t>
        </is>
      </c>
      <c r="J1562" s="16" t="n">
        <v>0.004</v>
      </c>
    </row>
    <row r="1563">
      <c r="A1563" s="16" t="n">
        <v>1559</v>
      </c>
      <c r="B1563" s="16" t="inlineStr">
        <is>
          <t>Backend</t>
        </is>
      </c>
      <c r="C1563" s="17" t="inlineStr">
        <is>
          <t>catalog-service</t>
        </is>
      </c>
      <c r="D1563" s="16" t="inlineStr">
        <is>
          <t>API slice</t>
        </is>
      </c>
      <c r="E1563" s="17" t="inlineStr">
        <is>
          <t>PublicCatalogControllerTest › DanhSach</t>
        </is>
      </c>
      <c r="F1563" s="17" t="inlineStr">
        <is>
          <t>Danh sách</t>
        </is>
      </c>
      <c r="G1563" s="17" t="inlineStr">
        <is>
          <t>tham số sai kiểu hoặc âm: 400, không phải 500, không chạm truy vấn</t>
        </is>
      </c>
      <c r="H1563" s="17" t="inlineStr">
        <is>
          <t>tham_so_hong(String, String)[4]</t>
        </is>
      </c>
      <c r="I1563" s="16" t="inlineStr">
        <is>
          <t>Đạt</t>
        </is>
      </c>
      <c r="J1563" s="16" t="n">
        <v>0.007</v>
      </c>
    </row>
    <row r="1564">
      <c r="A1564" s="16" t="n">
        <v>1560</v>
      </c>
      <c r="B1564" s="16" t="inlineStr">
        <is>
          <t>Backend</t>
        </is>
      </c>
      <c r="C1564" s="17" t="inlineStr">
        <is>
          <t>catalog-service</t>
        </is>
      </c>
      <c r="D1564" s="16" t="inlineStr">
        <is>
          <t>API slice</t>
        </is>
      </c>
      <c r="E1564" s="17" t="inlineStr">
        <is>
          <t>PublicCatalogControllerTest › DanhSach</t>
        </is>
      </c>
      <c r="F1564" s="17" t="inlineStr">
        <is>
          <t>Danh sách</t>
        </is>
      </c>
      <c r="G1564" s="17" t="inlineStr">
        <is>
          <t>tham số sai kiểu hoặc âm: 400, không phải 500, không chạm truy vấn</t>
        </is>
      </c>
      <c r="H1564" s="17" t="inlineStr">
        <is>
          <t>tham_so_hong(String, String)[5]</t>
        </is>
      </c>
      <c r="I1564" s="16" t="inlineStr">
        <is>
          <t>Đạt</t>
        </is>
      </c>
      <c r="J1564" s="16" t="n">
        <v>0.005</v>
      </c>
    </row>
    <row r="1565">
      <c r="A1565" s="16" t="n">
        <v>1561</v>
      </c>
      <c r="B1565" s="16" t="inlineStr">
        <is>
          <t>Backend</t>
        </is>
      </c>
      <c r="C1565" s="17" t="inlineStr">
        <is>
          <t>catalog-service</t>
        </is>
      </c>
      <c r="D1565" s="16" t="inlineStr">
        <is>
          <t>API slice</t>
        </is>
      </c>
      <c r="E1565" s="17" t="inlineStr">
        <is>
          <t>PublicCatalogControllerTest › DanhSach</t>
        </is>
      </c>
      <c r="F1565" s="17" t="inlineStr">
        <is>
          <t>Danh sách</t>
        </is>
      </c>
      <c r="G1565" s="17" t="inlineStr">
        <is>
          <t>tham số sai kiểu hoặc âm: 400, không phải 500, không chạm truy vấn</t>
        </is>
      </c>
      <c r="H1565" s="17" t="inlineStr">
        <is>
          <t>tham_so_hong(String, String)[6]</t>
        </is>
      </c>
      <c r="I1565" s="16" t="inlineStr">
        <is>
          <t>Đạt</t>
        </is>
      </c>
      <c r="J1565" s="16" t="n">
        <v>0.008</v>
      </c>
    </row>
    <row r="1566">
      <c r="A1566" s="16" t="n">
        <v>1562</v>
      </c>
      <c r="B1566" s="16" t="inlineStr">
        <is>
          <t>Backend</t>
        </is>
      </c>
      <c r="C1566" s="17" t="inlineStr">
        <is>
          <t>catalog-service</t>
        </is>
      </c>
      <c r="D1566" s="16" t="inlineStr">
        <is>
          <t>API slice</t>
        </is>
      </c>
      <c r="E1566" s="17" t="inlineStr">
        <is>
          <t>PublicCatalogControllerTest › DanhSach</t>
        </is>
      </c>
      <c r="F1566" s="17" t="inlineStr">
        <is>
          <t>Danh sách</t>
        </is>
      </c>
      <c r="G1566" s="17" t="inlineStr">
        <is>
          <t>tham số sai kiểu hoặc âm: 400, không phải 500, không chạm truy vấn</t>
        </is>
      </c>
      <c r="H1566" s="17" t="inlineStr">
        <is>
          <t>tham_so_hong(String, String)[7]</t>
        </is>
      </c>
      <c r="I1566" s="16" t="inlineStr">
        <is>
          <t>Đạt</t>
        </is>
      </c>
      <c r="J1566" s="16" t="n">
        <v>0.004</v>
      </c>
    </row>
    <row r="1567">
      <c r="A1567" s="16" t="n">
        <v>1563</v>
      </c>
      <c r="B1567" s="16" t="inlineStr">
        <is>
          <t>Backend</t>
        </is>
      </c>
      <c r="C1567" s="17" t="inlineStr">
        <is>
          <t>catalog-service</t>
        </is>
      </c>
      <c r="D1567" s="16" t="inlineStr">
        <is>
          <t>API slice</t>
        </is>
      </c>
      <c r="E1567" s="17" t="inlineStr">
        <is>
          <t>PublicCatalogControllerTest › DanhSach</t>
        </is>
      </c>
      <c r="F1567" s="17" t="inlineStr">
        <is>
          <t>Danh sách</t>
        </is>
      </c>
      <c r="G1567" s="17" t="inlineStr">
        <is>
          <t>tham số sai kiểu hoặc âm: 400, không phải 500, không chạm truy vấn</t>
        </is>
      </c>
      <c r="H1567" s="17" t="inlineStr">
        <is>
          <t>tham_so_hong(String, String)[8]</t>
        </is>
      </c>
      <c r="I1567" s="16" t="inlineStr">
        <is>
          <t>Đạt</t>
        </is>
      </c>
      <c r="J1567" s="16" t="n">
        <v>0.004</v>
      </c>
    </row>
    <row r="1568">
      <c r="A1568" s="16" t="n">
        <v>1564</v>
      </c>
      <c r="B1568" s="16" t="inlineStr">
        <is>
          <t>Backend</t>
        </is>
      </c>
      <c r="C1568" s="17" t="inlineStr">
        <is>
          <t>catalog-service</t>
        </is>
      </c>
      <c r="D1568" s="16" t="inlineStr">
        <is>
          <t>API slice</t>
        </is>
      </c>
      <c r="E1568" s="17" t="inlineStr">
        <is>
          <t>PublicCatalogControllerTest › DanhSach</t>
        </is>
      </c>
      <c r="F1568" s="17" t="inlineStr">
        <is>
          <t>Danh sách</t>
        </is>
      </c>
      <c r="G1568" s="17" t="inlineStr">
        <is>
          <t>tham số sai kiểu hoặc âm: 400, không phải 500, không chạm truy vấn</t>
        </is>
      </c>
      <c r="H1568" s="17" t="inlineStr">
        <is>
          <t>tham_so_hong(String, String)[9]</t>
        </is>
      </c>
      <c r="I1568" s="16" t="inlineStr">
        <is>
          <t>Đạt</t>
        </is>
      </c>
      <c r="J1568" s="16" t="n">
        <v>0.005</v>
      </c>
    </row>
    <row r="1569">
      <c r="A1569" s="16" t="n">
        <v>1565</v>
      </c>
      <c r="B1569" s="16" t="inlineStr">
        <is>
          <t>Backend</t>
        </is>
      </c>
      <c r="C1569" s="17" t="inlineStr">
        <is>
          <t>catalog-service</t>
        </is>
      </c>
      <c r="D1569" s="16" t="inlineStr">
        <is>
          <t>API slice</t>
        </is>
      </c>
      <c r="E1569" s="17" t="inlineStr">
        <is>
          <t>PublicCatalogControllerTest › DanhSach</t>
        </is>
      </c>
      <c r="F1569" s="17" t="inlineStr">
        <is>
          <t>Danh sách</t>
        </is>
      </c>
      <c r="G1569" s="17" t="inlineStr">
        <is>
          <t>page âm coi như trang 0; page=3,size=10 → offset 30</t>
        </is>
      </c>
      <c r="H1569" s="17" t="inlineStr">
        <is>
          <t>phan_trang</t>
        </is>
      </c>
      <c r="I1569" s="16" t="inlineStr">
        <is>
          <t>Đạt</t>
        </is>
      </c>
      <c r="J1569" s="16" t="n">
        <v>0.006</v>
      </c>
    </row>
    <row r="1570">
      <c r="A1570" s="16" t="n">
        <v>1566</v>
      </c>
      <c r="B1570" s="16" t="inlineStr">
        <is>
          <t>Backend</t>
        </is>
      </c>
      <c r="C1570" s="17" t="inlineStr">
        <is>
          <t>catalog-service</t>
        </is>
      </c>
      <c r="D1570" s="16" t="inlineStr">
        <is>
          <t>API slice</t>
        </is>
      </c>
      <c r="E1570" s="17" t="inlineStr">
        <is>
          <t>PublicCatalogControllerTest › DanhSach</t>
        </is>
      </c>
      <c r="F1570" s="17" t="inlineStr">
        <is>
          <t>Danh sách</t>
        </is>
      </c>
      <c r="G1570" s="17" t="inlineStr">
        <is>
          <t>không cần đăng nhập; mặc định trang 0, 20 mục; cache công khai 2 phút</t>
        </is>
      </c>
      <c r="H1570" s="17" t="inlineStr">
        <is>
          <t>mac_dinh</t>
        </is>
      </c>
      <c r="I1570" s="16" t="inlineStr">
        <is>
          <t>Đạt</t>
        </is>
      </c>
      <c r="J1570" s="16" t="n">
        <v>0.007</v>
      </c>
    </row>
    <row r="1571">
      <c r="A1571" s="16" t="n">
        <v>1567</v>
      </c>
      <c r="B1571" s="16" t="inlineStr">
        <is>
          <t>Backend</t>
        </is>
      </c>
      <c r="C1571" s="17" t="inlineStr">
        <is>
          <t>catalog-service</t>
        </is>
      </c>
      <c r="D1571" s="16" t="inlineStr">
        <is>
          <t>API slice</t>
        </is>
      </c>
      <c r="E1571" s="17" t="inlineStr">
        <is>
          <t>PublicCatalogControllerTest › DanhSach</t>
        </is>
      </c>
      <c r="F1571" s="17" t="inlineStr">
        <is>
          <t>Danh sách</t>
        </is>
      </c>
      <c r="G1571" s="17" t="inlineStr">
        <is>
          <t>minPrice &gt; maxPrice: không 5xx, trả trang rỗng hợp lệ</t>
        </is>
      </c>
      <c r="H1571" s="17" t="inlineStr">
        <is>
          <t>gia_nguoc</t>
        </is>
      </c>
      <c r="I1571" s="16" t="inlineStr">
        <is>
          <t>Đạt</t>
        </is>
      </c>
      <c r="J1571" s="16" t="n">
        <v>0.005</v>
      </c>
    </row>
    <row r="1572">
      <c r="A1572" s="16" t="n">
        <v>1568</v>
      </c>
      <c r="B1572" s="16" t="inlineStr">
        <is>
          <t>Backend</t>
        </is>
      </c>
      <c r="C1572" s="17" t="inlineStr">
        <is>
          <t>catalog-service</t>
        </is>
      </c>
      <c r="D1572" s="16" t="inlineStr">
        <is>
          <t>API slice</t>
        </is>
      </c>
      <c r="E1572" s="17" t="inlineStr">
        <is>
          <t>PublicCatalogControllerTest › DanhSach</t>
        </is>
      </c>
      <c r="F1572" s="17" t="inlineStr">
        <is>
          <t>Danh sách</t>
        </is>
      </c>
      <c r="G1572" s="17" t="inlineStr">
        <is>
          <t>size bị kẹp vào 1..60</t>
        </is>
      </c>
      <c r="H1572" s="17" t="inlineStr">
        <is>
          <t>kep_size(int, int)[1]</t>
        </is>
      </c>
      <c r="I1572" s="16" t="inlineStr">
        <is>
          <t>Đạt</t>
        </is>
      </c>
      <c r="J1572" s="16" t="n">
        <v>0.004</v>
      </c>
    </row>
    <row r="1573">
      <c r="A1573" s="16" t="n">
        <v>1569</v>
      </c>
      <c r="B1573" s="16" t="inlineStr">
        <is>
          <t>Backend</t>
        </is>
      </c>
      <c r="C1573" s="17" t="inlineStr">
        <is>
          <t>catalog-service</t>
        </is>
      </c>
      <c r="D1573" s="16" t="inlineStr">
        <is>
          <t>API slice</t>
        </is>
      </c>
      <c r="E1573" s="17" t="inlineStr">
        <is>
          <t>PublicCatalogControllerTest › DanhSach</t>
        </is>
      </c>
      <c r="F1573" s="17" t="inlineStr">
        <is>
          <t>Danh sách</t>
        </is>
      </c>
      <c r="G1573" s="17" t="inlineStr">
        <is>
          <t>size bị kẹp vào 1..60</t>
        </is>
      </c>
      <c r="H1573" s="17" t="inlineStr">
        <is>
          <t>kep_size(int, int)[2]</t>
        </is>
      </c>
      <c r="I1573" s="16" t="inlineStr">
        <is>
          <t>Đạt</t>
        </is>
      </c>
      <c r="J1573" s="16" t="n">
        <v>0.006</v>
      </c>
    </row>
    <row r="1574">
      <c r="A1574" s="16" t="n">
        <v>1570</v>
      </c>
      <c r="B1574" s="16" t="inlineStr">
        <is>
          <t>Backend</t>
        </is>
      </c>
      <c r="C1574" s="17" t="inlineStr">
        <is>
          <t>catalog-service</t>
        </is>
      </c>
      <c r="D1574" s="16" t="inlineStr">
        <is>
          <t>API slice</t>
        </is>
      </c>
      <c r="E1574" s="17" t="inlineStr">
        <is>
          <t>PublicCatalogControllerTest › DanhSach</t>
        </is>
      </c>
      <c r="F1574" s="17" t="inlineStr">
        <is>
          <t>Danh sách</t>
        </is>
      </c>
      <c r="G1574" s="17" t="inlineStr">
        <is>
          <t>size bị kẹp vào 1..60</t>
        </is>
      </c>
      <c r="H1574" s="17" t="inlineStr">
        <is>
          <t>kep_size(int, int)[3]</t>
        </is>
      </c>
      <c r="I1574" s="16" t="inlineStr">
        <is>
          <t>Đạt</t>
        </is>
      </c>
      <c r="J1574" s="16" t="n">
        <v>0.004</v>
      </c>
    </row>
    <row r="1575">
      <c r="A1575" s="16" t="n">
        <v>1571</v>
      </c>
      <c r="B1575" s="16" t="inlineStr">
        <is>
          <t>Backend</t>
        </is>
      </c>
      <c r="C1575" s="17" t="inlineStr">
        <is>
          <t>catalog-service</t>
        </is>
      </c>
      <c r="D1575" s="16" t="inlineStr">
        <is>
          <t>API slice</t>
        </is>
      </c>
      <c r="E1575" s="17" t="inlineStr">
        <is>
          <t>PublicCatalogControllerTest › DanhSach</t>
        </is>
      </c>
      <c r="F1575" s="17" t="inlineStr">
        <is>
          <t>Danh sách</t>
        </is>
      </c>
      <c r="G1575" s="17" t="inlineStr">
        <is>
          <t>size bị kẹp vào 1..60</t>
        </is>
      </c>
      <c r="H1575" s="17" t="inlineStr">
        <is>
          <t>kep_size(int, int)[4]</t>
        </is>
      </c>
      <c r="I1575" s="16" t="inlineStr">
        <is>
          <t>Đạt</t>
        </is>
      </c>
      <c r="J1575" s="16" t="n">
        <v>0.005</v>
      </c>
    </row>
    <row r="1576">
      <c r="A1576" s="16" t="n">
        <v>1572</v>
      </c>
      <c r="B1576" s="16" t="inlineStr">
        <is>
          <t>Backend</t>
        </is>
      </c>
      <c r="C1576" s="17" t="inlineStr">
        <is>
          <t>catalog-service</t>
        </is>
      </c>
      <c r="D1576" s="16" t="inlineStr">
        <is>
          <t>API slice</t>
        </is>
      </c>
      <c r="E1576" s="17" t="inlineStr">
        <is>
          <t>PublicCatalogControllerTest › DanhSach</t>
        </is>
      </c>
      <c r="F1576" s="17" t="inlineStr">
        <is>
          <t>Danh sách</t>
        </is>
      </c>
      <c r="G1576" s="17" t="inlineStr">
        <is>
          <t>size bị kẹp vào 1..60</t>
        </is>
      </c>
      <c r="H1576" s="17" t="inlineStr">
        <is>
          <t>kep_size(int, int)[5]</t>
        </is>
      </c>
      <c r="I1576" s="16" t="inlineStr">
        <is>
          <t>Đạt</t>
        </is>
      </c>
      <c r="J1576" s="16" t="n">
        <v>0.005</v>
      </c>
    </row>
    <row r="1577">
      <c r="A1577" s="16" t="n">
        <v>1573</v>
      </c>
      <c r="B1577" s="16" t="inlineStr">
        <is>
          <t>Backend</t>
        </is>
      </c>
      <c r="C1577" s="17" t="inlineStr">
        <is>
          <t>catalog-service</t>
        </is>
      </c>
      <c r="D1577" s="16" t="inlineStr">
        <is>
          <t>API slice</t>
        </is>
      </c>
      <c r="E1577" s="17" t="inlineStr">
        <is>
          <t>PublicCatalogControllerTest › DanhSach</t>
        </is>
      </c>
      <c r="F1577" s="17" t="inlineStr">
        <is>
          <t>Danh sách</t>
        </is>
      </c>
      <c r="G1577" s="17" t="inlineStr">
        <is>
          <t>size bị kẹp vào 1..60</t>
        </is>
      </c>
      <c r="H1577" s="17" t="inlineStr">
        <is>
          <t>kep_size(int, int)[6]</t>
        </is>
      </c>
      <c r="I1577" s="16" t="inlineStr">
        <is>
          <t>Đạt</t>
        </is>
      </c>
      <c r="J1577" s="16" t="n">
        <v>0.005</v>
      </c>
    </row>
    <row r="1578">
      <c r="A1578" s="16" t="n">
        <v>1574</v>
      </c>
      <c r="B1578" s="16" t="inlineStr">
        <is>
          <t>Backend</t>
        </is>
      </c>
      <c r="C1578" s="17" t="inlineStr">
        <is>
          <t>catalog-service</t>
        </is>
      </c>
      <c r="D1578" s="16" t="inlineStr">
        <is>
          <t>API slice</t>
        </is>
      </c>
      <c r="E1578" s="17" t="inlineStr">
        <is>
          <t>PublicCatalogControllerTest › DanhSach</t>
        </is>
      </c>
      <c r="F1578" s="17" t="inlineStr">
        <is>
          <t>Danh sách</t>
        </is>
      </c>
      <c r="G1578" s="17" t="inlineStr">
        <is>
          <t>size bị kẹp vào 1..60</t>
        </is>
      </c>
      <c r="H1578" s="17" t="inlineStr">
        <is>
          <t>kep_size(int, int)[7]</t>
        </is>
      </c>
      <c r="I1578" s="16" t="inlineStr">
        <is>
          <t>Đạt</t>
        </is>
      </c>
      <c r="J1578" s="16" t="n">
        <v>0.005</v>
      </c>
    </row>
    <row r="1579">
      <c r="A1579" s="16" t="n">
        <v>1575</v>
      </c>
      <c r="B1579" s="16" t="inlineStr">
        <is>
          <t>Backend</t>
        </is>
      </c>
      <c r="C1579" s="17" t="inlineStr">
        <is>
          <t>catalog-service</t>
        </is>
      </c>
      <c r="D1579" s="16" t="inlineStr">
        <is>
          <t>API slice</t>
        </is>
      </c>
      <c r="E1579" s="17" t="inlineStr">
        <is>
          <t>PublicCatalogControllerTest › DanhSach</t>
        </is>
      </c>
      <c r="F1579" s="17" t="inlineStr">
        <is>
          <t>Danh sách</t>
        </is>
      </c>
      <c r="G1579" s="17" t="inlineStr">
        <is>
          <t>chuỗi tìm kiếm có ký tự đặc biệt (%, _, ', &lt;script&gt;) đi qua nguyên văn, không lỗi</t>
        </is>
      </c>
      <c r="H1579" s="17" t="inlineStr">
        <is>
          <t>tim_kiem_ky_tu_dac_biet</t>
        </is>
      </c>
      <c r="I1579" s="16" t="inlineStr">
        <is>
          <t>Đạt</t>
        </is>
      </c>
      <c r="J1579" s="16" t="n">
        <v>0.004</v>
      </c>
    </row>
    <row r="1580">
      <c r="A1580" s="16" t="n">
        <v>1576</v>
      </c>
      <c r="B1580" s="16" t="inlineStr">
        <is>
          <t>Backend</t>
        </is>
      </c>
      <c r="C1580" s="17" t="inlineStr">
        <is>
          <t>catalog-service</t>
        </is>
      </c>
      <c r="D1580" s="16" t="inlineStr">
        <is>
          <t>API slice</t>
        </is>
      </c>
      <c r="E1580" s="17" t="inlineStr">
        <is>
          <t>PublicCatalogControllerTest › DanhSach</t>
        </is>
      </c>
      <c r="F1580" s="17" t="inlineStr">
        <is>
          <t>Danh sách</t>
        </is>
      </c>
      <c r="G1580" s="17" t="inlineStr">
        <is>
          <t>page cực lớn không tràn số thành offset âm</t>
        </is>
      </c>
      <c r="H1580" s="17" t="inlineStr">
        <is>
          <t>page_cuc_lon</t>
        </is>
      </c>
      <c r="I1580" s="16" t="inlineStr">
        <is>
          <t>Đạt</t>
        </is>
      </c>
      <c r="J1580" s="16" t="n">
        <v>0.007</v>
      </c>
    </row>
    <row r="1581">
      <c r="A1581" s="16" t="n">
        <v>1577</v>
      </c>
      <c r="B1581" s="16" t="inlineStr">
        <is>
          <t>Backend</t>
        </is>
      </c>
      <c r="C1581" s="17" t="inlineStr">
        <is>
          <t>catalog-service</t>
        </is>
      </c>
      <c r="D1581" s="16" t="inlineStr">
        <is>
          <t>API slice</t>
        </is>
      </c>
      <c r="E1581" s="17" t="inlineStr">
        <is>
          <t>AdminRolesTest</t>
        </is>
      </c>
      <c r="F1581" s="17" t="inlineStr"/>
      <c r="G1581" s="17" t="inlineStr">
        <is>
          <t>vai trò không có CATALOG_MANAGE: 403 ở đường đọc lẫn ghi, không chạm kho</t>
        </is>
      </c>
      <c r="H1581" s="17" t="inlineStr">
        <is>
          <t>thieu_quyen(Role)[1]</t>
        </is>
      </c>
      <c r="I1581" s="16" t="inlineStr">
        <is>
          <t>Đạt</t>
        </is>
      </c>
      <c r="J1581" s="16" t="n">
        <v>0.024</v>
      </c>
    </row>
    <row r="1582">
      <c r="A1582" s="16" t="n">
        <v>1578</v>
      </c>
      <c r="B1582" s="16" t="inlineStr">
        <is>
          <t>Backend</t>
        </is>
      </c>
      <c r="C1582" s="17" t="inlineStr">
        <is>
          <t>catalog-service</t>
        </is>
      </c>
      <c r="D1582" s="16" t="inlineStr">
        <is>
          <t>API slice</t>
        </is>
      </c>
      <c r="E1582" s="17" t="inlineStr">
        <is>
          <t>AdminRolesTest</t>
        </is>
      </c>
      <c r="F1582" s="17" t="inlineStr"/>
      <c r="G1582" s="17" t="inlineStr">
        <is>
          <t>vai trò không có CATALOG_MANAGE: 403 ở đường đọc lẫn ghi, không chạm kho</t>
        </is>
      </c>
      <c r="H1582" s="17" t="inlineStr">
        <is>
          <t>thieu_quyen(Role)[2]</t>
        </is>
      </c>
      <c r="I1582" s="16" t="inlineStr">
        <is>
          <t>Đạt</t>
        </is>
      </c>
      <c r="J1582" s="16" t="n">
        <v>0.015</v>
      </c>
    </row>
    <row r="1583">
      <c r="A1583" s="16" t="n">
        <v>1579</v>
      </c>
      <c r="B1583" s="16" t="inlineStr">
        <is>
          <t>Backend</t>
        </is>
      </c>
      <c r="C1583" s="17" t="inlineStr">
        <is>
          <t>catalog-service</t>
        </is>
      </c>
      <c r="D1583" s="16" t="inlineStr">
        <is>
          <t>API slice</t>
        </is>
      </c>
      <c r="E1583" s="17" t="inlineStr">
        <is>
          <t>AdminRolesTest</t>
        </is>
      </c>
      <c r="F1583" s="17" t="inlineStr"/>
      <c r="G1583" s="17" t="inlineStr">
        <is>
          <t>vai trò có CATALOG_MANAGE: đọc 200, tạo địa điểm 201 và lưu vào kho</t>
        </is>
      </c>
      <c r="H1583" s="17" t="inlineStr">
        <is>
          <t>du_quyen(Role)[1]</t>
        </is>
      </c>
      <c r="I1583" s="16" t="inlineStr">
        <is>
          <t>Đạt</t>
        </is>
      </c>
      <c r="J1583" s="16" t="n">
        <v>0.025</v>
      </c>
    </row>
    <row r="1584">
      <c r="A1584" s="16" t="n">
        <v>1580</v>
      </c>
      <c r="B1584" s="16" t="inlineStr">
        <is>
          <t>Backend</t>
        </is>
      </c>
      <c r="C1584" s="17" t="inlineStr">
        <is>
          <t>catalog-service</t>
        </is>
      </c>
      <c r="D1584" s="16" t="inlineStr">
        <is>
          <t>API slice</t>
        </is>
      </c>
      <c r="E1584" s="17" t="inlineStr">
        <is>
          <t>AdminRolesTest</t>
        </is>
      </c>
      <c r="F1584" s="17" t="inlineStr"/>
      <c r="G1584" s="17" t="inlineStr">
        <is>
          <t>vai trò có CATALOG_MANAGE: đọc 200, tạo địa điểm 201 và lưu vào kho</t>
        </is>
      </c>
      <c r="H1584" s="17" t="inlineStr">
        <is>
          <t>du_quyen(Role)[2]</t>
        </is>
      </c>
      <c r="I1584" s="16" t="inlineStr">
        <is>
          <t>Đạt</t>
        </is>
      </c>
      <c r="J1584" s="16" t="n">
        <v>0.014</v>
      </c>
    </row>
    <row r="1585">
      <c r="A1585" s="16" t="n">
        <v>1581</v>
      </c>
      <c r="B1585" s="16" t="inlineStr">
        <is>
          <t>Backend</t>
        </is>
      </c>
      <c r="C1585" s="17" t="inlineStr">
        <is>
          <t>catalog-service</t>
        </is>
      </c>
      <c r="D1585" s="16" t="inlineStr">
        <is>
          <t>API slice</t>
        </is>
      </c>
      <c r="E1585" s="17" t="inlineStr">
        <is>
          <t>AdminRolesTest</t>
        </is>
      </c>
      <c r="F1585" s="17" t="inlineStr"/>
      <c r="G1585" s="17" t="inlineStr">
        <is>
          <t>vai trò có CATALOG_MANAGE: đọc 200, tạo địa điểm 201 và lưu vào kho</t>
        </is>
      </c>
      <c r="H1585" s="17" t="inlineStr">
        <is>
          <t>du_quyen(Role)[3]</t>
        </is>
      </c>
      <c r="I1585" s="16" t="inlineStr">
        <is>
          <t>Đạt</t>
        </is>
      </c>
      <c r="J1585" s="16" t="n">
        <v>0.015</v>
      </c>
    </row>
    <row r="1586">
      <c r="A1586" s="16" t="n">
        <v>1582</v>
      </c>
      <c r="B1586" s="16" t="inlineStr">
        <is>
          <t>Backend</t>
        </is>
      </c>
      <c r="C1586" s="17" t="inlineStr">
        <is>
          <t>catalog-service</t>
        </is>
      </c>
      <c r="D1586" s="16" t="inlineStr">
        <is>
          <t>API slice</t>
        </is>
      </c>
      <c r="E1586" s="17" t="inlineStr">
        <is>
          <t>AdminRolesTest</t>
        </is>
      </c>
      <c r="F1586" s="17" t="inlineStr"/>
      <c r="G1586" s="17" t="inlineStr">
        <is>
          <t>khách thuộc tổ chức khác không đọc được sự kiện của tổ chức này: 404, kho không bị hỏi</t>
        </is>
      </c>
      <c r="H1586" s="17" t="inlineStr">
        <is>
          <t>tenant_khac</t>
        </is>
      </c>
      <c r="I1586" s="16" t="inlineStr">
        <is>
          <t>Đạt</t>
        </is>
      </c>
      <c r="J1586" s="16" t="n">
        <v>0.011</v>
      </c>
    </row>
    <row r="1587">
      <c r="A1587" s="16" t="n">
        <v>1583</v>
      </c>
      <c r="B1587" s="16" t="inlineStr">
        <is>
          <t>Backend</t>
        </is>
      </c>
      <c r="C1587" s="17" t="inlineStr">
        <is>
          <t>catalog-service</t>
        </is>
      </c>
      <c r="D1587" s="16" t="inlineStr">
        <is>
          <t>API slice</t>
        </is>
      </c>
      <c r="E1587" s="17" t="inlineStr">
        <is>
          <t>PlatformTemplateControllerTest › KhaiKhu</t>
        </is>
      </c>
      <c r="F1587" s="17" t="inlineStr">
        <is>
          <t>Khai tập khu</t>
        </is>
      </c>
      <c r="G1587" s="17" t="inlineStr">
        <is>
          <t>khu đứng thiếu sức chứa (qua được annotation): 4xx có mã, không phải 500</t>
        </is>
      </c>
      <c r="H1587" s="17" t="inlineStr">
        <is>
          <t>khu_dung_thieu_suc_chua</t>
        </is>
      </c>
      <c r="I1587" s="16" t="inlineStr">
        <is>
          <t>Đạt</t>
        </is>
      </c>
      <c r="J1587" s="16" t="n">
        <v>0.039</v>
      </c>
    </row>
    <row r="1588">
      <c r="A1588" s="16" t="n">
        <v>1584</v>
      </c>
      <c r="B1588" s="16" t="inlineStr">
        <is>
          <t>Backend</t>
        </is>
      </c>
      <c r="C1588" s="17" t="inlineStr">
        <is>
          <t>catalog-service</t>
        </is>
      </c>
      <c r="D1588" s="16" t="inlineStr">
        <is>
          <t>API slice</t>
        </is>
      </c>
      <c r="E1588" s="17" t="inlineStr">
        <is>
          <t>PlatformTemplateControllerTest › KhaiKhu</t>
        </is>
      </c>
      <c r="F1588" s="17" t="inlineStr">
        <is>
          <t>Khai tập khu</t>
        </is>
      </c>
      <c r="G1588" s="17" t="inlineStr">
        <is>
          <t>thay tập khu hợp lệ: 200 với sức chứa mới</t>
        </is>
      </c>
      <c r="H1588" s="17" t="inlineStr">
        <is>
          <t>hop_le</t>
        </is>
      </c>
      <c r="I1588" s="16" t="inlineStr">
        <is>
          <t>Đạt</t>
        </is>
      </c>
      <c r="J1588" s="16" t="n">
        <v>0.014</v>
      </c>
    </row>
    <row r="1589">
      <c r="A1589" s="16" t="n">
        <v>1585</v>
      </c>
      <c r="B1589" s="16" t="inlineStr">
        <is>
          <t>Backend</t>
        </is>
      </c>
      <c r="C1589" s="17" t="inlineStr">
        <is>
          <t>catalog-service</t>
        </is>
      </c>
      <c r="D1589" s="16" t="inlineStr">
        <is>
          <t>API slice</t>
        </is>
      </c>
      <c r="E1589" s="17" t="inlineStr">
        <is>
          <t>PlatformTemplateControllerTest › KhaiKhu</t>
        </is>
      </c>
      <c r="F1589" s="17" t="inlineStr">
        <is>
          <t>Khai tập khu</t>
        </is>
      </c>
      <c r="G1589" s="17" t="inlineStr">
        <is>
          <t>cung quét ngược: 422 ZONE_LAYOUT_INVALID</t>
        </is>
      </c>
      <c r="H1589" s="17" t="inlineStr">
        <is>
          <t>cung_nguoc</t>
        </is>
      </c>
      <c r="I1589" s="16" t="inlineStr">
        <is>
          <t>Đạt</t>
        </is>
      </c>
      <c r="J1589" s="16" t="n">
        <v>0.007</v>
      </c>
    </row>
    <row r="1590">
      <c r="A1590" s="16" t="n">
        <v>1586</v>
      </c>
      <c r="B1590" s="16" t="inlineStr">
        <is>
          <t>Backend</t>
        </is>
      </c>
      <c r="C1590" s="17" t="inlineStr">
        <is>
          <t>catalog-service</t>
        </is>
      </c>
      <c r="D1590" s="16" t="inlineStr">
        <is>
          <t>API slice</t>
        </is>
      </c>
      <c r="E1590" s="17" t="inlineStr">
        <is>
          <t>PlatformTemplateControllerTest › KhaiKhu</t>
        </is>
      </c>
      <c r="F1590" s="17" t="inlineStr">
        <is>
          <t>Khai tập khu</t>
        </is>
      </c>
      <c r="G1590" s="17" t="inlineStr">
        <is>
          <t>tập khu rỗng, giá gợi ý âm, loại lạ, sức chứa âm, sân khấu âm: 400</t>
        </is>
      </c>
      <c r="H1590" s="17" t="inlineStr">
        <is>
          <t>sai(String)[1]</t>
        </is>
      </c>
      <c r="I1590" s="16" t="inlineStr">
        <is>
          <t>Đạt</t>
        </is>
      </c>
      <c r="J1590" s="16" t="n">
        <v>0.008999999999999999</v>
      </c>
    </row>
    <row r="1591">
      <c r="A1591" s="16" t="n">
        <v>1587</v>
      </c>
      <c r="B1591" s="16" t="inlineStr">
        <is>
          <t>Backend</t>
        </is>
      </c>
      <c r="C1591" s="17" t="inlineStr">
        <is>
          <t>catalog-service</t>
        </is>
      </c>
      <c r="D1591" s="16" t="inlineStr">
        <is>
          <t>API slice</t>
        </is>
      </c>
      <c r="E1591" s="17" t="inlineStr">
        <is>
          <t>PlatformTemplateControllerTest › KhaiKhu</t>
        </is>
      </c>
      <c r="F1591" s="17" t="inlineStr">
        <is>
          <t>Khai tập khu</t>
        </is>
      </c>
      <c r="G1591" s="17" t="inlineStr">
        <is>
          <t>tập khu rỗng, giá gợi ý âm, loại lạ, sức chứa âm, sân khấu âm: 400</t>
        </is>
      </c>
      <c r="H1591" s="17" t="inlineStr">
        <is>
          <t>sai(String)[2]</t>
        </is>
      </c>
      <c r="I1591" s="16" t="inlineStr">
        <is>
          <t>Đạt</t>
        </is>
      </c>
      <c r="J1591" s="16" t="n">
        <v>0.005</v>
      </c>
    </row>
    <row r="1592">
      <c r="A1592" s="16" t="n">
        <v>1588</v>
      </c>
      <c r="B1592" s="16" t="inlineStr">
        <is>
          <t>Backend</t>
        </is>
      </c>
      <c r="C1592" s="17" t="inlineStr">
        <is>
          <t>catalog-service</t>
        </is>
      </c>
      <c r="D1592" s="16" t="inlineStr">
        <is>
          <t>API slice</t>
        </is>
      </c>
      <c r="E1592" s="17" t="inlineStr">
        <is>
          <t>PlatformTemplateControllerTest › KhaiKhu</t>
        </is>
      </c>
      <c r="F1592" s="17" t="inlineStr">
        <is>
          <t>Khai tập khu</t>
        </is>
      </c>
      <c r="G1592" s="17" t="inlineStr">
        <is>
          <t>tập khu rỗng, giá gợi ý âm, loại lạ, sức chứa âm, sân khấu âm: 400</t>
        </is>
      </c>
      <c r="H1592" s="17" t="inlineStr">
        <is>
          <t>sai(String)[3]</t>
        </is>
      </c>
      <c r="I1592" s="16" t="inlineStr">
        <is>
          <t>Đạt</t>
        </is>
      </c>
      <c r="J1592" s="16" t="n">
        <v>0.007</v>
      </c>
    </row>
    <row r="1593">
      <c r="A1593" s="16" t="n">
        <v>1589</v>
      </c>
      <c r="B1593" s="16" t="inlineStr">
        <is>
          <t>Backend</t>
        </is>
      </c>
      <c r="C1593" s="17" t="inlineStr">
        <is>
          <t>catalog-service</t>
        </is>
      </c>
      <c r="D1593" s="16" t="inlineStr">
        <is>
          <t>API slice</t>
        </is>
      </c>
      <c r="E1593" s="17" t="inlineStr">
        <is>
          <t>PlatformTemplateControllerTest › KhaiKhu</t>
        </is>
      </c>
      <c r="F1593" s="17" t="inlineStr">
        <is>
          <t>Khai tập khu</t>
        </is>
      </c>
      <c r="G1593" s="17" t="inlineStr">
        <is>
          <t>tập khu rỗng, giá gợi ý âm, loại lạ, sức chứa âm, sân khấu âm: 400</t>
        </is>
      </c>
      <c r="H1593" s="17" t="inlineStr">
        <is>
          <t>sai(String)[4]</t>
        </is>
      </c>
      <c r="I1593" s="16" t="inlineStr">
        <is>
          <t>Đạt</t>
        </is>
      </c>
      <c r="J1593" s="16" t="n">
        <v>0.007</v>
      </c>
    </row>
    <row r="1594">
      <c r="A1594" s="16" t="n">
        <v>1590</v>
      </c>
      <c r="B1594" s="16" t="inlineStr">
        <is>
          <t>Backend</t>
        </is>
      </c>
      <c r="C1594" s="17" t="inlineStr">
        <is>
          <t>catalog-service</t>
        </is>
      </c>
      <c r="D1594" s="16" t="inlineStr">
        <is>
          <t>API slice</t>
        </is>
      </c>
      <c r="E1594" s="17" t="inlineStr">
        <is>
          <t>PlatformTemplateControllerTest › KhaiKhu</t>
        </is>
      </c>
      <c r="F1594" s="17" t="inlineStr">
        <is>
          <t>Khai tập khu</t>
        </is>
      </c>
      <c r="G1594" s="17" t="inlineStr">
        <is>
          <t>tập khu rỗng, giá gợi ý âm, loại lạ, sức chứa âm, sân khấu âm: 400</t>
        </is>
      </c>
      <c r="H1594" s="17" t="inlineStr">
        <is>
          <t>sai(String)[5]</t>
        </is>
      </c>
      <c r="I1594" s="16" t="inlineStr">
        <is>
          <t>Đạt</t>
        </is>
      </c>
      <c r="J1594" s="16" t="n">
        <v>0.007</v>
      </c>
    </row>
    <row r="1595">
      <c r="A1595" s="16" t="n">
        <v>1591</v>
      </c>
      <c r="B1595" s="16" t="inlineStr">
        <is>
          <t>Backend</t>
        </is>
      </c>
      <c r="C1595" s="17" t="inlineStr">
        <is>
          <t>catalog-service</t>
        </is>
      </c>
      <c r="D1595" s="16" t="inlineStr">
        <is>
          <t>API slice</t>
        </is>
      </c>
      <c r="E1595" s="17" t="inlineStr">
        <is>
          <t>PlatformTemplateControllerTest › KhaiKhu</t>
        </is>
      </c>
      <c r="F1595" s="17" t="inlineStr">
        <is>
          <t>Khai tập khu</t>
        </is>
      </c>
      <c r="G1595" s="17" t="inlineStr">
        <is>
          <t>tập khu rỗng, giá gợi ý âm, loại lạ, sức chứa âm, sân khấu âm: 400</t>
        </is>
      </c>
      <c r="H1595" s="17" t="inlineStr">
        <is>
          <t>sai(String)[6]</t>
        </is>
      </c>
      <c r="I1595" s="16" t="inlineStr">
        <is>
          <t>Đạt</t>
        </is>
      </c>
      <c r="J1595" s="16" t="n">
        <v>0.008</v>
      </c>
    </row>
    <row r="1596">
      <c r="A1596" s="16" t="n">
        <v>1592</v>
      </c>
      <c r="B1596" s="16" t="inlineStr">
        <is>
          <t>Backend</t>
        </is>
      </c>
      <c r="C1596" s="17" t="inlineStr">
        <is>
          <t>catalog-service</t>
        </is>
      </c>
      <c r="D1596" s="16" t="inlineStr">
        <is>
          <t>API slice</t>
        </is>
      </c>
      <c r="E1596" s="17" t="inlineStr">
        <is>
          <t>PlatformTemplateControllerTest › KhaiKhu</t>
        </is>
      </c>
      <c r="F1596" s="17" t="inlineStr">
        <is>
          <t>Khai tập khu</t>
        </is>
      </c>
      <c r="G1596" s="17" t="inlineStr">
        <is>
          <t>mã khu trùng trong khung: 4xx có mã, không phải 500</t>
        </is>
      </c>
      <c r="H1596" s="17" t="inlineStr">
        <is>
          <t>ma_khu_trung</t>
        </is>
      </c>
      <c r="I1596" s="16" t="inlineStr">
        <is>
          <t>Đạt</t>
        </is>
      </c>
      <c r="J1596" s="16" t="n">
        <v>0.007</v>
      </c>
    </row>
    <row r="1597">
      <c r="A1597" s="16" t="n">
        <v>1593</v>
      </c>
      <c r="B1597" s="16" t="inlineStr">
        <is>
          <t>Backend</t>
        </is>
      </c>
      <c r="C1597" s="17" t="inlineStr">
        <is>
          <t>catalog-service</t>
        </is>
      </c>
      <c r="D1597" s="16" t="inlineStr">
        <is>
          <t>API slice</t>
        </is>
      </c>
      <c r="E1597" s="17" t="inlineStr">
        <is>
          <t>PlatformTemplateControllerTest › QuyenTruyCap</t>
        </is>
      </c>
      <c r="F1597" s="17" t="inlineStr">
        <is>
          <t>Quyền truy cập</t>
        </is>
      </c>
      <c r="G1597" s="17" t="inlineStr">
        <is>
          <t>mọi vai trò của tổ chức (kể cả chủ sở hữu): 403 ở đọc, tạo, kích hoạt, lưu trữ, xoá</t>
        </is>
      </c>
      <c r="H1597" s="17" t="inlineStr">
        <is>
          <t>vai_tro_to_chuc(Role)[1]</t>
        </is>
      </c>
      <c r="I1597" s="16" t="inlineStr">
        <is>
          <t>Đạt</t>
        </is>
      </c>
      <c r="J1597" s="16" t="n">
        <v>0.017</v>
      </c>
    </row>
    <row r="1598">
      <c r="A1598" s="16" t="n">
        <v>1594</v>
      </c>
      <c r="B1598" s="16" t="inlineStr">
        <is>
          <t>Backend</t>
        </is>
      </c>
      <c r="C1598" s="17" t="inlineStr">
        <is>
          <t>catalog-service</t>
        </is>
      </c>
      <c r="D1598" s="16" t="inlineStr">
        <is>
          <t>API slice</t>
        </is>
      </c>
      <c r="E1598" s="17" t="inlineStr">
        <is>
          <t>PlatformTemplateControllerTest › QuyenTruyCap</t>
        </is>
      </c>
      <c r="F1598" s="17" t="inlineStr">
        <is>
          <t>Quyền truy cập</t>
        </is>
      </c>
      <c r="G1598" s="17" t="inlineStr">
        <is>
          <t>mọi vai trò của tổ chức (kể cả chủ sở hữu): 403 ở đọc, tạo, kích hoạt, lưu trữ, xoá</t>
        </is>
      </c>
      <c r="H1598" s="17" t="inlineStr">
        <is>
          <t>vai_tro_to_chuc(Role)[2]</t>
        </is>
      </c>
      <c r="I1598" s="16" t="inlineStr">
        <is>
          <t>Đạt</t>
        </is>
      </c>
      <c r="J1598" s="16" t="n">
        <v>0.016</v>
      </c>
    </row>
    <row r="1599">
      <c r="A1599" s="16" t="n">
        <v>1595</v>
      </c>
      <c r="B1599" s="16" t="inlineStr">
        <is>
          <t>Backend</t>
        </is>
      </c>
      <c r="C1599" s="17" t="inlineStr">
        <is>
          <t>catalog-service</t>
        </is>
      </c>
      <c r="D1599" s="16" t="inlineStr">
        <is>
          <t>API slice</t>
        </is>
      </c>
      <c r="E1599" s="17" t="inlineStr">
        <is>
          <t>PlatformTemplateControllerTest › QuyenTruyCap</t>
        </is>
      </c>
      <c r="F1599" s="17" t="inlineStr">
        <is>
          <t>Quyền truy cập</t>
        </is>
      </c>
      <c r="G1599" s="17" t="inlineStr">
        <is>
          <t>mọi vai trò của tổ chức (kể cả chủ sở hữu): 403 ở đọc, tạo, kích hoạt, lưu trữ, xoá</t>
        </is>
      </c>
      <c r="H1599" s="17" t="inlineStr">
        <is>
          <t>vai_tro_to_chuc(Role)[3]</t>
        </is>
      </c>
      <c r="I1599" s="16" t="inlineStr">
        <is>
          <t>Đạt</t>
        </is>
      </c>
      <c r="J1599" s="16" t="n">
        <v>0.014</v>
      </c>
    </row>
    <row r="1600">
      <c r="A1600" s="16" t="n">
        <v>1596</v>
      </c>
      <c r="B1600" s="16" t="inlineStr">
        <is>
          <t>Backend</t>
        </is>
      </c>
      <c r="C1600" s="17" t="inlineStr">
        <is>
          <t>catalog-service</t>
        </is>
      </c>
      <c r="D1600" s="16" t="inlineStr">
        <is>
          <t>API slice</t>
        </is>
      </c>
      <c r="E1600" s="17" t="inlineStr">
        <is>
          <t>PlatformTemplateControllerTest › QuyenTruyCap</t>
        </is>
      </c>
      <c r="F1600" s="17" t="inlineStr">
        <is>
          <t>Quyền truy cập</t>
        </is>
      </c>
      <c r="G1600" s="17" t="inlineStr">
        <is>
          <t>mọi vai trò của tổ chức (kể cả chủ sở hữu): 403 ở đọc, tạo, kích hoạt, lưu trữ, xoá</t>
        </is>
      </c>
      <c r="H1600" s="17" t="inlineStr">
        <is>
          <t>vai_tro_to_chuc(Role)[4]</t>
        </is>
      </c>
      <c r="I1600" s="16" t="inlineStr">
        <is>
          <t>Đạt</t>
        </is>
      </c>
      <c r="J1600" s="16" t="n">
        <v>0.013</v>
      </c>
    </row>
    <row r="1601">
      <c r="A1601" s="16" t="n">
        <v>1597</v>
      </c>
      <c r="B1601" s="16" t="inlineStr">
        <is>
          <t>Backend</t>
        </is>
      </c>
      <c r="C1601" s="17" t="inlineStr">
        <is>
          <t>catalog-service</t>
        </is>
      </c>
      <c r="D1601" s="16" t="inlineStr">
        <is>
          <t>API slice</t>
        </is>
      </c>
      <c r="E1601" s="17" t="inlineStr">
        <is>
          <t>PlatformTemplateControllerTest › QuyenTruyCap</t>
        </is>
      </c>
      <c r="F1601" s="17" t="inlineStr">
        <is>
          <t>Quyền truy cập</t>
        </is>
      </c>
      <c r="G1601" s="17" t="inlineStr">
        <is>
          <t>superadmin qua được TenantFilter dù không thuộc tổ chức nào: 200</t>
        </is>
      </c>
      <c r="H1601" s="17" t="inlineStr">
        <is>
          <t>superadmin</t>
        </is>
      </c>
      <c r="I1601" s="16" t="inlineStr">
        <is>
          <t>Đạt</t>
        </is>
      </c>
      <c r="J1601" s="16" t="n">
        <v>0.008</v>
      </c>
    </row>
    <row r="1602">
      <c r="A1602" s="16" t="n">
        <v>1598</v>
      </c>
      <c r="B1602" s="16" t="inlineStr">
        <is>
          <t>Backend</t>
        </is>
      </c>
      <c r="C1602" s="17" t="inlineStr">
        <is>
          <t>catalog-service</t>
        </is>
      </c>
      <c r="D1602" s="16" t="inlineStr">
        <is>
          <t>API slice</t>
        </is>
      </c>
      <c r="E1602" s="17" t="inlineStr">
        <is>
          <t>PlatformTemplateControllerTest › QuyenTruyCap</t>
        </is>
      </c>
      <c r="F1602" s="17" t="inlineStr">
        <is>
          <t>Quyền truy cập</t>
        </is>
      </c>
      <c r="G1602" s="17" t="inlineStr">
        <is>
          <t>khách không thuộc tổ chức nào: 403, và 403 không xác nhận khung có tồn tại hay không</t>
        </is>
      </c>
      <c r="H1602" s="17" t="inlineStr">
        <is>
          <t>khach</t>
        </is>
      </c>
      <c r="I1602" s="16" t="inlineStr">
        <is>
          <t>Đạt</t>
        </is>
      </c>
      <c r="J1602" s="16" t="n">
        <v>0.007</v>
      </c>
    </row>
    <row r="1603">
      <c r="A1603" s="16" t="n">
        <v>1599</v>
      </c>
      <c r="B1603" s="16" t="inlineStr">
        <is>
          <t>Backend</t>
        </is>
      </c>
      <c r="C1603" s="17" t="inlineStr">
        <is>
          <t>catalog-service</t>
        </is>
      </c>
      <c r="D1603" s="16" t="inlineStr">
        <is>
          <t>API slice</t>
        </is>
      </c>
      <c r="E1603" s="17" t="inlineStr">
        <is>
          <t>PlatformTemplateControllerTest › QuyenTruyCap</t>
        </is>
      </c>
      <c r="F1603" s="17" t="inlineStr">
        <is>
          <t>Quyền truy cập</t>
        </is>
      </c>
      <c r="G1603" s="17" t="inlineStr">
        <is>
          <t>không token: 401 trên mọi đường</t>
        </is>
      </c>
      <c r="H1603" s="17" t="inlineStr">
        <is>
          <t>khong_token</t>
        </is>
      </c>
      <c r="I1603" s="16" t="inlineStr">
        <is>
          <t>Đạt</t>
        </is>
      </c>
      <c r="J1603" s="16" t="n">
        <v>0.006</v>
      </c>
    </row>
    <row r="1604">
      <c r="A1604" s="16" t="n">
        <v>1600</v>
      </c>
      <c r="B1604" s="16" t="inlineStr">
        <is>
          <t>Backend</t>
        </is>
      </c>
      <c r="C1604" s="17" t="inlineStr">
        <is>
          <t>catalog-service</t>
        </is>
      </c>
      <c r="D1604" s="16" t="inlineStr">
        <is>
          <t>API slice</t>
        </is>
      </c>
      <c r="E1604" s="17" t="inlineStr">
        <is>
          <t>PlatformTemplateControllerTest › VongDoi</t>
        </is>
      </c>
      <c r="F1604" s="17" t="inlineStr">
        <is>
          <t>Vòng đời khung</t>
        </is>
      </c>
      <c r="G1604" s="17" t="inlineStr">
        <is>
          <t>thiếu trường, mã có ký tự lạ, tên trống, mô tả &gt; 2000 ký tự: 400</t>
        </is>
      </c>
      <c r="H1604" s="17" t="inlineStr">
        <is>
          <t>tao_sai(String)[1]</t>
        </is>
      </c>
      <c r="I1604" s="16" t="inlineStr">
        <is>
          <t>Đạt</t>
        </is>
      </c>
      <c r="J1604" s="16" t="n">
        <v>0.013</v>
      </c>
    </row>
    <row r="1605">
      <c r="A1605" s="16" t="n">
        <v>1601</v>
      </c>
      <c r="B1605" s="16" t="inlineStr">
        <is>
          <t>Backend</t>
        </is>
      </c>
      <c r="C1605" s="17" t="inlineStr">
        <is>
          <t>catalog-service</t>
        </is>
      </c>
      <c r="D1605" s="16" t="inlineStr">
        <is>
          <t>API slice</t>
        </is>
      </c>
      <c r="E1605" s="17" t="inlineStr">
        <is>
          <t>PlatformTemplateControllerTest › VongDoi</t>
        </is>
      </c>
      <c r="F1605" s="17" t="inlineStr">
        <is>
          <t>Vòng đời khung</t>
        </is>
      </c>
      <c r="G1605" s="17" t="inlineStr">
        <is>
          <t>thiếu trường, mã có ký tự lạ, tên trống, mô tả &gt; 2000 ký tự: 400</t>
        </is>
      </c>
      <c r="H1605" s="17" t="inlineStr">
        <is>
          <t>tao_sai(String)[2]</t>
        </is>
      </c>
      <c r="I1605" s="16" t="inlineStr">
        <is>
          <t>Đạt</t>
        </is>
      </c>
      <c r="J1605" s="16" t="n">
        <v>0.005</v>
      </c>
    </row>
    <row r="1606">
      <c r="A1606" s="16" t="n">
        <v>1602</v>
      </c>
      <c r="B1606" s="16" t="inlineStr">
        <is>
          <t>Backend</t>
        </is>
      </c>
      <c r="C1606" s="17" t="inlineStr">
        <is>
          <t>catalog-service</t>
        </is>
      </c>
      <c r="D1606" s="16" t="inlineStr">
        <is>
          <t>API slice</t>
        </is>
      </c>
      <c r="E1606" s="17" t="inlineStr">
        <is>
          <t>PlatformTemplateControllerTest › VongDoi</t>
        </is>
      </c>
      <c r="F1606" s="17" t="inlineStr">
        <is>
          <t>Vòng đời khung</t>
        </is>
      </c>
      <c r="G1606" s="17" t="inlineStr">
        <is>
          <t>thiếu trường, mã có ký tự lạ, tên trống, mô tả &gt; 2000 ký tự: 400</t>
        </is>
      </c>
      <c r="H1606" s="17" t="inlineStr">
        <is>
          <t>tao_sai(String)[3]</t>
        </is>
      </c>
      <c r="I1606" s="16" t="inlineStr">
        <is>
          <t>Đạt</t>
        </is>
      </c>
      <c r="J1606" s="16" t="n">
        <v>0.006</v>
      </c>
    </row>
    <row r="1607">
      <c r="A1607" s="16" t="n">
        <v>1603</v>
      </c>
      <c r="B1607" s="16" t="inlineStr">
        <is>
          <t>Backend</t>
        </is>
      </c>
      <c r="C1607" s="17" t="inlineStr">
        <is>
          <t>catalog-service</t>
        </is>
      </c>
      <c r="D1607" s="16" t="inlineStr">
        <is>
          <t>API slice</t>
        </is>
      </c>
      <c r="E1607" s="17" t="inlineStr">
        <is>
          <t>PlatformTemplateControllerTest › VongDoi</t>
        </is>
      </c>
      <c r="F1607" s="17" t="inlineStr">
        <is>
          <t>Vòng đời khung</t>
        </is>
      </c>
      <c r="G1607" s="17" t="inlineStr">
        <is>
          <t>thiếu trường, mã có ký tự lạ, tên trống, mô tả &gt; 2000 ký tự: 400</t>
        </is>
      </c>
      <c r="H1607" s="17" t="inlineStr">
        <is>
          <t>tao_sai(String)[4]</t>
        </is>
      </c>
      <c r="I1607" s="16" t="inlineStr">
        <is>
          <t>Đạt</t>
        </is>
      </c>
      <c r="J1607" s="16" t="n">
        <v>0.006</v>
      </c>
    </row>
    <row r="1608">
      <c r="A1608" s="16" t="n">
        <v>1604</v>
      </c>
      <c r="B1608" s="16" t="inlineStr">
        <is>
          <t>Backend</t>
        </is>
      </c>
      <c r="C1608" s="17" t="inlineStr">
        <is>
          <t>catalog-service</t>
        </is>
      </c>
      <c r="D1608" s="16" t="inlineStr">
        <is>
          <t>API slice</t>
        </is>
      </c>
      <c r="E1608" s="17" t="inlineStr">
        <is>
          <t>PlatformTemplateControllerTest › VongDoi</t>
        </is>
      </c>
      <c r="F1608" s="17" t="inlineStr">
        <is>
          <t>Vòng đời khung</t>
        </is>
      </c>
      <c r="G1608" s="17" t="inlineStr">
        <is>
          <t>thiếu trường, mã có ký tự lạ, tên trống, mô tả &gt; 2000 ký tự: 400</t>
        </is>
      </c>
      <c r="H1608" s="17" t="inlineStr">
        <is>
          <t>tao_sai(String)[5]</t>
        </is>
      </c>
      <c r="I1608" s="16" t="inlineStr">
        <is>
          <t>Đạt</t>
        </is>
      </c>
      <c r="J1608" s="16" t="n">
        <v>0.005</v>
      </c>
    </row>
    <row r="1609">
      <c r="A1609" s="16" t="n">
        <v>1605</v>
      </c>
      <c r="B1609" s="16" t="inlineStr">
        <is>
          <t>Backend</t>
        </is>
      </c>
      <c r="C1609" s="17" t="inlineStr">
        <is>
          <t>catalog-service</t>
        </is>
      </c>
      <c r="D1609" s="16" t="inlineStr">
        <is>
          <t>API slice</t>
        </is>
      </c>
      <c r="E1609" s="17" t="inlineStr">
        <is>
          <t>PlatformTemplateControllerTest › VongDoi</t>
        </is>
      </c>
      <c r="F1609" s="17" t="inlineStr">
        <is>
          <t>Vòng đời khung</t>
        </is>
      </c>
      <c r="G1609" s="17" t="inlineStr">
        <is>
          <t>thiếu trường, mã có ký tự lạ, tên trống, mô tả &gt; 2000 ký tự: 400</t>
        </is>
      </c>
      <c r="H1609" s="17" t="inlineStr">
        <is>
          <t>tao_sai(String)[6]</t>
        </is>
      </c>
      <c r="I1609" s="16" t="inlineStr">
        <is>
          <t>Đạt</t>
        </is>
      </c>
      <c r="J1609" s="16" t="n">
        <v>0.007</v>
      </c>
    </row>
    <row r="1610">
      <c r="A1610" s="16" t="n">
        <v>1606</v>
      </c>
      <c r="B1610" s="16" t="inlineStr">
        <is>
          <t>Backend</t>
        </is>
      </c>
      <c r="C1610" s="17" t="inlineStr">
        <is>
          <t>catalog-service</t>
        </is>
      </c>
      <c r="D1610" s="16" t="inlineStr">
        <is>
          <t>API slice</t>
        </is>
      </c>
      <c r="E1610" s="17" t="inlineStr">
        <is>
          <t>PlatformTemplateControllerTest › VongDoi</t>
        </is>
      </c>
      <c r="F1610" s="17" t="inlineStr">
        <is>
          <t>Vòng đời khung</t>
        </is>
      </c>
      <c r="G1610" s="17" t="inlineStr">
        <is>
          <t>thiếu trường, mã có ký tự lạ, tên trống, mô tả &gt; 2000 ký tự: 400</t>
        </is>
      </c>
      <c r="H1610" s="17" t="inlineStr">
        <is>
          <t>tao_sai(String)[7]</t>
        </is>
      </c>
      <c r="I1610" s="16" t="inlineStr">
        <is>
          <t>Đạt</t>
        </is>
      </c>
      <c r="J1610" s="16" t="n">
        <v>0.006</v>
      </c>
    </row>
    <row r="1611">
      <c r="A1611" s="16" t="n">
        <v>1607</v>
      </c>
      <c r="B1611" s="16" t="inlineStr">
        <is>
          <t>Backend</t>
        </is>
      </c>
      <c r="C1611" s="17" t="inlineStr">
        <is>
          <t>catalog-service</t>
        </is>
      </c>
      <c r="D1611" s="16" t="inlineStr">
        <is>
          <t>API slice</t>
        </is>
      </c>
      <c r="E1611" s="17" t="inlineStr">
        <is>
          <t>PlatformTemplateControllerTest › VongDoi</t>
        </is>
      </c>
      <c r="F1611" s="17" t="inlineStr">
        <is>
          <t>Vòng đời khung</t>
        </is>
      </c>
      <c r="G1611" s="17" t="inlineStr">
        <is>
          <t>khung không có: 404 TEMPLATE_NOT_FOUND; id không phải UUID: 400</t>
        </is>
      </c>
      <c r="H1611" s="17" t="inlineStr">
        <is>
          <t>khong_co</t>
        </is>
      </c>
      <c r="I1611" s="16" t="inlineStr">
        <is>
          <t>Đạt</t>
        </is>
      </c>
      <c r="J1611" s="16" t="n">
        <v>0.008999999999999999</v>
      </c>
    </row>
    <row r="1612">
      <c r="A1612" s="16" t="n">
        <v>1608</v>
      </c>
      <c r="B1612" s="16" t="inlineStr">
        <is>
          <t>Backend</t>
        </is>
      </c>
      <c r="C1612" s="17" t="inlineStr">
        <is>
          <t>catalog-service</t>
        </is>
      </c>
      <c r="D1612" s="16" t="inlineStr">
        <is>
          <t>API slice</t>
        </is>
      </c>
      <c r="E1612" s="17" t="inlineStr">
        <is>
          <t>PlatformTemplateControllerTest › VongDoi</t>
        </is>
      </c>
      <c r="F1612" s="17" t="inlineStr">
        <is>
          <t>Vòng đời khung</t>
        </is>
      </c>
      <c r="G1612" s="17" t="inlineStr">
        <is>
          <t>nháp → mở → lưu trữ → về nháp qua HTTP</t>
        </is>
      </c>
      <c r="H1612" s="17" t="inlineStr">
        <is>
          <t>chuyen_trang_thai</t>
        </is>
      </c>
      <c r="I1612" s="16" t="inlineStr">
        <is>
          <t>Đạt</t>
        </is>
      </c>
      <c r="J1612" s="16" t="n">
        <v>0.008</v>
      </c>
    </row>
    <row r="1613">
      <c r="A1613" s="16" t="n">
        <v>1609</v>
      </c>
      <c r="B1613" s="16" t="inlineStr">
        <is>
          <t>Backend</t>
        </is>
      </c>
      <c r="C1613" s="17" t="inlineStr">
        <is>
          <t>catalog-service</t>
        </is>
      </c>
      <c r="D1613" s="16" t="inlineStr">
        <is>
          <t>API slice</t>
        </is>
      </c>
      <c r="E1613" s="17" t="inlineStr">
        <is>
          <t>PlatformTemplateControllerTest › VongDoi</t>
        </is>
      </c>
      <c r="F1613" s="17" t="inlineStr">
        <is>
          <t>Vòng đời khung</t>
        </is>
      </c>
      <c r="G1613" s="17" t="inlineStr">
        <is>
          <t>mã dài 41 ký tự: 400</t>
        </is>
      </c>
      <c r="H1613" s="17" t="inlineStr">
        <is>
          <t>ma_qua_dai</t>
        </is>
      </c>
      <c r="I1613" s="16" t="inlineStr">
        <is>
          <t>Đạt</t>
        </is>
      </c>
      <c r="J1613" s="16" t="n">
        <v>0.006</v>
      </c>
    </row>
    <row r="1614">
      <c r="A1614" s="16" t="n">
        <v>1610</v>
      </c>
      <c r="B1614" s="16" t="inlineStr">
        <is>
          <t>Backend</t>
        </is>
      </c>
      <c r="C1614" s="17" t="inlineStr">
        <is>
          <t>catalog-service</t>
        </is>
      </c>
      <c r="D1614" s="16" t="inlineStr">
        <is>
          <t>API slice</t>
        </is>
      </c>
      <c r="E1614" s="17" t="inlineStr">
        <is>
          <t>PlatformTemplateControllerTest › VongDoi</t>
        </is>
      </c>
      <c r="F1614" s="17" t="inlineStr">
        <is>
          <t>Vòng đời khung</t>
        </is>
      </c>
      <c r="G1614" s="17" t="inlineStr">
        <is>
          <t>mã trùng: 409 TEMPLATE_CODE_TAKEN</t>
        </is>
      </c>
      <c r="H1614" s="17" t="inlineStr">
        <is>
          <t>ma_trung</t>
        </is>
      </c>
      <c r="I1614" s="16" t="inlineStr">
        <is>
          <t>Đạt</t>
        </is>
      </c>
      <c r="J1614" s="16" t="n">
        <v>0.006</v>
      </c>
    </row>
    <row r="1615">
      <c r="A1615" s="16" t="n">
        <v>1611</v>
      </c>
      <c r="B1615" s="16" t="inlineStr">
        <is>
          <t>Backend</t>
        </is>
      </c>
      <c r="C1615" s="17" t="inlineStr">
        <is>
          <t>catalog-service</t>
        </is>
      </c>
      <c r="D1615" s="16" t="inlineStr">
        <is>
          <t>API slice</t>
        </is>
      </c>
      <c r="E1615" s="17" t="inlineStr">
        <is>
          <t>PlatformTemplateControllerTest › VongDoi</t>
        </is>
      </c>
      <c r="F1615" s="17" t="inlineStr">
        <is>
          <t>Vòng đời khung</t>
        </is>
      </c>
      <c r="G1615" s="17" t="inlineStr">
        <is>
          <t>sửa: mô tả 2001 ký tự → 400; tên mới được áp</t>
        </is>
      </c>
      <c r="H1615" s="17" t="inlineStr">
        <is>
          <t>sua</t>
        </is>
      </c>
      <c r="I1615" s="16" t="inlineStr">
        <is>
          <t>Đạt</t>
        </is>
      </c>
      <c r="J1615" s="16" t="n">
        <v>0.013</v>
      </c>
    </row>
    <row r="1616">
      <c r="A1616" s="16" t="n">
        <v>1612</v>
      </c>
      <c r="B1616" s="16" t="inlineStr">
        <is>
          <t>Backend</t>
        </is>
      </c>
      <c r="C1616" s="17" t="inlineStr">
        <is>
          <t>catalog-service</t>
        </is>
      </c>
      <c r="D1616" s="16" t="inlineStr">
        <is>
          <t>API slice</t>
        </is>
      </c>
      <c r="E1616" s="17" t="inlineStr">
        <is>
          <t>PlatformTemplateControllerTest › VongDoi</t>
        </is>
      </c>
      <c r="F1616" s="17" t="inlineStr">
        <is>
          <t>Vòng đời khung</t>
        </is>
      </c>
      <c r="G1616" s="17" t="inlineStr">
        <is>
          <t>tạo: 201, mã được chuẩn hoá in hoa</t>
        </is>
      </c>
      <c r="H1616" s="17" t="inlineStr">
        <is>
          <t>tao</t>
        </is>
      </c>
      <c r="I1616" s="16" t="inlineStr">
        <is>
          <t>Đạt</t>
        </is>
      </c>
      <c r="J1616" s="16" t="n">
        <v>0.004</v>
      </c>
    </row>
    <row r="1617">
      <c r="A1617" s="16" t="n">
        <v>1613</v>
      </c>
      <c r="B1617" s="16" t="inlineStr">
        <is>
          <t>Backend</t>
        </is>
      </c>
      <c r="C1617" s="17" t="inlineStr">
        <is>
          <t>catalog-service</t>
        </is>
      </c>
      <c r="D1617" s="16" t="inlineStr">
        <is>
          <t>API slice</t>
        </is>
      </c>
      <c r="E1617" s="17" t="inlineStr">
        <is>
          <t>PlatformTemplateControllerTest › VongDoi</t>
        </is>
      </c>
      <c r="F1617" s="17" t="inlineStr">
        <is>
          <t>Vòng đời khung</t>
        </is>
      </c>
      <c r="G1617" s="17" t="inlineStr">
        <is>
          <t>xoá: 204 khi chưa ai dùng, 409 TEMPLATE_IN_USE khi đã có địa điểm dựng từ khung</t>
        </is>
      </c>
      <c r="H1617" s="17" t="inlineStr">
        <is>
          <t>xoa</t>
        </is>
      </c>
      <c r="I1617" s="16" t="inlineStr">
        <is>
          <t>Đạt</t>
        </is>
      </c>
      <c r="J1617" s="16" t="n">
        <v>0.007</v>
      </c>
    </row>
    <row r="1618">
      <c r="A1618" s="16" t="n">
        <v>1614</v>
      </c>
      <c r="B1618" s="16" t="inlineStr">
        <is>
          <t>Backend</t>
        </is>
      </c>
      <c r="C1618" s="17" t="inlineStr">
        <is>
          <t>catalog-service</t>
        </is>
      </c>
      <c r="D1618" s="16" t="inlineStr">
        <is>
          <t>API slice</t>
        </is>
      </c>
      <c r="E1618" s="17" t="inlineStr">
        <is>
          <t>PlatformTemplateControllerTest › VongDoi</t>
        </is>
      </c>
      <c r="F1618" s="17" t="inlineStr">
        <is>
          <t>Vòng đời khung</t>
        </is>
      </c>
      <c r="G1618" s="17" t="inlineStr">
        <is>
          <t>danh sách lọc theo trạng thái: giá trị lạ bị từ chối, không trả hết</t>
        </is>
      </c>
      <c r="H1618" s="17" t="inlineStr">
        <is>
          <t>loc_trang_thai</t>
        </is>
      </c>
      <c r="I1618" s="16" t="inlineStr">
        <is>
          <t>Đạt</t>
        </is>
      </c>
      <c r="J1618" s="16" t="n">
        <v>0.007</v>
      </c>
    </row>
    <row r="1619">
      <c r="A1619" s="16" t="n">
        <v>1615</v>
      </c>
      <c r="B1619" s="16" t="inlineStr">
        <is>
          <t>Backend</t>
        </is>
      </c>
      <c r="C1619" s="17" t="inlineStr">
        <is>
          <t>catalog-service</t>
        </is>
      </c>
      <c r="D1619" s="16" t="inlineStr">
        <is>
          <t>API slice</t>
        </is>
      </c>
      <c r="E1619" s="17" t="inlineStr">
        <is>
          <t>PlatformTemplateControllerTest › VongDoi</t>
        </is>
      </c>
      <c r="F1619" s="17" t="inlineStr">
        <is>
          <t>Vòng đời khung</t>
        </is>
      </c>
      <c r="G1619" s="17" t="inlineStr">
        <is>
          <t>kích hoạt khung rỗng: 409 TEMPLATE_WITHOUT_ZONE</t>
        </is>
      </c>
      <c r="H1619" s="17" t="inlineStr">
        <is>
          <t>kich_hoat_rong</t>
        </is>
      </c>
      <c r="I1619" s="16" t="inlineStr">
        <is>
          <t>Đạt</t>
        </is>
      </c>
      <c r="J1619" s="16" t="n">
        <v>0.006</v>
      </c>
    </row>
    <row r="1620">
      <c r="A1620" s="16" t="n">
        <v>1616</v>
      </c>
      <c r="B1620" s="16" t="inlineStr">
        <is>
          <t>Backend</t>
        </is>
      </c>
      <c r="C1620" s="17" t="inlineStr">
        <is>
          <t>identity-service</t>
        </is>
      </c>
      <c r="D1620" s="16" t="inlineStr">
        <is>
          <t>Unit</t>
        </is>
      </c>
      <c r="E1620" s="17" t="inlineStr">
        <is>
          <t>AccountRecoveryHandlersTest › DatLaiMatKhau</t>
        </is>
      </c>
      <c r="F1620" s="17" t="inlineStr">
        <is>
          <t>gửi hộ thư đặt lại mật khẩu</t>
        </is>
      </c>
      <c r="G1620" s="17" t="inlineStr">
        <is>
          <t>tài khoản bị vô hiệu hoá thì USER_DISABLED — đặt lại xong vẫn không vào được</t>
        </is>
      </c>
      <c r="H1620" s="17" t="inlineStr">
        <is>
          <t>tai_khoan_bi_khoa</t>
        </is>
      </c>
      <c r="I1620" s="16" t="inlineStr">
        <is>
          <t>Đạt</t>
        </is>
      </c>
      <c r="J1620" s="16" t="n">
        <v>0.63</v>
      </c>
    </row>
    <row r="1621">
      <c r="A1621" s="16" t="n">
        <v>1617</v>
      </c>
      <c r="B1621" s="16" t="inlineStr">
        <is>
          <t>Backend</t>
        </is>
      </c>
      <c r="C1621" s="17" t="inlineStr">
        <is>
          <t>identity-service</t>
        </is>
      </c>
      <c r="D1621" s="16" t="inlineStr">
        <is>
          <t>Unit</t>
        </is>
      </c>
      <c r="E1621" s="17" t="inlineStr">
        <is>
          <t>AccountRecoveryHandlersTest › DatLaiMatKhau</t>
        </is>
      </c>
      <c r="F1621" s="17" t="inlineStr">
        <is>
          <t>gửi hộ thư đặt lại mật khẩu</t>
        </is>
      </c>
      <c r="G1621" s="17" t="inlineStr">
        <is>
          <t>Keycloak không trả lời: 503 với thông điệp chung, không lộ nguyên văn lỗi của Keycloak</t>
        </is>
      </c>
      <c r="H1621" s="17" t="inlineStr">
        <is>
          <t>keycloak_im_lang</t>
        </is>
      </c>
      <c r="I1621" s="16" t="inlineStr">
        <is>
          <t>Đạt</t>
        </is>
      </c>
      <c r="J1621" s="16" t="n">
        <v>0.07000000000000001</v>
      </c>
    </row>
    <row r="1622">
      <c r="A1622" s="16" t="n">
        <v>1618</v>
      </c>
      <c r="B1622" s="16" t="inlineStr">
        <is>
          <t>Backend</t>
        </is>
      </c>
      <c r="C1622" s="17" t="inlineStr">
        <is>
          <t>identity-service</t>
        </is>
      </c>
      <c r="D1622" s="16" t="inlineStr">
        <is>
          <t>Unit</t>
        </is>
      </c>
      <c r="E1622" s="17" t="inlineStr">
        <is>
          <t>AccountRecoveryHandlersTest › DatLaiMatKhau</t>
        </is>
      </c>
      <c r="F1622" s="17" t="inlineStr">
        <is>
          <t>gửi hộ thư đặt lại mật khẩu</t>
        </is>
      </c>
      <c r="G1622" s="17" t="inlineStr">
        <is>
          <t>EVENT_MANAGER không gửi được</t>
        </is>
      </c>
      <c r="H1622" s="17" t="inlineStr">
        <is>
          <t>quan_ly_su_kien</t>
        </is>
      </c>
      <c r="I1622" s="16" t="inlineStr">
        <is>
          <t>Đạt</t>
        </is>
      </c>
      <c r="J1622" s="16" t="n">
        <v>0.016</v>
      </c>
    </row>
    <row r="1623">
      <c r="A1623" s="16" t="n">
        <v>1619</v>
      </c>
      <c r="B1623" s="16" t="inlineStr">
        <is>
          <t>Backend</t>
        </is>
      </c>
      <c r="C1623" s="17" t="inlineStr">
        <is>
          <t>identity-service</t>
        </is>
      </c>
      <c r="D1623" s="16" t="inlineStr">
        <is>
          <t>Unit</t>
        </is>
      </c>
      <c r="E1623" s="17" t="inlineStr">
        <is>
          <t>AccountRecoveryHandlersTest › DatLaiMatKhau</t>
        </is>
      </c>
      <c r="F1623" s="17" t="inlineStr">
        <is>
          <t>gửi hộ thư đặt lại mật khẩu</t>
        </is>
      </c>
      <c r="G1623" s="17" t="inlineStr">
        <is>
          <t>đường nền tảng ghi phạm vi PLATFORM</t>
        </is>
      </c>
      <c r="H1623" s="17" t="inlineStr">
        <is>
          <t>pham_vi_nen_tang</t>
        </is>
      </c>
      <c r="I1623" s="16" t="inlineStr">
        <is>
          <t>Đạt</t>
        </is>
      </c>
      <c r="J1623" s="16" t="n">
        <v>0.051</v>
      </c>
    </row>
    <row r="1624">
      <c r="A1624" s="16" t="n">
        <v>1620</v>
      </c>
      <c r="B1624" s="16" t="inlineStr">
        <is>
          <t>Backend</t>
        </is>
      </c>
      <c r="C1624" s="17" t="inlineStr">
        <is>
          <t>identity-service</t>
        </is>
      </c>
      <c r="D1624" s="16" t="inlineStr">
        <is>
          <t>Unit</t>
        </is>
      </c>
      <c r="E1624" s="17" t="inlineStr">
        <is>
          <t>AccountRecoveryHandlersTest › DatLaiMatKhau</t>
        </is>
      </c>
      <c r="F1624" s="17" t="inlineStr">
        <is>
          <t>gửi hộ thư đặt lại mật khẩu</t>
        </is>
      </c>
      <c r="G1624" s="17" t="inlineStr">
        <is>
          <t>gửi cho thành viên qua Keycloak, nhật ký không chứa email</t>
        </is>
      </c>
      <c r="H1624" s="17" t="inlineStr">
        <is>
          <t>gui_cho_thanh_vien</t>
        </is>
      </c>
      <c r="I1624" s="16" t="inlineStr">
        <is>
          <t>Đạt</t>
        </is>
      </c>
      <c r="J1624" s="16" t="n">
        <v>0.03</v>
      </c>
    </row>
    <row r="1625">
      <c r="A1625" s="16" t="n">
        <v>1621</v>
      </c>
      <c r="B1625" s="16" t="inlineStr">
        <is>
          <t>Backend</t>
        </is>
      </c>
      <c r="C1625" s="17" t="inlineStr">
        <is>
          <t>identity-service</t>
        </is>
      </c>
      <c r="D1625" s="16" t="inlineStr">
        <is>
          <t>Unit</t>
        </is>
      </c>
      <c r="E1625" s="17" t="inlineStr">
        <is>
          <t>AccountRecoveryHandlersTest › DatLaiMatKhau</t>
        </is>
      </c>
      <c r="F1625" s="17" t="inlineStr">
        <is>
          <t>gửi hộ thư đặt lại mật khẩu</t>
        </is>
      </c>
      <c r="G1625" s="17" t="inlineStr">
        <is>
          <t>người ngoài tổ chức: NOT_A_MEMBER, Keycloak không được gọi</t>
        </is>
      </c>
      <c r="H1625" s="17" t="inlineStr">
        <is>
          <t>nguoi_ngoai</t>
        </is>
      </c>
      <c r="I1625" s="16" t="inlineStr">
        <is>
          <t>Đạt</t>
        </is>
      </c>
      <c r="J1625" s="16" t="n">
        <v>0.008</v>
      </c>
    </row>
    <row r="1626">
      <c r="A1626" s="16" t="n">
        <v>1622</v>
      </c>
      <c r="B1626" s="16" t="inlineStr">
        <is>
          <t>Backend</t>
        </is>
      </c>
      <c r="C1626" s="17" t="inlineStr">
        <is>
          <t>identity-service</t>
        </is>
      </c>
      <c r="D1626" s="16" t="inlineStr">
        <is>
          <t>Unit</t>
        </is>
      </c>
      <c r="E1626" s="17" t="inlineStr">
        <is>
          <t>AccountRecoveryHandlersTest › ThuHoiPhien</t>
        </is>
      </c>
      <c r="F1626" s="17" t="inlineStr">
        <is>
          <t>thu hồi phiên</t>
        </is>
      </c>
      <c r="G1626" s="17" t="inlineStr">
        <is>
          <t>vai trò không có ORG_SESSION_REVOKE bị từ chối</t>
        </is>
      </c>
      <c r="H1626" s="17" t="inlineStr">
        <is>
          <t>khong_co_quyen(Role)[1]</t>
        </is>
      </c>
      <c r="I1626" s="16" t="inlineStr">
        <is>
          <t>Đạt</t>
        </is>
      </c>
      <c r="J1626" s="16" t="n">
        <v>0.04</v>
      </c>
    </row>
    <row r="1627">
      <c r="A1627" s="16" t="n">
        <v>1623</v>
      </c>
      <c r="B1627" s="16" t="inlineStr">
        <is>
          <t>Backend</t>
        </is>
      </c>
      <c r="C1627" s="17" t="inlineStr">
        <is>
          <t>identity-service</t>
        </is>
      </c>
      <c r="D1627" s="16" t="inlineStr">
        <is>
          <t>Unit</t>
        </is>
      </c>
      <c r="E1627" s="17" t="inlineStr">
        <is>
          <t>AccountRecoveryHandlersTest › ThuHoiPhien</t>
        </is>
      </c>
      <c r="F1627" s="17" t="inlineStr">
        <is>
          <t>thu hồi phiên</t>
        </is>
      </c>
      <c r="G1627" s="17" t="inlineStr">
        <is>
          <t>vai trò không có ORG_SESSION_REVOKE bị từ chối</t>
        </is>
      </c>
      <c r="H1627" s="17" t="inlineStr">
        <is>
          <t>khong_co_quyen(Role)[2]</t>
        </is>
      </c>
      <c r="I1627" s="16" t="inlineStr">
        <is>
          <t>Đạt</t>
        </is>
      </c>
      <c r="J1627" s="16" t="n">
        <v>0.004</v>
      </c>
    </row>
    <row r="1628">
      <c r="A1628" s="16" t="n">
        <v>1624</v>
      </c>
      <c r="B1628" s="16" t="inlineStr">
        <is>
          <t>Backend</t>
        </is>
      </c>
      <c r="C1628" s="17" t="inlineStr">
        <is>
          <t>identity-service</t>
        </is>
      </c>
      <c r="D1628" s="16" t="inlineStr">
        <is>
          <t>Unit</t>
        </is>
      </c>
      <c r="E1628" s="17" t="inlineStr">
        <is>
          <t>AccountRecoveryHandlersTest › ThuHoiPhien</t>
        </is>
      </c>
      <c r="F1628" s="17" t="inlineStr">
        <is>
          <t>thu hồi phiên</t>
        </is>
      </c>
      <c r="G1628" s="17" t="inlineStr">
        <is>
          <t>thu hồi một phiên: lưu sid kèm người thu hồi, hạn 45 ngày, và dọn hàng quá hạn</t>
        </is>
      </c>
      <c r="H1628" s="17" t="inlineStr">
        <is>
          <t>thu_hoi_mot_phien</t>
        </is>
      </c>
      <c r="I1628" s="16" t="inlineStr">
        <is>
          <t>Đạt</t>
        </is>
      </c>
      <c r="J1628" s="16" t="n">
        <v>0.015</v>
      </c>
    </row>
    <row r="1629">
      <c r="A1629" s="16" t="n">
        <v>1625</v>
      </c>
      <c r="B1629" s="16" t="inlineStr">
        <is>
          <t>Backend</t>
        </is>
      </c>
      <c r="C1629" s="17" t="inlineStr">
        <is>
          <t>identity-service</t>
        </is>
      </c>
      <c r="D1629" s="16" t="inlineStr">
        <is>
          <t>Unit</t>
        </is>
      </c>
      <c r="E1629" s="17" t="inlineStr">
        <is>
          <t>AccountRecoveryHandlersTest › ThuHoiPhien</t>
        </is>
      </c>
      <c r="F1629" s="17" t="inlineStr">
        <is>
          <t>thu hồi phiên</t>
        </is>
      </c>
      <c r="G1629" s="17" t="inlineStr">
        <is>
          <t>quản trị viên thu hồi toàn bộ phiên của thành viên: mốc thu hồi là đúng lúc này</t>
        </is>
      </c>
      <c r="H1629" s="17" t="inlineStr">
        <is>
          <t>thu_hoi_toan_bo</t>
        </is>
      </c>
      <c r="I1629" s="16" t="inlineStr">
        <is>
          <t>Đạt</t>
        </is>
      </c>
      <c r="J1629" s="16" t="n">
        <v>0.01</v>
      </c>
    </row>
    <row r="1630">
      <c r="A1630" s="16" t="n">
        <v>1626</v>
      </c>
      <c r="B1630" s="16" t="inlineStr">
        <is>
          <t>Backend</t>
        </is>
      </c>
      <c r="C1630" s="17" t="inlineStr">
        <is>
          <t>identity-service</t>
        </is>
      </c>
      <c r="D1630" s="16" t="inlineStr">
        <is>
          <t>Unit</t>
        </is>
      </c>
      <c r="E1630" s="17" t="inlineStr">
        <is>
          <t>AccountRecoveryHandlersTest › ThuHoiPhien</t>
        </is>
      </c>
      <c r="F1630" s="17" t="inlineStr">
        <is>
          <t>thu hồi phiên</t>
        </is>
      </c>
      <c r="G1630" s="17" t="inlineStr">
        <is>
          <t>đường nền tảng (không tổ chức) chỉ superadmin, kể cả ORG_OWNER cũng không</t>
        </is>
      </c>
      <c r="H1630" s="17" t="inlineStr">
        <is>
          <t>duong_nen_tang</t>
        </is>
      </c>
      <c r="I1630" s="16" t="inlineStr">
        <is>
          <t>Đạt</t>
        </is>
      </c>
      <c r="J1630" s="16" t="n">
        <v>0.007</v>
      </c>
    </row>
    <row r="1631">
      <c r="A1631" s="16" t="n">
        <v>1627</v>
      </c>
      <c r="B1631" s="16" t="inlineStr">
        <is>
          <t>Backend</t>
        </is>
      </c>
      <c r="C1631" s="17" t="inlineStr">
        <is>
          <t>identity-service</t>
        </is>
      </c>
      <c r="D1631" s="16" t="inlineStr">
        <is>
          <t>Unit</t>
        </is>
      </c>
      <c r="E1631" s="17" t="inlineStr">
        <is>
          <t>AccountRecoveryHandlersTest › ThuHoiPhien</t>
        </is>
      </c>
      <c r="F1631" s="17" t="inlineStr">
        <is>
          <t>thu hồi phiên</t>
        </is>
      </c>
      <c r="G1631" s="17" t="inlineStr">
        <is>
          <t>quản trị viên tổ chức khác không thu hồi được phiên của thành viên tổ chức này</t>
        </is>
      </c>
      <c r="H1631" s="17" t="inlineStr">
        <is>
          <t>quan_tri_to_chuc_khac</t>
        </is>
      </c>
      <c r="I1631" s="16" t="inlineStr">
        <is>
          <t>Đạt</t>
        </is>
      </c>
      <c r="J1631" s="16" t="n">
        <v>0.008</v>
      </c>
    </row>
    <row r="1632">
      <c r="A1632" s="16" t="n">
        <v>1628</v>
      </c>
      <c r="B1632" s="16" t="inlineStr">
        <is>
          <t>Backend</t>
        </is>
      </c>
      <c r="C1632" s="17" t="inlineStr">
        <is>
          <t>identity-service</t>
        </is>
      </c>
      <c r="D1632" s="16" t="inlineStr">
        <is>
          <t>Unit</t>
        </is>
      </c>
      <c r="E1632" s="17" t="inlineStr">
        <is>
          <t>AccountRecoveryHandlersTest › ThuHoiPhien</t>
        </is>
      </c>
      <c r="F1632" s="17" t="inlineStr">
        <is>
          <t>thu hồi phiên</t>
        </is>
      </c>
      <c r="G1632" s="17" t="inlineStr">
        <is>
          <t>người dùng không tồn tại thì USER_NOT_FOUND, không ghi gì</t>
        </is>
      </c>
      <c r="H1632" s="17" t="inlineStr">
        <is>
          <t>khong_ton_tai</t>
        </is>
      </c>
      <c r="I1632" s="16" t="inlineStr">
        <is>
          <t>Đạt</t>
        </is>
      </c>
      <c r="J1632" s="16" t="n">
        <v>0.006</v>
      </c>
    </row>
    <row r="1633">
      <c r="A1633" s="16" t="n">
        <v>1629</v>
      </c>
      <c r="B1633" s="16" t="inlineStr">
        <is>
          <t>Backend</t>
        </is>
      </c>
      <c r="C1633" s="17" t="inlineStr">
        <is>
          <t>identity-service</t>
        </is>
      </c>
      <c r="D1633" s="16" t="inlineStr">
        <is>
          <t>Unit</t>
        </is>
      </c>
      <c r="E1633" s="17" t="inlineStr">
        <is>
          <t>AccountRecoveryHandlersTest › ThuHoiPhien</t>
        </is>
      </c>
      <c r="F1633" s="17" t="inlineStr">
        <is>
          <t>thu hồi phiên</t>
        </is>
      </c>
      <c r="G1633" s="17" t="inlineStr">
        <is>
          <t>người ngoài tổ chức trả NOT_A_MEMBER (404) — không thu hồi được phiên của superadmin</t>
        </is>
      </c>
      <c r="H1633" s="17" t="inlineStr">
        <is>
          <t>nguoi_ngoai</t>
        </is>
      </c>
      <c r="I1633" s="16" t="inlineStr">
        <is>
          <t>Đạt</t>
        </is>
      </c>
      <c r="J1633" s="16" t="n">
        <v>0.007</v>
      </c>
    </row>
    <row r="1634">
      <c r="A1634" s="16" t="n">
        <v>1630</v>
      </c>
      <c r="B1634" s="16" t="inlineStr">
        <is>
          <t>Backend</t>
        </is>
      </c>
      <c r="C1634" s="17" t="inlineStr">
        <is>
          <t>identity-service</t>
        </is>
      </c>
      <c r="D1634" s="16" t="inlineStr">
        <is>
          <t>Unit</t>
        </is>
      </c>
      <c r="E1634" s="17" t="inlineStr">
        <is>
          <t>CreateOrganizationHandlerTest</t>
        </is>
      </c>
      <c r="F1634" s="17" t="inlineStr"/>
      <c r="G1634" s="17" t="inlineStr">
        <is>
          <t>payload sự kiện mang đủ thông tin để gửi thư mời mà không phải gọi ngược lại identity</t>
        </is>
      </c>
      <c r="H1634" s="17" t="inlineStr">
        <is>
          <t>payload_su_kien</t>
        </is>
      </c>
      <c r="I1634" s="16" t="inlineStr">
        <is>
          <t>Đạt</t>
        </is>
      </c>
      <c r="J1634" s="16" t="n">
        <v>0.066</v>
      </c>
    </row>
    <row r="1635">
      <c r="A1635" s="16" t="n">
        <v>1631</v>
      </c>
      <c r="B1635" s="16" t="inlineStr">
        <is>
          <t>Backend</t>
        </is>
      </c>
      <c r="C1635" s="17" t="inlineStr">
        <is>
          <t>identity-service</t>
        </is>
      </c>
      <c r="D1635" s="16" t="inlineStr">
        <is>
          <t>Unit</t>
        </is>
      </c>
      <c r="E1635" s="17" t="inlineStr">
        <is>
          <t>CreateOrganizationHandlerTest</t>
        </is>
      </c>
      <c r="F1635" s="17" t="inlineStr"/>
      <c r="G1635" s="17" t="inlineStr">
        <is>
          <t>tạo tổ chức, lời mời ORG_OWNER, nhật ký và sự kiện outbox trong cùng một lệnh</t>
        </is>
      </c>
      <c r="H1635" s="17" t="inlineStr">
        <is>
          <t>tao_day_du</t>
        </is>
      </c>
      <c r="I1635" s="16" t="inlineStr">
        <is>
          <t>Đạt</t>
        </is>
      </c>
      <c r="J1635" s="16" t="n">
        <v>0.025</v>
      </c>
    </row>
    <row r="1636">
      <c r="A1636" s="16" t="n">
        <v>1632</v>
      </c>
      <c r="B1636" s="16" t="inlineStr">
        <is>
          <t>Backend</t>
        </is>
      </c>
      <c r="C1636" s="17" t="inlineStr">
        <is>
          <t>identity-service</t>
        </is>
      </c>
      <c r="D1636" s="16" t="inlineStr">
        <is>
          <t>Unit</t>
        </is>
      </c>
      <c r="E1636" s="17" t="inlineStr">
        <is>
          <t>CreateOrganizationHandlerTest › SlugTrung</t>
        </is>
      </c>
      <c r="F1636" s="17" t="inlineStr">
        <is>
          <t>slug</t>
        </is>
      </c>
      <c r="G1636" s="17" t="inlineStr">
        <is>
          <t>hết 50 lần thử hậu tố thì báo trùng slug, không lặp vô hạn</t>
        </is>
      </c>
      <c r="H1636" s="17" t="inlineStr">
        <is>
          <t>het_lan_thu</t>
        </is>
      </c>
      <c r="I1636" s="16" t="inlineStr">
        <is>
          <t>Đạt</t>
        </is>
      </c>
      <c r="J1636" s="16" t="n">
        <v>0.049</v>
      </c>
    </row>
    <row r="1637">
      <c r="A1637" s="16" t="n">
        <v>1633</v>
      </c>
      <c r="B1637" s="16" t="inlineStr">
        <is>
          <t>Backend</t>
        </is>
      </c>
      <c r="C1637" s="17" t="inlineStr">
        <is>
          <t>identity-service</t>
        </is>
      </c>
      <c r="D1637" s="16" t="inlineStr">
        <is>
          <t>Unit</t>
        </is>
      </c>
      <c r="E1637" s="17" t="inlineStr">
        <is>
          <t>CreateOrganizationHandlerTest › SlugTrung</t>
        </is>
      </c>
      <c r="F1637" s="17" t="inlineStr">
        <is>
          <t>slug</t>
        </is>
      </c>
      <c r="G1637" s="17" t="inlineStr">
        <is>
          <t>slug gõ tay sai định dạng là lỗi 400 của người gọi, không phải 500</t>
        </is>
      </c>
      <c r="H1637" s="17" t="inlineStr">
        <is>
          <t>slug_go_tay_sai_dinh_dang</t>
        </is>
      </c>
      <c r="I1637" s="16" t="inlineStr">
        <is>
          <t>Đạt</t>
        </is>
      </c>
      <c r="J1637" s="16" t="n">
        <v>0.008</v>
      </c>
    </row>
    <row r="1638">
      <c r="A1638" s="16" t="n">
        <v>1634</v>
      </c>
      <c r="B1638" s="16" t="inlineStr">
        <is>
          <t>Backend</t>
        </is>
      </c>
      <c r="C1638" s="17" t="inlineStr">
        <is>
          <t>identity-service</t>
        </is>
      </c>
      <c r="D1638" s="16" t="inlineStr">
        <is>
          <t>Unit</t>
        </is>
      </c>
      <c r="E1638" s="17" t="inlineStr">
        <is>
          <t>CreateOrganizationHandlerTest › SlugTrung</t>
        </is>
      </c>
      <c r="F1638" s="17" t="inlineStr">
        <is>
          <t>slug</t>
        </is>
      </c>
      <c r="G1638" s="17" t="inlineStr">
        <is>
          <t>tên dài 64 ký tự trùng slug vẫn ra lỗi nghiệp vụ, không phải IllegalArgumentException (500)</t>
        </is>
      </c>
      <c r="H1638" s="17" t="inlineStr">
        <is>
          <t>ten_dai_trung_slug</t>
        </is>
      </c>
      <c r="I1638" s="16" t="inlineStr">
        <is>
          <t>Đạt</t>
        </is>
      </c>
      <c r="J1638" s="16" t="n">
        <v>0.011</v>
      </c>
    </row>
    <row r="1639">
      <c r="A1639" s="16" t="n">
        <v>1635</v>
      </c>
      <c r="B1639" s="16" t="inlineStr">
        <is>
          <t>Backend</t>
        </is>
      </c>
      <c r="C1639" s="17" t="inlineStr">
        <is>
          <t>identity-service</t>
        </is>
      </c>
      <c r="D1639" s="16" t="inlineStr">
        <is>
          <t>Unit</t>
        </is>
      </c>
      <c r="E1639" s="17" t="inlineStr">
        <is>
          <t>CreateOrganizationHandlerTest › SlugTrung</t>
        </is>
      </c>
      <c r="F1639" s="17" t="inlineStr">
        <is>
          <t>slug</t>
        </is>
      </c>
      <c r="G1639" s="17" t="inlineStr">
        <is>
          <t>slug sinh từ tên mà trùng thì tự thêm hậu tố nhỏ nhất còn trống</t>
        </is>
      </c>
      <c r="H1639" s="17" t="inlineStr">
        <is>
          <t>tu_them_hau_to</t>
        </is>
      </c>
      <c r="I1639" s="16" t="inlineStr">
        <is>
          <t>Đạt</t>
        </is>
      </c>
      <c r="J1639" s="16" t="n">
        <v>0.011</v>
      </c>
    </row>
    <row r="1640">
      <c r="A1640" s="16" t="n">
        <v>1636</v>
      </c>
      <c r="B1640" s="16" t="inlineStr">
        <is>
          <t>Backend</t>
        </is>
      </c>
      <c r="C1640" s="17" t="inlineStr">
        <is>
          <t>identity-service</t>
        </is>
      </c>
      <c r="D1640" s="16" t="inlineStr">
        <is>
          <t>Unit</t>
        </is>
      </c>
      <c r="E1640" s="17" t="inlineStr">
        <is>
          <t>CreateOrganizationHandlerTest › SlugTrung</t>
        </is>
      </c>
      <c r="F1640" s="17" t="inlineStr">
        <is>
          <t>slug</t>
        </is>
      </c>
      <c r="G1640" s="17" t="inlineStr">
        <is>
          <t>slug gõ tay mà trùng thì báo lỗi, không tự đổi thành slug khác người ta không chọn</t>
        </is>
      </c>
      <c r="H1640" s="17" t="inlineStr">
        <is>
          <t>slug_go_tay_trung</t>
        </is>
      </c>
      <c r="I1640" s="16" t="inlineStr">
        <is>
          <t>Đạt</t>
        </is>
      </c>
      <c r="J1640" s="16" t="n">
        <v>0.019</v>
      </c>
    </row>
    <row r="1641">
      <c r="A1641" s="16" t="n">
        <v>1637</v>
      </c>
      <c r="B1641" s="16" t="inlineStr">
        <is>
          <t>Backend</t>
        </is>
      </c>
      <c r="C1641" s="17" t="inlineStr">
        <is>
          <t>identity-service</t>
        </is>
      </c>
      <c r="D1641" s="16" t="inlineStr">
        <is>
          <t>Unit</t>
        </is>
      </c>
      <c r="E1641" s="17" t="inlineStr">
        <is>
          <t>CreateOrganizationHandlerTest › UyQuyen</t>
        </is>
      </c>
      <c r="F1641" s="17" t="inlineStr">
        <is>
          <t>uỷ quyền</t>
        </is>
      </c>
      <c r="G1641" s="17" t="inlineStr">
        <is>
          <t>chưa đăng nhập thì 401, không phải 403</t>
        </is>
      </c>
      <c r="H1641" s="17" t="inlineStr">
        <is>
          <t>chua_dang_nhap</t>
        </is>
      </c>
      <c r="I1641" s="16" t="inlineStr">
        <is>
          <t>Đạt</t>
        </is>
      </c>
      <c r="J1641" s="16" t="n">
        <v>0.004</v>
      </c>
    </row>
    <row r="1642">
      <c r="A1642" s="16" t="n">
        <v>1638</v>
      </c>
      <c r="B1642" s="16" t="inlineStr">
        <is>
          <t>Backend</t>
        </is>
      </c>
      <c r="C1642" s="17" t="inlineStr">
        <is>
          <t>identity-service</t>
        </is>
      </c>
      <c r="D1642" s="16" t="inlineStr">
        <is>
          <t>Unit</t>
        </is>
      </c>
      <c r="E1642" s="17" t="inlineStr">
        <is>
          <t>CreateOrganizationHandlerTest › UyQuyen</t>
        </is>
      </c>
      <c r="F1642" s="17" t="inlineStr">
        <is>
          <t>uỷ quyền</t>
        </is>
      </c>
      <c r="G1642" s="17" t="inlineStr">
        <is>
          <t>chủ sở hữu của một tổ chức khác không tạo được tổ chức</t>
        </is>
      </c>
      <c r="H1642" s="17" t="inlineStr">
        <is>
          <t>nguoi_cua_to_chuc_khong_tao_duoc</t>
        </is>
      </c>
      <c r="I1642" s="16" t="inlineStr">
        <is>
          <t>Đạt</t>
        </is>
      </c>
      <c r="J1642" s="16" t="n">
        <v>0.004</v>
      </c>
    </row>
    <row r="1643">
      <c r="A1643" s="16" t="n">
        <v>1639</v>
      </c>
      <c r="B1643" s="16" t="inlineStr">
        <is>
          <t>Backend</t>
        </is>
      </c>
      <c r="C1643" s="17" t="inlineStr">
        <is>
          <t>identity-service</t>
        </is>
      </c>
      <c r="D1643" s="16" t="inlineStr">
        <is>
          <t>Unit</t>
        </is>
      </c>
      <c r="E1643" s="17" t="inlineStr">
        <is>
          <t>InvitationLifecycleHandlersTest › ChapNhan</t>
        </is>
      </c>
      <c r="F1643" s="17" t="inlineStr">
        <is>
          <t>chấp nhận lời mời</t>
        </is>
      </c>
      <c r="G1643" s="17" t="inlineStr">
        <is>
          <t>đã là thành viên thì ALREADY_A_MEMBER, không tạo membership thứ hai</t>
        </is>
      </c>
      <c r="H1643" s="17" t="inlineStr">
        <is>
          <t>da_la_thanh_vien</t>
        </is>
      </c>
      <c r="I1643" s="16" t="inlineStr">
        <is>
          <t>Đạt</t>
        </is>
      </c>
      <c r="J1643" s="16" t="n">
        <v>0.005</v>
      </c>
    </row>
    <row r="1644">
      <c r="A1644" s="16" t="n">
        <v>1640</v>
      </c>
      <c r="B1644" s="16" t="inlineStr">
        <is>
          <t>Backend</t>
        </is>
      </c>
      <c r="C1644" s="17" t="inlineStr">
        <is>
          <t>identity-service</t>
        </is>
      </c>
      <c r="D1644" s="16" t="inlineStr">
        <is>
          <t>Unit</t>
        </is>
      </c>
      <c r="E1644" s="17" t="inlineStr">
        <is>
          <t>InvitationLifecycleHandlersTest › ChapNhan</t>
        </is>
      </c>
      <c r="F1644" s="17" t="inlineStr">
        <is>
          <t>chấp nhận lời mời</t>
        </is>
      </c>
      <c r="G1644" s="17" t="inlineStr">
        <is>
          <t>chưa đăng nhập thì 401 trước khi tra lời mời</t>
        </is>
      </c>
      <c r="H1644" s="17" t="inlineStr">
        <is>
          <t>chua_dang_nhap</t>
        </is>
      </c>
      <c r="I1644" s="16" t="inlineStr">
        <is>
          <t>Đạt</t>
        </is>
      </c>
      <c r="J1644" s="16" t="n">
        <v>0.006</v>
      </c>
    </row>
    <row r="1645">
      <c r="A1645" s="16" t="n">
        <v>1641</v>
      </c>
      <c r="B1645" s="16" t="inlineStr">
        <is>
          <t>Backend</t>
        </is>
      </c>
      <c r="C1645" s="17" t="inlineStr">
        <is>
          <t>identity-service</t>
        </is>
      </c>
      <c r="D1645" s="16" t="inlineStr">
        <is>
          <t>Unit</t>
        </is>
      </c>
      <c r="E1645" s="17" t="inlineStr">
        <is>
          <t>InvitationLifecycleHandlersTest › ChapNhan</t>
        </is>
      </c>
      <c r="F1645" s="17" t="inlineStr">
        <is>
          <t>chấp nhận lời mời</t>
        </is>
      </c>
      <c r="G1645" s="17" t="inlineStr">
        <is>
          <t>lời mời soát vé phát từ trước khi có mục Nhân sự không còn dùng được</t>
        </is>
      </c>
      <c r="H1645" s="17" t="inlineStr">
        <is>
          <t>loi_moi_staff_cu</t>
        </is>
      </c>
      <c r="I1645" s="16" t="inlineStr">
        <is>
          <t>Đạt</t>
        </is>
      </c>
      <c r="J1645" s="16" t="n">
        <v>0.008999999999999999</v>
      </c>
    </row>
    <row r="1646">
      <c r="A1646" s="16" t="n">
        <v>1642</v>
      </c>
      <c r="B1646" s="16" t="inlineStr">
        <is>
          <t>Backend</t>
        </is>
      </c>
      <c r="C1646" s="17" t="inlineStr">
        <is>
          <t>identity-service</t>
        </is>
      </c>
      <c r="D1646" s="16" t="inlineStr">
        <is>
          <t>Unit</t>
        </is>
      </c>
      <c r="E1646" s="17" t="inlineStr">
        <is>
          <t>InvitationLifecycleHandlersTest › ChapNhan</t>
        </is>
      </c>
      <c r="F1646" s="17" t="inlineStr">
        <is>
          <t>chấp nhận lời mời</t>
        </is>
      </c>
      <c r="G1646" s="17" t="inlineStr">
        <is>
          <t>đúng email: thành thành viên, lời mời bị đánh dấu đã dùng, phát member.joined</t>
        </is>
      </c>
      <c r="H1646" s="17" t="inlineStr">
        <is>
          <t>dung_email</t>
        </is>
      </c>
      <c r="I1646" s="16" t="inlineStr">
        <is>
          <t>Đạt</t>
        </is>
      </c>
      <c r="J1646" s="16" t="n">
        <v>0.011</v>
      </c>
    </row>
    <row r="1647">
      <c r="A1647" s="16" t="n">
        <v>1643</v>
      </c>
      <c r="B1647" s="16" t="inlineStr">
        <is>
          <t>Backend</t>
        </is>
      </c>
      <c r="C1647" s="17" t="inlineStr">
        <is>
          <t>identity-service</t>
        </is>
      </c>
      <c r="D1647" s="16" t="inlineStr">
        <is>
          <t>Unit</t>
        </is>
      </c>
      <c r="E1647" s="17" t="inlineStr">
        <is>
          <t>InvitationLifecycleHandlersTest › ChapNhan</t>
        </is>
      </c>
      <c r="F1647" s="17" t="inlineStr">
        <is>
          <t>chấp nhận lời mời</t>
        </is>
      </c>
      <c r="G1647" s="17" t="inlineStr">
        <is>
          <t>tra bằng token thô: hash của token là khoá tra cứu, token thô không đi xuống database</t>
        </is>
      </c>
      <c r="H1647" s="17" t="inlineStr">
        <is>
          <t>tra_bang_token</t>
        </is>
      </c>
      <c r="I1647" s="16" t="inlineStr">
        <is>
          <t>Đạt</t>
        </is>
      </c>
      <c r="J1647" s="16" t="n">
        <v>0.005</v>
      </c>
    </row>
    <row r="1648">
      <c r="A1648" s="16" t="n">
        <v>1644</v>
      </c>
      <c r="B1648" s="16" t="inlineStr">
        <is>
          <t>Backend</t>
        </is>
      </c>
      <c r="C1648" s="17" t="inlineStr">
        <is>
          <t>identity-service</t>
        </is>
      </c>
      <c r="D1648" s="16" t="inlineStr">
        <is>
          <t>Unit</t>
        </is>
      </c>
      <c r="E1648" s="17" t="inlineStr">
        <is>
          <t>InvitationLifecycleHandlersTest › ChapNhan</t>
        </is>
      </c>
      <c r="F1648" s="17" t="inlineStr">
        <is>
          <t>chấp nhận lời mời</t>
        </is>
      </c>
      <c r="G1648" s="17" t="inlineStr">
        <is>
          <t>token không khớp lời mời nào thì INVITATION_INVALID</t>
        </is>
      </c>
      <c r="H1648" s="17" t="inlineStr">
        <is>
          <t>token_sai</t>
        </is>
      </c>
      <c r="I1648" s="16" t="inlineStr">
        <is>
          <t>Đạt</t>
        </is>
      </c>
      <c r="J1648" s="16" t="n">
        <v>0.004</v>
      </c>
    </row>
    <row r="1649">
      <c r="A1649" s="16" t="n">
        <v>1645</v>
      </c>
      <c r="B1649" s="16" t="inlineStr">
        <is>
          <t>Backend</t>
        </is>
      </c>
      <c r="C1649" s="17" t="inlineStr">
        <is>
          <t>identity-service</t>
        </is>
      </c>
      <c r="D1649" s="16" t="inlineStr">
        <is>
          <t>Unit</t>
        </is>
      </c>
      <c r="E1649" s="17" t="inlineStr">
        <is>
          <t>InvitationLifecycleHandlersTest › ChapNhan</t>
        </is>
      </c>
      <c r="F1649" s="17" t="inlineStr">
        <is>
          <t>chấp nhận lời mời</t>
        </is>
      </c>
      <c r="G1649" s="17" t="inlineStr">
        <is>
          <t>lời mời hết hạn thì INVITATION_EXPIRED (410)</t>
        </is>
      </c>
      <c r="H1649" s="17" t="inlineStr">
        <is>
          <t>het_han</t>
        </is>
      </c>
      <c r="I1649" s="16" t="inlineStr">
        <is>
          <t>Đạt</t>
        </is>
      </c>
      <c r="J1649" s="16" t="n">
        <v>0.005</v>
      </c>
    </row>
    <row r="1650">
      <c r="A1650" s="16" t="n">
        <v>1646</v>
      </c>
      <c r="B1650" s="16" t="inlineStr">
        <is>
          <t>Backend</t>
        </is>
      </c>
      <c r="C1650" s="17" t="inlineStr">
        <is>
          <t>identity-service</t>
        </is>
      </c>
      <c r="D1650" s="16" t="inlineStr">
        <is>
          <t>Unit</t>
        </is>
      </c>
      <c r="E1650" s="17" t="inlineStr">
        <is>
          <t>InvitationLifecycleHandlersTest › ChapNhan</t>
        </is>
      </c>
      <c r="F1650" s="17" t="inlineStr">
        <is>
          <t>chấp nhận lời mời</t>
        </is>
      </c>
      <c r="G1650" s="17" t="inlineStr">
        <is>
          <t>người khác cầm được token cũng không dùng được: EMAIL_MISMATCH, lời mời còn nguyên</t>
        </is>
      </c>
      <c r="H1650" s="17" t="inlineStr">
        <is>
          <t>email_khac</t>
        </is>
      </c>
      <c r="I1650" s="16" t="inlineStr">
        <is>
          <t>Đạt</t>
        </is>
      </c>
      <c r="J1650" s="16" t="n">
        <v>0.008999999999999999</v>
      </c>
    </row>
    <row r="1651">
      <c r="A1651" s="16" t="n">
        <v>1647</v>
      </c>
      <c r="B1651" s="16" t="inlineStr">
        <is>
          <t>Backend</t>
        </is>
      </c>
      <c r="C1651" s="17" t="inlineStr">
        <is>
          <t>identity-service</t>
        </is>
      </c>
      <c r="D1651" s="16" t="inlineStr">
        <is>
          <t>Unit</t>
        </is>
      </c>
      <c r="E1651" s="17" t="inlineStr">
        <is>
          <t>InvitationLifecycleHandlersTest › ChapNhan</t>
        </is>
      </c>
      <c r="F1651" s="17" t="inlineStr">
        <is>
          <t>chấp nhận lời mời</t>
        </is>
      </c>
      <c r="G1651" s="17" t="inlineStr">
        <is>
          <t>lời mời đã dùng thì INVITATION_ALREADY_USED (409), không phải hết hạn</t>
        </is>
      </c>
      <c r="H1651" s="17" t="inlineStr">
        <is>
          <t>da_dung</t>
        </is>
      </c>
      <c r="I1651" s="16" t="inlineStr">
        <is>
          <t>Đạt</t>
        </is>
      </c>
      <c r="J1651" s="16" t="n">
        <v>0.002</v>
      </c>
    </row>
    <row r="1652">
      <c r="A1652" s="16" t="n">
        <v>1648</v>
      </c>
      <c r="B1652" s="16" t="inlineStr">
        <is>
          <t>Backend</t>
        </is>
      </c>
      <c r="C1652" s="17" t="inlineStr">
        <is>
          <t>identity-service</t>
        </is>
      </c>
      <c r="D1652" s="16" t="inlineStr">
        <is>
          <t>Unit</t>
        </is>
      </c>
      <c r="E1652" s="17" t="inlineStr">
        <is>
          <t>InvitationLifecycleHandlersTest › ThuHoi</t>
        </is>
      </c>
      <c r="F1652" s="17" t="inlineStr">
        <is>
          <t>thu hồi lời mời</t>
        </is>
      </c>
      <c r="G1652" s="17" t="inlineStr">
        <is>
          <t>ORG_ADMIN thu hồi lời mời chưa dùng: xoá hẳn dòng và ghi nhật ký</t>
        </is>
      </c>
      <c r="H1652" s="17" t="inlineStr">
        <is>
          <t>thu_hoi</t>
        </is>
      </c>
      <c r="I1652" s="16" t="inlineStr">
        <is>
          <t>Đạt</t>
        </is>
      </c>
      <c r="J1652" s="16" t="n">
        <v>0.008999999999999999</v>
      </c>
    </row>
    <row r="1653">
      <c r="A1653" s="16" t="n">
        <v>1649</v>
      </c>
      <c r="B1653" s="16" t="inlineStr">
        <is>
          <t>Backend</t>
        </is>
      </c>
      <c r="C1653" s="17" t="inlineStr">
        <is>
          <t>identity-service</t>
        </is>
      </c>
      <c r="D1653" s="16" t="inlineStr">
        <is>
          <t>Unit</t>
        </is>
      </c>
      <c r="E1653" s="17" t="inlineStr">
        <is>
          <t>InvitationLifecycleHandlersTest › ThuHoi</t>
        </is>
      </c>
      <c r="F1653" s="17" t="inlineStr">
        <is>
          <t>thu hồi lời mời</t>
        </is>
      </c>
      <c r="G1653" s="17" t="inlineStr">
        <is>
          <t>EVENT_MANAGER không thu hồi được lời mời</t>
        </is>
      </c>
      <c r="H1653" s="17" t="inlineStr">
        <is>
          <t>quan_ly_su_kien</t>
        </is>
      </c>
      <c r="I1653" s="16" t="inlineStr">
        <is>
          <t>Đạt</t>
        </is>
      </c>
      <c r="J1653" s="16" t="n">
        <v>0.003</v>
      </c>
    </row>
    <row r="1654">
      <c r="A1654" s="16" t="n">
        <v>1650</v>
      </c>
      <c r="B1654" s="16" t="inlineStr">
        <is>
          <t>Backend</t>
        </is>
      </c>
      <c r="C1654" s="17" t="inlineStr">
        <is>
          <t>identity-service</t>
        </is>
      </c>
      <c r="D1654" s="16" t="inlineStr">
        <is>
          <t>Unit</t>
        </is>
      </c>
      <c r="E1654" s="17" t="inlineStr">
        <is>
          <t>InvitationLifecycleHandlersTest › ThuHoi</t>
        </is>
      </c>
      <c r="F1654" s="17" t="inlineStr">
        <is>
          <t>thu hồi lời mời</t>
        </is>
      </c>
      <c r="G1654" s="17" t="inlineStr">
        <is>
          <t>lời mời của tổ chức khác trả INVITATION_INVALID như không tồn tại, không xoá gì</t>
        </is>
      </c>
      <c r="H1654" s="17" t="inlineStr">
        <is>
          <t>loi_moi_cua_to_chuc_khac</t>
        </is>
      </c>
      <c r="I1654" s="16" t="inlineStr">
        <is>
          <t>Đạt</t>
        </is>
      </c>
      <c r="J1654" s="16" t="n">
        <v>0.004</v>
      </c>
    </row>
    <row r="1655">
      <c r="A1655" s="16" t="n">
        <v>1651</v>
      </c>
      <c r="B1655" s="16" t="inlineStr">
        <is>
          <t>Backend</t>
        </is>
      </c>
      <c r="C1655" s="17" t="inlineStr">
        <is>
          <t>identity-service</t>
        </is>
      </c>
      <c r="D1655" s="16" t="inlineStr">
        <is>
          <t>Unit</t>
        </is>
      </c>
      <c r="E1655" s="17" t="inlineStr">
        <is>
          <t>InvitationLifecycleHandlersTest › ThuHoi</t>
        </is>
      </c>
      <c r="F1655" s="17" t="inlineStr">
        <is>
          <t>thu hồi lời mời</t>
        </is>
      </c>
      <c r="G1655" s="17" t="inlineStr">
        <is>
          <t>lời mời không tồn tại thì INVITATION_INVALID</t>
        </is>
      </c>
      <c r="H1655" s="17" t="inlineStr">
        <is>
          <t>khong_ton_tai</t>
        </is>
      </c>
      <c r="I1655" s="16" t="inlineStr">
        <is>
          <t>Đạt</t>
        </is>
      </c>
      <c r="J1655" s="16" t="n">
        <v>0.005</v>
      </c>
    </row>
    <row r="1656">
      <c r="A1656" s="16" t="n">
        <v>1652</v>
      </c>
      <c r="B1656" s="16" t="inlineStr">
        <is>
          <t>Backend</t>
        </is>
      </c>
      <c r="C1656" s="17" t="inlineStr">
        <is>
          <t>identity-service</t>
        </is>
      </c>
      <c r="D1656" s="16" t="inlineStr">
        <is>
          <t>Unit</t>
        </is>
      </c>
      <c r="E1656" s="17" t="inlineStr">
        <is>
          <t>InvitationLifecycleHandlersTest › ThuHoi</t>
        </is>
      </c>
      <c r="F1656" s="17" t="inlineStr">
        <is>
          <t>thu hồi lời mời</t>
        </is>
      </c>
      <c r="G1656" s="17" t="inlineStr">
        <is>
          <t>lời mời đã dùng không thu hồi được — phải gỡ thành viên</t>
        </is>
      </c>
      <c r="H1656" s="17" t="inlineStr">
        <is>
          <t>da_dung</t>
        </is>
      </c>
      <c r="I1656" s="16" t="inlineStr">
        <is>
          <t>Đạt</t>
        </is>
      </c>
      <c r="J1656" s="16" t="n">
        <v>0.005</v>
      </c>
    </row>
    <row r="1657">
      <c r="A1657" s="16" t="n">
        <v>1653</v>
      </c>
      <c r="B1657" s="16" t="inlineStr">
        <is>
          <t>Backend</t>
        </is>
      </c>
      <c r="C1657" s="17" t="inlineStr">
        <is>
          <t>identity-service</t>
        </is>
      </c>
      <c r="D1657" s="16" t="inlineStr">
        <is>
          <t>Unit</t>
        </is>
      </c>
      <c r="E1657" s="17" t="inlineStr">
        <is>
          <t>InviteMemberHandlerTest</t>
        </is>
      </c>
      <c r="F1657" s="17" t="inlineStr"/>
      <c r="G1657" s="17" t="inlineStr">
        <is>
          <t>ORG_ADMIN của tổ chức khác không mời vào tổ chức này được</t>
        </is>
      </c>
      <c r="H1657" s="17" t="inlineStr">
        <is>
          <t>admin_to_chuc_khac</t>
        </is>
      </c>
      <c r="I1657" s="16" t="inlineStr">
        <is>
          <t>Đạt</t>
        </is>
      </c>
      <c r="J1657" s="16" t="n">
        <v>0.004</v>
      </c>
    </row>
    <row r="1658">
      <c r="A1658" s="16" t="n">
        <v>1654</v>
      </c>
      <c r="B1658" s="16" t="inlineStr">
        <is>
          <t>Backend</t>
        </is>
      </c>
      <c r="C1658" s="17" t="inlineStr">
        <is>
          <t>identity-service</t>
        </is>
      </c>
      <c r="D1658" s="16" t="inlineStr">
        <is>
          <t>Unit</t>
        </is>
      </c>
      <c r="E1658" s="17" t="inlineStr">
        <is>
          <t>InviteMemberHandlerTest</t>
        </is>
      </c>
      <c r="F1658" s="17" t="inlineStr"/>
      <c r="G1658" s="17" t="inlineStr">
        <is>
          <t>vai trò ngoài phạm vi tổ chức là lỗi 400 nghiệp vụ, không phải IllegalArgumentException (500)</t>
        </is>
      </c>
      <c r="H1658" s="17" t="inlineStr">
        <is>
          <t>vai_tro_ngoai_pham_vi(Role)[1]</t>
        </is>
      </c>
      <c r="I1658" s="16" t="inlineStr">
        <is>
          <t>Đạt</t>
        </is>
      </c>
      <c r="J1658" s="16" t="n">
        <v>0.004</v>
      </c>
    </row>
    <row r="1659">
      <c r="A1659" s="16" t="n">
        <v>1655</v>
      </c>
      <c r="B1659" s="16" t="inlineStr">
        <is>
          <t>Backend</t>
        </is>
      </c>
      <c r="C1659" s="17" t="inlineStr">
        <is>
          <t>identity-service</t>
        </is>
      </c>
      <c r="D1659" s="16" t="inlineStr">
        <is>
          <t>Unit</t>
        </is>
      </c>
      <c r="E1659" s="17" t="inlineStr">
        <is>
          <t>InviteMemberHandlerTest</t>
        </is>
      </c>
      <c r="F1659" s="17" t="inlineStr"/>
      <c r="G1659" s="17" t="inlineStr">
        <is>
          <t>vai trò ngoài phạm vi tổ chức là lỗi 400 nghiệp vụ, không phải IllegalArgumentException (500)</t>
        </is>
      </c>
      <c r="H1659" s="17" t="inlineStr">
        <is>
          <t>vai_tro_ngoai_pham_vi(Role)[2]</t>
        </is>
      </c>
      <c r="I1659" s="16" t="inlineStr">
        <is>
          <t>Đạt</t>
        </is>
      </c>
      <c r="J1659" s="16" t="n">
        <v>0.003</v>
      </c>
    </row>
    <row r="1660">
      <c r="A1660" s="16" t="n">
        <v>1656</v>
      </c>
      <c r="B1660" s="16" t="inlineStr">
        <is>
          <t>Backend</t>
        </is>
      </c>
      <c r="C1660" s="17" t="inlineStr">
        <is>
          <t>identity-service</t>
        </is>
      </c>
      <c r="D1660" s="16" t="inlineStr">
        <is>
          <t>Unit</t>
        </is>
      </c>
      <c r="E1660" s="17" t="inlineStr">
        <is>
          <t>InviteMemberHandlerTest</t>
        </is>
      </c>
      <c r="F1660" s="17" t="inlineStr"/>
      <c r="G1660" s="17" t="inlineStr">
        <is>
          <t>ORG_ADMIN mời được: lưu lời mời hạn 7 ngày, ghi nhật ký và phát member.invited</t>
        </is>
      </c>
      <c r="H1660" s="17" t="inlineStr">
        <is>
          <t>moi_thanh_cong</t>
        </is>
      </c>
      <c r="I1660" s="16" t="inlineStr">
        <is>
          <t>Đạt</t>
        </is>
      </c>
      <c r="J1660" s="16" t="n">
        <v>0.007</v>
      </c>
    </row>
    <row r="1661">
      <c r="A1661" s="16" t="n">
        <v>1657</v>
      </c>
      <c r="B1661" s="16" t="inlineStr">
        <is>
          <t>Backend</t>
        </is>
      </c>
      <c r="C1661" s="17" t="inlineStr">
        <is>
          <t>identity-service</t>
        </is>
      </c>
      <c r="D1661" s="16" t="inlineStr">
        <is>
          <t>Unit</t>
        </is>
      </c>
      <c r="E1661" s="17" t="inlineStr">
        <is>
          <t>InviteMemberHandlerTest</t>
        </is>
      </c>
      <c r="F1661" s="17" t="inlineStr"/>
      <c r="G1661" s="17" t="inlineStr">
        <is>
          <t>ORG_ADMIN không mời được ai vào vai trò ORG_OWNER — đó là đường vòng của luật 'chỉ OWNER phong OWNER'</t>
        </is>
      </c>
      <c r="H1661" s="17" t="inlineStr">
        <is>
          <t>admin_khong_moi_owner</t>
        </is>
      </c>
      <c r="I1661" s="16" t="inlineStr">
        <is>
          <t>Đạt</t>
        </is>
      </c>
      <c r="J1661" s="16" t="n">
        <v>0.011</v>
      </c>
    </row>
    <row r="1662">
      <c r="A1662" s="16" t="n">
        <v>1658</v>
      </c>
      <c r="B1662" s="16" t="inlineStr">
        <is>
          <t>Backend</t>
        </is>
      </c>
      <c r="C1662" s="17" t="inlineStr">
        <is>
          <t>identity-service</t>
        </is>
      </c>
      <c r="D1662" s="16" t="inlineStr">
        <is>
          <t>Unit</t>
        </is>
      </c>
      <c r="E1662" s="17" t="inlineStr">
        <is>
          <t>InviteMemberHandlerTest</t>
        </is>
      </c>
      <c r="F1662" s="17" t="inlineStr"/>
      <c r="G1662" s="17" t="inlineStr">
        <is>
          <t>ORG_OWNER mời được người khác làm ORG_OWNER</t>
        </is>
      </c>
      <c r="H1662" s="17" t="inlineStr">
        <is>
          <t>owner_moi_owner</t>
        </is>
      </c>
      <c r="I1662" s="16" t="inlineStr">
        <is>
          <t>Đạt</t>
        </is>
      </c>
      <c r="J1662" s="16" t="n">
        <v>0.013</v>
      </c>
    </row>
    <row r="1663">
      <c r="A1663" s="16" t="n">
        <v>1659</v>
      </c>
      <c r="B1663" s="16" t="inlineStr">
        <is>
          <t>Backend</t>
        </is>
      </c>
      <c r="C1663" s="17" t="inlineStr">
        <is>
          <t>identity-service</t>
        </is>
      </c>
      <c r="D1663" s="16" t="inlineStr">
        <is>
          <t>Unit</t>
        </is>
      </c>
      <c r="E1663" s="17" t="inlineStr">
        <is>
          <t>InviteMemberHandlerTest</t>
        </is>
      </c>
      <c r="F1663" s="17" t="inlineStr"/>
      <c r="G1663" s="17" t="inlineStr">
        <is>
          <t>vai trò soát vé không đi qua lời mời bằng mã — kể cả gọi thẳng API</t>
        </is>
      </c>
      <c r="H1663" s="17" t="inlineStr">
        <is>
          <t>khong_moi_staff_bang_ma</t>
        </is>
      </c>
      <c r="I1663" s="16" t="inlineStr">
        <is>
          <t>Đạt</t>
        </is>
      </c>
      <c r="J1663" s="16" t="n">
        <v>0.002</v>
      </c>
    </row>
    <row r="1664">
      <c r="A1664" s="16" t="n">
        <v>1660</v>
      </c>
      <c r="B1664" s="16" t="inlineStr">
        <is>
          <t>Backend</t>
        </is>
      </c>
      <c r="C1664" s="17" t="inlineStr">
        <is>
          <t>identity-service</t>
        </is>
      </c>
      <c r="D1664" s="16" t="inlineStr">
        <is>
          <t>Unit</t>
        </is>
      </c>
      <c r="E1664" s="17" t="inlineStr">
        <is>
          <t>InviteMemberHandlerTest</t>
        </is>
      </c>
      <c r="F1664" s="17" t="inlineStr"/>
      <c r="G1664" s="17" t="inlineStr">
        <is>
          <t>tổ chức bị khoá thì không mời được</t>
        </is>
      </c>
      <c r="H1664" s="17" t="inlineStr">
        <is>
          <t>to_chuc_bi_khoa</t>
        </is>
      </c>
      <c r="I1664" s="16" t="inlineStr">
        <is>
          <t>Đạt</t>
        </is>
      </c>
      <c r="J1664" s="16" t="n">
        <v>0.004</v>
      </c>
    </row>
    <row r="1665">
      <c r="A1665" s="16" t="n">
        <v>1661</v>
      </c>
      <c r="B1665" s="16" t="inlineStr">
        <is>
          <t>Backend</t>
        </is>
      </c>
      <c r="C1665" s="17" t="inlineStr">
        <is>
          <t>identity-service</t>
        </is>
      </c>
      <c r="D1665" s="16" t="inlineStr">
        <is>
          <t>Unit</t>
        </is>
      </c>
      <c r="E1665" s="17" t="inlineStr">
        <is>
          <t>InviteMemberHandlerTest</t>
        </is>
      </c>
      <c r="F1665" s="17" t="inlineStr"/>
      <c r="G1665" s="17" t="inlineStr">
        <is>
          <t>tổ chức không tồn tại (superadmin gọi) thì ORGANIZATION_NOT_FOUND</t>
        </is>
      </c>
      <c r="H1665" s="17" t="inlineStr">
        <is>
          <t>to_chuc_khong_ton_tai</t>
        </is>
      </c>
      <c r="I1665" s="16" t="inlineStr">
        <is>
          <t>Đạt</t>
        </is>
      </c>
      <c r="J1665" s="16" t="n">
        <v>0.003</v>
      </c>
    </row>
    <row r="1666">
      <c r="A1666" s="16" t="n">
        <v>1662</v>
      </c>
      <c r="B1666" s="16" t="inlineStr">
        <is>
          <t>Backend</t>
        </is>
      </c>
      <c r="C1666" s="17" t="inlineStr">
        <is>
          <t>identity-service</t>
        </is>
      </c>
      <c r="D1666" s="16" t="inlineStr">
        <is>
          <t>Unit</t>
        </is>
      </c>
      <c r="E1666" s="17" t="inlineStr">
        <is>
          <t>InviteMemberHandlerTest</t>
        </is>
      </c>
      <c r="F1666" s="17" t="inlineStr"/>
      <c r="G1666" s="17" t="inlineStr">
        <is>
          <t>vai trò dưới ORG_ADMIN không mời được ai</t>
        </is>
      </c>
      <c r="H1666" s="17" t="inlineStr">
        <is>
          <t>vai_tro_thap_khong_moi_duoc(Role)[1]</t>
        </is>
      </c>
      <c r="I1666" s="16" t="inlineStr">
        <is>
          <t>Đạt</t>
        </is>
      </c>
      <c r="J1666" s="16" t="n">
        <v>0.003</v>
      </c>
    </row>
    <row r="1667">
      <c r="A1667" s="16" t="n">
        <v>1663</v>
      </c>
      <c r="B1667" s="16" t="inlineStr">
        <is>
          <t>Backend</t>
        </is>
      </c>
      <c r="C1667" s="17" t="inlineStr">
        <is>
          <t>identity-service</t>
        </is>
      </c>
      <c r="D1667" s="16" t="inlineStr">
        <is>
          <t>Unit</t>
        </is>
      </c>
      <c r="E1667" s="17" t="inlineStr">
        <is>
          <t>InviteMemberHandlerTest</t>
        </is>
      </c>
      <c r="F1667" s="17" t="inlineStr"/>
      <c r="G1667" s="17" t="inlineStr">
        <is>
          <t>vai trò dưới ORG_ADMIN không mời được ai</t>
        </is>
      </c>
      <c r="H1667" s="17" t="inlineStr">
        <is>
          <t>vai_tro_thap_khong_moi_duoc(Role)[2]</t>
        </is>
      </c>
      <c r="I1667" s="16" t="inlineStr">
        <is>
          <t>Đạt</t>
        </is>
      </c>
      <c r="J1667" s="16" t="n">
        <v>0.002</v>
      </c>
    </row>
    <row r="1668">
      <c r="A1668" s="16" t="n">
        <v>1664</v>
      </c>
      <c r="B1668" s="16" t="inlineStr">
        <is>
          <t>Backend</t>
        </is>
      </c>
      <c r="C1668" s="17" t="inlineStr">
        <is>
          <t>identity-service</t>
        </is>
      </c>
      <c r="D1668" s="16" t="inlineStr">
        <is>
          <t>Unit</t>
        </is>
      </c>
      <c r="E1668" s="17" t="inlineStr">
        <is>
          <t>ManageMembersHandlerTest › DoiVaiTro</t>
        </is>
      </c>
      <c r="F1668" s="17" t="inlineStr">
        <is>
          <t>đổi vai trò</t>
        </is>
      </c>
      <c r="G1668" s="17" t="inlineStr">
        <is>
          <t>hạ chủ sở hữu cuối cùng thành LAST_OWNER (409), không phải 500</t>
        </is>
      </c>
      <c r="H1668" s="17" t="inlineStr">
        <is>
          <t>ha_chu_so_huu_cuoi</t>
        </is>
      </c>
      <c r="I1668" s="16" t="inlineStr">
        <is>
          <t>Đạt</t>
        </is>
      </c>
      <c r="J1668" s="16" t="n">
        <v>0.004</v>
      </c>
    </row>
    <row r="1669">
      <c r="A1669" s="16" t="n">
        <v>1665</v>
      </c>
      <c r="B1669" s="16" t="inlineStr">
        <is>
          <t>Backend</t>
        </is>
      </c>
      <c r="C1669" s="17" t="inlineStr">
        <is>
          <t>identity-service</t>
        </is>
      </c>
      <c r="D1669" s="16" t="inlineStr">
        <is>
          <t>Unit</t>
        </is>
      </c>
      <c r="E1669" s="17" t="inlineStr">
        <is>
          <t>ManageMembersHandlerTest › DoiVaiTro</t>
        </is>
      </c>
      <c r="F1669" s="17" t="inlineStr">
        <is>
          <t>đổi vai trò</t>
        </is>
      </c>
      <c r="G1669" s="17" t="inlineStr">
        <is>
          <t>ORG_ADMIN của tổ chức khác bị từ chối dù có đúng quyền ở nhà mình</t>
        </is>
      </c>
      <c r="H1669" s="17" t="inlineStr">
        <is>
          <t>admin_to_chuc_khac</t>
        </is>
      </c>
      <c r="I1669" s="16" t="inlineStr">
        <is>
          <t>Đạt</t>
        </is>
      </c>
      <c r="J1669" s="16" t="n">
        <v>0.002</v>
      </c>
    </row>
    <row r="1670">
      <c r="A1670" s="16" t="n">
        <v>1666</v>
      </c>
      <c r="B1670" s="16" t="inlineStr">
        <is>
          <t>Backend</t>
        </is>
      </c>
      <c r="C1670" s="17" t="inlineStr">
        <is>
          <t>identity-service</t>
        </is>
      </c>
      <c r="D1670" s="16" t="inlineStr">
        <is>
          <t>Unit</t>
        </is>
      </c>
      <c r="E1670" s="17" t="inlineStr">
        <is>
          <t>ManageMembersHandlerTest › DoiVaiTro</t>
        </is>
      </c>
      <c r="F1670" s="17" t="inlineStr">
        <is>
          <t>đổi vai trò</t>
        </is>
      </c>
      <c r="G1670" s="17" t="inlineStr">
        <is>
          <t>vai trò ngoài phạm vi tổ chức bị từ chối bằng lỗi 400, không lưu xuống database</t>
        </is>
      </c>
      <c r="H1670" s="17" t="inlineStr">
        <is>
          <t>vai_tro_ngoai_pham_vi(Role)[1]</t>
        </is>
      </c>
      <c r="I1670" s="16" t="inlineStr">
        <is>
          <t>Đạt</t>
        </is>
      </c>
      <c r="J1670" s="16" t="n">
        <v>0.008</v>
      </c>
    </row>
    <row r="1671">
      <c r="A1671" s="16" t="n">
        <v>1667</v>
      </c>
      <c r="B1671" s="16" t="inlineStr">
        <is>
          <t>Backend</t>
        </is>
      </c>
      <c r="C1671" s="17" t="inlineStr">
        <is>
          <t>identity-service</t>
        </is>
      </c>
      <c r="D1671" s="16" t="inlineStr">
        <is>
          <t>Unit</t>
        </is>
      </c>
      <c r="E1671" s="17" t="inlineStr">
        <is>
          <t>ManageMembersHandlerTest › DoiVaiTro</t>
        </is>
      </c>
      <c r="F1671" s="17" t="inlineStr">
        <is>
          <t>đổi vai trò</t>
        </is>
      </c>
      <c r="G1671" s="17" t="inlineStr">
        <is>
          <t>vai trò ngoài phạm vi tổ chức bị từ chối bằng lỗi 400, không lưu xuống database</t>
        </is>
      </c>
      <c r="H1671" s="17" t="inlineStr">
        <is>
          <t>vai_tro_ngoai_pham_vi(Role)[2]</t>
        </is>
      </c>
      <c r="I1671" s="16" t="inlineStr">
        <is>
          <t>Đạt</t>
        </is>
      </c>
      <c r="J1671" s="16" t="n">
        <v>0.003</v>
      </c>
    </row>
    <row r="1672">
      <c r="A1672" s="16" t="n">
        <v>1668</v>
      </c>
      <c r="B1672" s="16" t="inlineStr">
        <is>
          <t>Backend</t>
        </is>
      </c>
      <c r="C1672" s="17" t="inlineStr">
        <is>
          <t>identity-service</t>
        </is>
      </c>
      <c r="D1672" s="16" t="inlineStr">
        <is>
          <t>Unit</t>
        </is>
      </c>
      <c r="E1672" s="17" t="inlineStr">
        <is>
          <t>ManageMembersHandlerTest › DoiVaiTro</t>
        </is>
      </c>
      <c r="F1672" s="17" t="inlineStr">
        <is>
          <t>đổi vai trò</t>
        </is>
      </c>
      <c r="G1672" s="17" t="inlineStr">
        <is>
          <t>người không thuộc tổ chức thì NOT_A_MEMBER</t>
        </is>
      </c>
      <c r="H1672" s="17" t="inlineStr">
        <is>
          <t>khong_phai_thanh_vien</t>
        </is>
      </c>
      <c r="I1672" s="16" t="inlineStr">
        <is>
          <t>Đạt</t>
        </is>
      </c>
      <c r="J1672" s="16" t="n">
        <v>0.011</v>
      </c>
    </row>
    <row r="1673">
      <c r="A1673" s="16" t="n">
        <v>1669</v>
      </c>
      <c r="B1673" s="16" t="inlineStr">
        <is>
          <t>Backend</t>
        </is>
      </c>
      <c r="C1673" s="17" t="inlineStr">
        <is>
          <t>identity-service</t>
        </is>
      </c>
      <c r="D1673" s="16" t="inlineStr">
        <is>
          <t>Unit</t>
        </is>
      </c>
      <c r="E1673" s="17" t="inlineStr">
        <is>
          <t>ManageMembersHandlerTest › DoiVaiTro</t>
        </is>
      </c>
      <c r="F1673" s="17" t="inlineStr">
        <is>
          <t>đổi vai trò</t>
        </is>
      </c>
      <c r="G1673" s="17" t="inlineStr">
        <is>
          <t>ORG_ADMIN không phong được ai lên ORG_OWNER — đó là tự nâng quyền qua trung gian</t>
        </is>
      </c>
      <c r="H1673" s="17" t="inlineStr">
        <is>
          <t>admin_khong_phong_owner</t>
        </is>
      </c>
      <c r="I1673" s="16" t="inlineStr">
        <is>
          <t>Đạt</t>
        </is>
      </c>
      <c r="J1673" s="16" t="n">
        <v>0.004</v>
      </c>
    </row>
    <row r="1674">
      <c r="A1674" s="16" t="n">
        <v>1670</v>
      </c>
      <c r="B1674" s="16" t="inlineStr">
        <is>
          <t>Backend</t>
        </is>
      </c>
      <c r="C1674" s="17" t="inlineStr">
        <is>
          <t>identity-service</t>
        </is>
      </c>
      <c r="D1674" s="16" t="inlineStr">
        <is>
          <t>Unit</t>
        </is>
      </c>
      <c r="E1674" s="17" t="inlineStr">
        <is>
          <t>ManageMembersHandlerTest › DoiVaiTro</t>
        </is>
      </c>
      <c r="F1674" s="17" t="inlineStr">
        <is>
          <t>đổi vai trò</t>
        </is>
      </c>
      <c r="G1674" s="17" t="inlineStr">
        <is>
          <t>vai trò dưới ORG_ADMIN không đổi được vai trò của ai</t>
        </is>
      </c>
      <c r="H1674" s="17" t="inlineStr">
        <is>
          <t>vai_tro_thap_bi_tu_choi(Role)[1]</t>
        </is>
      </c>
      <c r="I1674" s="16" t="inlineStr">
        <is>
          <t>Đạt</t>
        </is>
      </c>
      <c r="J1674" s="16" t="n">
        <v>0.002</v>
      </c>
    </row>
    <row r="1675">
      <c r="A1675" s="16" t="n">
        <v>1671</v>
      </c>
      <c r="B1675" s="16" t="inlineStr">
        <is>
          <t>Backend</t>
        </is>
      </c>
      <c r="C1675" s="17" t="inlineStr">
        <is>
          <t>identity-service</t>
        </is>
      </c>
      <c r="D1675" s="16" t="inlineStr">
        <is>
          <t>Unit</t>
        </is>
      </c>
      <c r="E1675" s="17" t="inlineStr">
        <is>
          <t>ManageMembersHandlerTest › DoiVaiTro</t>
        </is>
      </c>
      <c r="F1675" s="17" t="inlineStr">
        <is>
          <t>đổi vai trò</t>
        </is>
      </c>
      <c r="G1675" s="17" t="inlineStr">
        <is>
          <t>vai trò dưới ORG_ADMIN không đổi được vai trò của ai</t>
        </is>
      </c>
      <c r="H1675" s="17" t="inlineStr">
        <is>
          <t>vai_tro_thap_bi_tu_choi(Role)[2]</t>
        </is>
      </c>
      <c r="I1675" s="16" t="inlineStr">
        <is>
          <t>Đạt</t>
        </is>
      </c>
      <c r="J1675" s="16" t="n">
        <v>0.002</v>
      </c>
    </row>
    <row r="1676">
      <c r="A1676" s="16" t="n">
        <v>1672</v>
      </c>
      <c r="B1676" s="16" t="inlineStr">
        <is>
          <t>Backend</t>
        </is>
      </c>
      <c r="C1676" s="17" t="inlineStr">
        <is>
          <t>identity-service</t>
        </is>
      </c>
      <c r="D1676" s="16" t="inlineStr">
        <is>
          <t>Unit</t>
        </is>
      </c>
      <c r="E1676" s="17" t="inlineStr">
        <is>
          <t>ManageMembersHandlerTest › DoiVaiTro</t>
        </is>
      </c>
      <c r="F1676" s="17" t="inlineStr">
        <is>
          <t>đổi vai trò</t>
        </is>
      </c>
      <c r="G1676" s="17" t="inlineStr">
        <is>
          <t>ORG_OWNER phong được người khác lên ORG_OWNER</t>
        </is>
      </c>
      <c r="H1676" s="17" t="inlineStr">
        <is>
          <t>owner_phong_owner</t>
        </is>
      </c>
      <c r="I1676" s="16" t="inlineStr">
        <is>
          <t>Đạt</t>
        </is>
      </c>
      <c r="J1676" s="16" t="n">
        <v>0.004</v>
      </c>
    </row>
    <row r="1677">
      <c r="A1677" s="16" t="n">
        <v>1673</v>
      </c>
      <c r="B1677" s="16" t="inlineStr">
        <is>
          <t>Backend</t>
        </is>
      </c>
      <c r="C1677" s="17" t="inlineStr">
        <is>
          <t>identity-service</t>
        </is>
      </c>
      <c r="D1677" s="16" t="inlineStr">
        <is>
          <t>Unit</t>
        </is>
      </c>
      <c r="E1677" s="17" t="inlineStr">
        <is>
          <t>ManageMembersHandlerTest › DoiVaiTro</t>
        </is>
      </c>
      <c r="F1677" s="17" t="inlineStr">
        <is>
          <t>đổi vai trò</t>
        </is>
      </c>
      <c r="G1677" s="17" t="inlineStr">
        <is>
          <t>ORG_ADMIN không hạ được một ORG_OWNER, kể cả khi tổ chức còn chủ sở hữu khác</t>
        </is>
      </c>
      <c r="H1677" s="17" t="inlineStr">
        <is>
          <t>admin_khong_ha_owner</t>
        </is>
      </c>
      <c r="I1677" s="16" t="inlineStr">
        <is>
          <t>Đạt</t>
        </is>
      </c>
      <c r="J1677" s="16" t="n">
        <v>0.011</v>
      </c>
    </row>
    <row r="1678">
      <c r="A1678" s="16" t="n">
        <v>1674</v>
      </c>
      <c r="B1678" s="16" t="inlineStr">
        <is>
          <t>Backend</t>
        </is>
      </c>
      <c r="C1678" s="17" t="inlineStr">
        <is>
          <t>identity-service</t>
        </is>
      </c>
      <c r="D1678" s="16" t="inlineStr">
        <is>
          <t>Unit</t>
        </is>
      </c>
      <c r="E1678" s="17" t="inlineStr">
        <is>
          <t>ManageMembersHandlerTest › DoiVaiTro</t>
        </is>
      </c>
      <c r="F1678" s="17" t="inlineStr">
        <is>
          <t>đổi vai trò</t>
        </is>
      </c>
      <c r="G1678" s="17" t="inlineStr">
        <is>
          <t>không tự nâng vai trò của chính mình, kể cả khi là chủ sở hữu</t>
        </is>
      </c>
      <c r="H1678" s="17" t="inlineStr">
        <is>
          <t>khong_tu_doi_vai_tro</t>
        </is>
      </c>
      <c r="I1678" s="16" t="inlineStr">
        <is>
          <t>Đạt</t>
        </is>
      </c>
      <c r="J1678" s="16" t="n">
        <v>0.004</v>
      </c>
    </row>
    <row r="1679">
      <c r="A1679" s="16" t="n">
        <v>1675</v>
      </c>
      <c r="B1679" s="16" t="inlineStr">
        <is>
          <t>Backend</t>
        </is>
      </c>
      <c r="C1679" s="17" t="inlineStr">
        <is>
          <t>identity-service</t>
        </is>
      </c>
      <c r="D1679" s="16" t="inlineStr">
        <is>
          <t>Unit</t>
        </is>
      </c>
      <c r="E1679" s="17" t="inlineStr">
        <is>
          <t>ManageMembersHandlerTest › DoiVaiTro</t>
        </is>
      </c>
      <c r="F1679" s="17" t="inlineStr">
        <is>
          <t>đổi vai trò</t>
        </is>
      </c>
      <c r="G1679" s="17" t="inlineStr">
        <is>
          <t>tổ chức không tồn tại thì ORGANIZATION_NOT_FOUND</t>
        </is>
      </c>
      <c r="H1679" s="17" t="inlineStr">
        <is>
          <t>to_chuc_khong_ton_tai</t>
        </is>
      </c>
      <c r="I1679" s="16" t="inlineStr">
        <is>
          <t>Đạt</t>
        </is>
      </c>
      <c r="J1679" s="16" t="n">
        <v>0.004</v>
      </c>
    </row>
    <row r="1680">
      <c r="A1680" s="16" t="n">
        <v>1676</v>
      </c>
      <c r="B1680" s="16" t="inlineStr">
        <is>
          <t>Backend</t>
        </is>
      </c>
      <c r="C1680" s="17" t="inlineStr">
        <is>
          <t>identity-service</t>
        </is>
      </c>
      <c r="D1680" s="16" t="inlineStr">
        <is>
          <t>Unit</t>
        </is>
      </c>
      <c r="E1680" s="17" t="inlineStr">
        <is>
          <t>ManageMembersHandlerTest › DoiVaiTro</t>
        </is>
      </c>
      <c r="F1680" s="17" t="inlineStr">
        <is>
          <t>đổi vai trò</t>
        </is>
      </c>
      <c r="G1680" s="17" t="inlineStr">
        <is>
          <t>ORG_ADMIN đổi được vai trò người khác, có ghi nhật ký trước/sau</t>
        </is>
      </c>
      <c r="H1680" s="17" t="inlineStr">
        <is>
          <t>admin_doi_duoc</t>
        </is>
      </c>
      <c r="I1680" s="16" t="inlineStr">
        <is>
          <t>Đạt</t>
        </is>
      </c>
      <c r="J1680" s="16" t="n">
        <v>0.004</v>
      </c>
    </row>
    <row r="1681">
      <c r="A1681" s="16" t="n">
        <v>1677</v>
      </c>
      <c r="B1681" s="16" t="inlineStr">
        <is>
          <t>Backend</t>
        </is>
      </c>
      <c r="C1681" s="17" t="inlineStr">
        <is>
          <t>identity-service</t>
        </is>
      </c>
      <c r="D1681" s="16" t="inlineStr">
        <is>
          <t>Unit</t>
        </is>
      </c>
      <c r="E1681" s="17" t="inlineStr">
        <is>
          <t>ManageMembersHandlerTest › DoiVaiTro</t>
        </is>
      </c>
      <c r="F1681" s="17" t="inlineStr">
        <is>
          <t>đổi vai trò</t>
        </is>
      </c>
      <c r="G1681" s="17" t="inlineStr">
        <is>
          <t>superadmin phong được ORG_OWNER dù không là thành viên</t>
        </is>
      </c>
      <c r="H1681" s="17" t="inlineStr">
        <is>
          <t>superadmin_phong_owner</t>
        </is>
      </c>
      <c r="I1681" s="16" t="inlineStr">
        <is>
          <t>Đạt</t>
        </is>
      </c>
      <c r="J1681" s="16" t="n">
        <v>0.006</v>
      </c>
    </row>
    <row r="1682">
      <c r="A1682" s="16" t="n">
        <v>1678</v>
      </c>
      <c r="B1682" s="16" t="inlineStr">
        <is>
          <t>Backend</t>
        </is>
      </c>
      <c r="C1682" s="17" t="inlineStr">
        <is>
          <t>identity-service</t>
        </is>
      </c>
      <c r="D1682" s="16" t="inlineStr">
        <is>
          <t>Unit</t>
        </is>
      </c>
      <c r="E1682" s="17" t="inlineStr">
        <is>
          <t>ManageMembersHandlerTest › GoThanhVien</t>
        </is>
      </c>
      <c r="F1682" s="17" t="inlineStr">
        <is>
          <t>gỡ thành viên</t>
        </is>
      </c>
      <c r="G1682" s="17" t="inlineStr">
        <is>
          <t>gỡ người không thuộc tổ chức thì NOT_A_MEMBER</t>
        </is>
      </c>
      <c r="H1682" s="17" t="inlineStr">
        <is>
          <t>go_nguoi_ngoai</t>
        </is>
      </c>
      <c r="I1682" s="16" t="inlineStr">
        <is>
          <t>Đạt</t>
        </is>
      </c>
      <c r="J1682" s="16" t="n">
        <v>0.007</v>
      </c>
    </row>
    <row r="1683">
      <c r="A1683" s="16" t="n">
        <v>1679</v>
      </c>
      <c r="B1683" s="16" t="inlineStr">
        <is>
          <t>Backend</t>
        </is>
      </c>
      <c r="C1683" s="17" t="inlineStr">
        <is>
          <t>identity-service</t>
        </is>
      </c>
      <c r="D1683" s="16" t="inlineStr">
        <is>
          <t>Unit</t>
        </is>
      </c>
      <c r="E1683" s="17" t="inlineStr">
        <is>
          <t>ManageMembersHandlerTest › GoThanhVien</t>
        </is>
      </c>
      <c r="F1683" s="17" t="inlineStr">
        <is>
          <t>gỡ thành viên</t>
        </is>
      </c>
      <c r="G1683" s="17" t="inlineStr">
        <is>
          <t>không gỡ được chủ sở hữu cuối cùng, kể cả superadmin</t>
        </is>
      </c>
      <c r="H1683" s="17" t="inlineStr">
        <is>
          <t>khong_go_chu_so_huu_cuoi</t>
        </is>
      </c>
      <c r="I1683" s="16" t="inlineStr">
        <is>
          <t>Đạt</t>
        </is>
      </c>
      <c r="J1683" s="16" t="n">
        <v>0.008999999999999999</v>
      </c>
    </row>
    <row r="1684">
      <c r="A1684" s="16" t="n">
        <v>1680</v>
      </c>
      <c r="B1684" s="16" t="inlineStr">
        <is>
          <t>Backend</t>
        </is>
      </c>
      <c r="C1684" s="17" t="inlineStr">
        <is>
          <t>identity-service</t>
        </is>
      </c>
      <c r="D1684" s="16" t="inlineStr">
        <is>
          <t>Unit</t>
        </is>
      </c>
      <c r="E1684" s="17" t="inlineStr">
        <is>
          <t>ManageMembersHandlerTest › GoThanhVien</t>
        </is>
      </c>
      <c r="F1684" s="17" t="inlineStr">
        <is>
          <t>gỡ thành viên</t>
        </is>
      </c>
      <c r="G1684" s="17" t="inlineStr">
        <is>
          <t>EVENT_MANAGER không gỡ được ai</t>
        </is>
      </c>
      <c r="H1684" s="17" t="inlineStr">
        <is>
          <t>quan_ly_su_kien_khong_go_duoc</t>
        </is>
      </c>
      <c r="I1684" s="16" t="inlineStr">
        <is>
          <t>Đạt</t>
        </is>
      </c>
      <c r="J1684" s="16" t="n">
        <v>0.004</v>
      </c>
    </row>
    <row r="1685">
      <c r="A1685" s="16" t="n">
        <v>1681</v>
      </c>
      <c r="B1685" s="16" t="inlineStr">
        <is>
          <t>Backend</t>
        </is>
      </c>
      <c r="C1685" s="17" t="inlineStr">
        <is>
          <t>identity-service</t>
        </is>
      </c>
      <c r="D1685" s="16" t="inlineStr">
        <is>
          <t>Unit</t>
        </is>
      </c>
      <c r="E1685" s="17" t="inlineStr">
        <is>
          <t>ManageMembersHandlerTest › GoThanhVien</t>
        </is>
      </c>
      <c r="F1685" s="17" t="inlineStr">
        <is>
          <t>gỡ thành viên</t>
        </is>
      </c>
      <c r="G1685" s="17" t="inlineStr">
        <is>
          <t>gỡ người khác thì lưu aggregate và ghi nhật ký vai trò cũ</t>
        </is>
      </c>
      <c r="H1685" s="17" t="inlineStr">
        <is>
          <t>go_nguoi_khac</t>
        </is>
      </c>
      <c r="I1685" s="16" t="inlineStr">
        <is>
          <t>Đạt</t>
        </is>
      </c>
      <c r="J1685" s="16" t="n">
        <v>0.015</v>
      </c>
    </row>
    <row r="1686">
      <c r="A1686" s="16" t="n">
        <v>1682</v>
      </c>
      <c r="B1686" s="16" t="inlineStr">
        <is>
          <t>Backend</t>
        </is>
      </c>
      <c r="C1686" s="17" t="inlineStr">
        <is>
          <t>identity-service</t>
        </is>
      </c>
      <c r="D1686" s="16" t="inlineStr">
        <is>
          <t>Unit</t>
        </is>
      </c>
      <c r="E1686" s="17" t="inlineStr">
        <is>
          <t>ManageMembersHandlerTest › GoThanhVien</t>
        </is>
      </c>
      <c r="F1686" s="17" t="inlineStr">
        <is>
          <t>gỡ thành viên</t>
        </is>
      </c>
      <c r="G1686" s="17" t="inlineStr">
        <is>
          <t>không tự gỡ chính mình</t>
        </is>
      </c>
      <c r="H1686" s="17" t="inlineStr">
        <is>
          <t>khong_tu_go</t>
        </is>
      </c>
      <c r="I1686" s="16" t="inlineStr">
        <is>
          <t>Đạt</t>
        </is>
      </c>
      <c r="J1686" s="16" t="n">
        <v>0.003</v>
      </c>
    </row>
    <row r="1687">
      <c r="A1687" s="16" t="n">
        <v>1683</v>
      </c>
      <c r="B1687" s="16" t="inlineStr">
        <is>
          <t>Backend</t>
        </is>
      </c>
      <c r="C1687" s="17" t="inlineStr">
        <is>
          <t>identity-service</t>
        </is>
      </c>
      <c r="D1687" s="16" t="inlineStr">
        <is>
          <t>Unit</t>
        </is>
      </c>
      <c r="E1687" s="17" t="inlineStr">
        <is>
          <t>OrganizationLifecycleHandlerTest › DoiTen</t>
        </is>
      </c>
      <c r="F1687" s="17" t="inlineStr">
        <is>
          <t>đổi tên</t>
        </is>
      </c>
      <c r="G1687" s="17" t="inlineStr">
        <is>
          <t>ORG_ADMIN đổi được tên, nhật ký ghi tên cũ và tên mới đã cắt khoảng trắng</t>
        </is>
      </c>
      <c r="H1687" s="17" t="inlineStr">
        <is>
          <t>admin_doi_ten</t>
        </is>
      </c>
      <c r="I1687" s="16" t="inlineStr">
        <is>
          <t>Đạt</t>
        </is>
      </c>
      <c r="J1687" s="16" t="n">
        <v>0.004</v>
      </c>
    </row>
    <row r="1688">
      <c r="A1688" s="16" t="n">
        <v>1684</v>
      </c>
      <c r="B1688" s="16" t="inlineStr">
        <is>
          <t>Backend</t>
        </is>
      </c>
      <c r="C1688" s="17" t="inlineStr">
        <is>
          <t>identity-service</t>
        </is>
      </c>
      <c r="D1688" s="16" t="inlineStr">
        <is>
          <t>Unit</t>
        </is>
      </c>
      <c r="E1688" s="17" t="inlineStr">
        <is>
          <t>OrganizationLifecycleHandlerTest › DoiTen</t>
        </is>
      </c>
      <c r="F1688" s="17" t="inlineStr">
        <is>
          <t>đổi tên</t>
        </is>
      </c>
      <c r="G1688" s="17" t="inlineStr">
        <is>
          <t>tên rỗng không được lưu</t>
        </is>
      </c>
      <c r="H1688" s="17" t="inlineStr">
        <is>
          <t>ten_rong</t>
        </is>
      </c>
      <c r="I1688" s="16" t="inlineStr">
        <is>
          <t>Đạt</t>
        </is>
      </c>
      <c r="J1688" s="16" t="n">
        <v>0.005</v>
      </c>
    </row>
    <row r="1689">
      <c r="A1689" s="16" t="n">
        <v>1685</v>
      </c>
      <c r="B1689" s="16" t="inlineStr">
        <is>
          <t>Backend</t>
        </is>
      </c>
      <c r="C1689" s="17" t="inlineStr">
        <is>
          <t>identity-service</t>
        </is>
      </c>
      <c r="D1689" s="16" t="inlineStr">
        <is>
          <t>Unit</t>
        </is>
      </c>
      <c r="E1689" s="17" t="inlineStr">
        <is>
          <t>OrganizationLifecycleHandlerTest › DoiTen</t>
        </is>
      </c>
      <c r="F1689" s="17" t="inlineStr">
        <is>
          <t>đổi tên</t>
        </is>
      </c>
      <c r="G1689" s="17" t="inlineStr">
        <is>
          <t>EVENT_MANAGER không đổi được tên tổ chức</t>
        </is>
      </c>
      <c r="H1689" s="17" t="inlineStr">
        <is>
          <t>quan_ly_su_kien_khong_doi_duoc</t>
        </is>
      </c>
      <c r="I1689" s="16" t="inlineStr">
        <is>
          <t>Đạt</t>
        </is>
      </c>
      <c r="J1689" s="16" t="n">
        <v>0.002</v>
      </c>
    </row>
    <row r="1690">
      <c r="A1690" s="16" t="n">
        <v>1686</v>
      </c>
      <c r="B1690" s="16" t="inlineStr">
        <is>
          <t>Backend</t>
        </is>
      </c>
      <c r="C1690" s="17" t="inlineStr">
        <is>
          <t>identity-service</t>
        </is>
      </c>
      <c r="D1690" s="16" t="inlineStr">
        <is>
          <t>Unit</t>
        </is>
      </c>
      <c r="E1690" s="17" t="inlineStr">
        <is>
          <t>OrganizationLifecycleHandlerTest › Khoa</t>
        </is>
      </c>
      <c r="F1690" s="17" t="inlineStr">
        <is>
          <t>khoá tổ chức</t>
        </is>
      </c>
      <c r="G1690" s="17" t="inlineStr">
        <is>
          <t>khoá tổ chức đã bị khoá thì báo ORGANIZATION_SUSPENDED, không ghi nhật ký lần hai</t>
        </is>
      </c>
      <c r="H1690" s="17" t="inlineStr">
        <is>
          <t>khoa_hai_lan</t>
        </is>
      </c>
      <c r="I1690" s="16" t="inlineStr">
        <is>
          <t>Đạt</t>
        </is>
      </c>
      <c r="J1690" s="16" t="n">
        <v>0.005</v>
      </c>
    </row>
    <row r="1691">
      <c r="A1691" s="16" t="n">
        <v>1687</v>
      </c>
      <c r="B1691" s="16" t="inlineStr">
        <is>
          <t>Backend</t>
        </is>
      </c>
      <c r="C1691" s="17" t="inlineStr">
        <is>
          <t>identity-service</t>
        </is>
      </c>
      <c r="D1691" s="16" t="inlineStr">
        <is>
          <t>Unit</t>
        </is>
      </c>
      <c r="E1691" s="17" t="inlineStr">
        <is>
          <t>OrganizationLifecycleHandlerTest › Khoa</t>
        </is>
      </c>
      <c r="F1691" s="17" t="inlineStr">
        <is>
          <t>khoá tổ chức</t>
        </is>
      </c>
      <c r="G1691" s="17" t="inlineStr">
        <is>
          <t>chủ sở hữu và quản trị viên tổ chức không tự khoá được tổ chức mình</t>
        </is>
      </c>
      <c r="H1691" s="17" t="inlineStr">
        <is>
          <t>to_chuc_khong_tu_khoa(Role)[1]</t>
        </is>
      </c>
      <c r="I1691" s="16" t="inlineStr">
        <is>
          <t>Đạt</t>
        </is>
      </c>
      <c r="J1691" s="16" t="n">
        <v>0.002</v>
      </c>
    </row>
    <row r="1692">
      <c r="A1692" s="16" t="n">
        <v>1688</v>
      </c>
      <c r="B1692" s="16" t="inlineStr">
        <is>
          <t>Backend</t>
        </is>
      </c>
      <c r="C1692" s="17" t="inlineStr">
        <is>
          <t>identity-service</t>
        </is>
      </c>
      <c r="D1692" s="16" t="inlineStr">
        <is>
          <t>Unit</t>
        </is>
      </c>
      <c r="E1692" s="17" t="inlineStr">
        <is>
          <t>OrganizationLifecycleHandlerTest › Khoa</t>
        </is>
      </c>
      <c r="F1692" s="17" t="inlineStr">
        <is>
          <t>khoá tổ chức</t>
        </is>
      </c>
      <c r="G1692" s="17" t="inlineStr">
        <is>
          <t>chủ sở hữu và quản trị viên tổ chức không tự khoá được tổ chức mình</t>
        </is>
      </c>
      <c r="H1692" s="17" t="inlineStr">
        <is>
          <t>to_chuc_khong_tu_khoa(Role)[2]</t>
        </is>
      </c>
      <c r="I1692" s="16" t="inlineStr">
        <is>
          <t>Đạt</t>
        </is>
      </c>
      <c r="J1692" s="16" t="n">
        <v>0.002</v>
      </c>
    </row>
    <row r="1693">
      <c r="A1693" s="16" t="n">
        <v>1689</v>
      </c>
      <c r="B1693" s="16" t="inlineStr">
        <is>
          <t>Backend</t>
        </is>
      </c>
      <c r="C1693" s="17" t="inlineStr">
        <is>
          <t>identity-service</t>
        </is>
      </c>
      <c r="D1693" s="16" t="inlineStr">
        <is>
          <t>Unit</t>
        </is>
      </c>
      <c r="E1693" s="17" t="inlineStr">
        <is>
          <t>OrganizationLifecycleHandlerTest › Khoa</t>
        </is>
      </c>
      <c r="F1693" s="17" t="inlineStr">
        <is>
          <t>khoá tổ chức</t>
        </is>
      </c>
      <c r="G1693" s="17" t="inlineStr">
        <is>
          <t>tổ chức không tồn tại thì ORGANIZATION_NOT_FOUND</t>
        </is>
      </c>
      <c r="H1693" s="17" t="inlineStr">
        <is>
          <t>khong_ton_tai</t>
        </is>
      </c>
      <c r="I1693" s="16" t="inlineStr">
        <is>
          <t>Đạt</t>
        </is>
      </c>
      <c r="J1693" s="16" t="n">
        <v>0.003</v>
      </c>
    </row>
    <row r="1694">
      <c r="A1694" s="16" t="n">
        <v>1690</v>
      </c>
      <c r="B1694" s="16" t="inlineStr">
        <is>
          <t>Backend</t>
        </is>
      </c>
      <c r="C1694" s="17" t="inlineStr">
        <is>
          <t>identity-service</t>
        </is>
      </c>
      <c r="D1694" s="16" t="inlineStr">
        <is>
          <t>Unit</t>
        </is>
      </c>
      <c r="E1694" s="17" t="inlineStr">
        <is>
          <t>OrganizationLifecycleHandlerTest › Khoa</t>
        </is>
      </c>
      <c r="F1694" s="17" t="inlineStr">
        <is>
          <t>khoá tổ chức</t>
        </is>
      </c>
      <c r="G1694" s="17" t="inlineStr">
        <is>
          <t>superadmin khoá được tổ chức đang hoạt động, có ghi nhật ký ACTIVE → SUSPENDED</t>
        </is>
      </c>
      <c r="H1694" s="17" t="inlineStr">
        <is>
          <t>superadmin_khoa</t>
        </is>
      </c>
      <c r="I1694" s="16" t="inlineStr">
        <is>
          <t>Đạt</t>
        </is>
      </c>
      <c r="J1694" s="16" t="n">
        <v>0.005</v>
      </c>
    </row>
    <row r="1695">
      <c r="A1695" s="16" t="n">
        <v>1691</v>
      </c>
      <c r="B1695" s="16" t="inlineStr">
        <is>
          <t>Backend</t>
        </is>
      </c>
      <c r="C1695" s="17" t="inlineStr">
        <is>
          <t>identity-service</t>
        </is>
      </c>
      <c r="D1695" s="16" t="inlineStr">
        <is>
          <t>Unit</t>
        </is>
      </c>
      <c r="E1695" s="17" t="inlineStr">
        <is>
          <t>OrganizationLifecycleHandlerTest › MoKhoa</t>
        </is>
      </c>
      <c r="F1695" s="17" t="inlineStr">
        <is>
          <t>mở khoá tổ chức</t>
        </is>
      </c>
      <c r="G1695" s="17" t="inlineStr">
        <is>
          <t>chủ sở hữu tổ chức bị khoá không tự mở khoá được</t>
        </is>
      </c>
      <c r="H1695" s="17" t="inlineStr">
        <is>
          <t>chu_so_huu_khong_tu_mo</t>
        </is>
      </c>
      <c r="I1695" s="16" t="inlineStr">
        <is>
          <t>Đạt</t>
        </is>
      </c>
      <c r="J1695" s="16" t="n">
        <v>0.003</v>
      </c>
    </row>
    <row r="1696">
      <c r="A1696" s="16" t="n">
        <v>1692</v>
      </c>
      <c r="B1696" s="16" t="inlineStr">
        <is>
          <t>Backend</t>
        </is>
      </c>
      <c r="C1696" s="17" t="inlineStr">
        <is>
          <t>identity-service</t>
        </is>
      </c>
      <c r="D1696" s="16" t="inlineStr">
        <is>
          <t>Unit</t>
        </is>
      </c>
      <c r="E1696" s="17" t="inlineStr">
        <is>
          <t>OrganizationLifecycleHandlerTest › MoKhoa</t>
        </is>
      </c>
      <c r="F1696" s="17" t="inlineStr">
        <is>
          <t>mở khoá tổ chức</t>
        </is>
      </c>
      <c r="G1696" s="17" t="inlineStr">
        <is>
          <t>mở khoá một tổ chức đang hoạt động không được để lại dòng nhật ký nói sai trạng thái trước đó</t>
        </is>
      </c>
      <c r="H1696" s="17" t="inlineStr">
        <is>
          <t>mo_khoa_to_chuc_dang_hoat_dong</t>
        </is>
      </c>
      <c r="I1696" s="16" t="inlineStr">
        <is>
          <t>Đạt</t>
        </is>
      </c>
      <c r="J1696" s="16" t="n">
        <v>0.017</v>
      </c>
    </row>
    <row r="1697">
      <c r="A1697" s="16" t="n">
        <v>1693</v>
      </c>
      <c r="B1697" s="16" t="inlineStr">
        <is>
          <t>Backend</t>
        </is>
      </c>
      <c r="C1697" s="17" t="inlineStr">
        <is>
          <t>identity-service</t>
        </is>
      </c>
      <c r="D1697" s="16" t="inlineStr">
        <is>
          <t>Unit</t>
        </is>
      </c>
      <c r="E1697" s="17" t="inlineStr">
        <is>
          <t>OrganizationLifecycleHandlerTest › MoKhoa</t>
        </is>
      </c>
      <c r="F1697" s="17" t="inlineStr">
        <is>
          <t>mở khoá tổ chức</t>
        </is>
      </c>
      <c r="G1697" s="17" t="inlineStr">
        <is>
          <t>superadmin mở khoá được, nhật ký ghi SUSPENDED → ACTIVE</t>
        </is>
      </c>
      <c r="H1697" s="17" t="inlineStr">
        <is>
          <t>superadmin_mo_khoa</t>
        </is>
      </c>
      <c r="I1697" s="16" t="inlineStr">
        <is>
          <t>Đạt</t>
        </is>
      </c>
      <c r="J1697" s="16" t="n">
        <v>0.004</v>
      </c>
    </row>
    <row r="1698">
      <c r="A1698" s="16" t="n">
        <v>1694</v>
      </c>
      <c r="B1698" s="16" t="inlineStr">
        <is>
          <t>Backend</t>
        </is>
      </c>
      <c r="C1698" s="17" t="inlineStr">
        <is>
          <t>identity-service</t>
        </is>
      </c>
      <c r="D1698" s="16" t="inlineStr">
        <is>
          <t>Unit</t>
        </is>
      </c>
      <c r="E1698" s="17" t="inlineStr">
        <is>
          <t>PlatformHandlersTest › CapThanhVien</t>
        </is>
      </c>
      <c r="F1698" s="17" t="inlineStr">
        <is>
          <t>cấp thẳng thành viên</t>
        </is>
      </c>
      <c r="G1698" s="17" t="inlineStr">
        <is>
          <t>đã là thành viên thì ALREADY_A_MEMBER</t>
        </is>
      </c>
      <c r="H1698" s="17" t="inlineStr">
        <is>
          <t>da_la_thanh_vien</t>
        </is>
      </c>
      <c r="I1698" s="16" t="inlineStr">
        <is>
          <t>Đạt</t>
        </is>
      </c>
      <c r="J1698" s="16" t="n">
        <v>0.004</v>
      </c>
    </row>
    <row r="1699">
      <c r="A1699" s="16" t="n">
        <v>1695</v>
      </c>
      <c r="B1699" s="16" t="inlineStr">
        <is>
          <t>Backend</t>
        </is>
      </c>
      <c r="C1699" s="17" t="inlineStr">
        <is>
          <t>identity-service</t>
        </is>
      </c>
      <c r="D1699" s="16" t="inlineStr">
        <is>
          <t>Unit</t>
        </is>
      </c>
      <c r="E1699" s="17" t="inlineStr">
        <is>
          <t>PlatformHandlersTest › CapThanhVien</t>
        </is>
      </c>
      <c r="F1699" s="17" t="inlineStr">
        <is>
          <t>cấp thẳng thành viên</t>
        </is>
      </c>
      <c r="G1699" s="17" t="inlineStr">
        <is>
          <t>vai trò ngoài phạm vi tổ chức là VALIDATION_FAILED</t>
        </is>
      </c>
      <c r="H1699" s="17" t="inlineStr">
        <is>
          <t>vai_tro_ngoai_pham_vi(Role)[1]</t>
        </is>
      </c>
      <c r="I1699" s="16" t="inlineStr">
        <is>
          <t>Đạt</t>
        </is>
      </c>
      <c r="J1699" s="16" t="n">
        <v>0.003</v>
      </c>
    </row>
    <row r="1700">
      <c r="A1700" s="16" t="n">
        <v>1696</v>
      </c>
      <c r="B1700" s="16" t="inlineStr">
        <is>
          <t>Backend</t>
        </is>
      </c>
      <c r="C1700" s="17" t="inlineStr">
        <is>
          <t>identity-service</t>
        </is>
      </c>
      <c r="D1700" s="16" t="inlineStr">
        <is>
          <t>Unit</t>
        </is>
      </c>
      <c r="E1700" s="17" t="inlineStr">
        <is>
          <t>PlatformHandlersTest › CapThanhVien</t>
        </is>
      </c>
      <c r="F1700" s="17" t="inlineStr">
        <is>
          <t>cấp thẳng thành viên</t>
        </is>
      </c>
      <c r="G1700" s="17" t="inlineStr">
        <is>
          <t>vai trò ngoài phạm vi tổ chức là VALIDATION_FAILED</t>
        </is>
      </c>
      <c r="H1700" s="17" t="inlineStr">
        <is>
          <t>vai_tro_ngoai_pham_vi(Role)[2]</t>
        </is>
      </c>
      <c r="I1700" s="16" t="inlineStr">
        <is>
          <t>Đạt</t>
        </is>
      </c>
      <c r="J1700" s="16" t="n">
        <v>0.001</v>
      </c>
    </row>
    <row r="1701">
      <c r="A1701" s="16" t="n">
        <v>1697</v>
      </c>
      <c r="B1701" s="16" t="inlineStr">
        <is>
          <t>Backend</t>
        </is>
      </c>
      <c r="C1701" s="17" t="inlineStr">
        <is>
          <t>identity-service</t>
        </is>
      </c>
      <c r="D1701" s="16" t="inlineStr">
        <is>
          <t>Unit</t>
        </is>
      </c>
      <c r="E1701" s="17" t="inlineStr">
        <is>
          <t>PlatformHandlersTest › CapThanhVien</t>
        </is>
      </c>
      <c r="F1701" s="17" t="inlineStr">
        <is>
          <t>cấp thẳng thành viên</t>
        </is>
      </c>
      <c r="G1701" s="17" t="inlineStr">
        <is>
          <t>người đã từng đăng nhập: GRANTED, có hiệu lực ngay, email được chuẩn hoá trước khi tra</t>
        </is>
      </c>
      <c r="H1701" s="17" t="inlineStr">
        <is>
          <t>da_dang_nhap</t>
        </is>
      </c>
      <c r="I1701" s="16" t="inlineStr">
        <is>
          <t>Đạt</t>
        </is>
      </c>
      <c r="J1701" s="16" t="n">
        <v>0.005</v>
      </c>
    </row>
    <row r="1702">
      <c r="A1702" s="16" t="n">
        <v>1698</v>
      </c>
      <c r="B1702" s="16" t="inlineStr">
        <is>
          <t>Backend</t>
        </is>
      </c>
      <c r="C1702" s="17" t="inlineStr">
        <is>
          <t>identity-service</t>
        </is>
      </c>
      <c r="D1702" s="16" t="inlineStr">
        <is>
          <t>Unit</t>
        </is>
      </c>
      <c r="E1702" s="17" t="inlineStr">
        <is>
          <t>PlatformHandlersTest › CapThanhVien</t>
        </is>
      </c>
      <c r="F1702" s="17" t="inlineStr">
        <is>
          <t>cấp thẳng thành viên</t>
        </is>
      </c>
      <c r="G1702" s="17" t="inlineStr">
        <is>
          <t>vai trò tổ chức, kể cả chủ sở hữu, không dùng được đường của nền tảng</t>
        </is>
      </c>
      <c r="H1702" s="17" t="inlineStr">
        <is>
          <t>to_chuc_khong_dung_duoc(Role)[1]</t>
        </is>
      </c>
      <c r="I1702" s="16" t="inlineStr">
        <is>
          <t>Đạt</t>
        </is>
      </c>
      <c r="J1702" s="16" t="n">
        <v>0.005</v>
      </c>
    </row>
    <row r="1703">
      <c r="A1703" s="16" t="n">
        <v>1699</v>
      </c>
      <c r="B1703" s="16" t="inlineStr">
        <is>
          <t>Backend</t>
        </is>
      </c>
      <c r="C1703" s="17" t="inlineStr">
        <is>
          <t>identity-service</t>
        </is>
      </c>
      <c r="D1703" s="16" t="inlineStr">
        <is>
          <t>Unit</t>
        </is>
      </c>
      <c r="E1703" s="17" t="inlineStr">
        <is>
          <t>PlatformHandlersTest › CapThanhVien</t>
        </is>
      </c>
      <c r="F1703" s="17" t="inlineStr">
        <is>
          <t>cấp thẳng thành viên</t>
        </is>
      </c>
      <c r="G1703" s="17" t="inlineStr">
        <is>
          <t>vai trò tổ chức, kể cả chủ sở hữu, không dùng được đường của nền tảng</t>
        </is>
      </c>
      <c r="H1703" s="17" t="inlineStr">
        <is>
          <t>to_chuc_khong_dung_duoc(Role)[2]</t>
        </is>
      </c>
      <c r="I1703" s="16" t="inlineStr">
        <is>
          <t>Đạt</t>
        </is>
      </c>
      <c r="J1703" s="16" t="n">
        <v>0.003</v>
      </c>
    </row>
    <row r="1704">
      <c r="A1704" s="16" t="n">
        <v>1700</v>
      </c>
      <c r="B1704" s="16" t="inlineStr">
        <is>
          <t>Backend</t>
        </is>
      </c>
      <c r="C1704" s="17" t="inlineStr">
        <is>
          <t>identity-service</t>
        </is>
      </c>
      <c r="D1704" s="16" t="inlineStr">
        <is>
          <t>Unit</t>
        </is>
      </c>
      <c r="E1704" s="17" t="inlineStr">
        <is>
          <t>PlatformHandlersTest › CapThanhVien</t>
        </is>
      </c>
      <c r="F1704" s="17" t="inlineStr">
        <is>
          <t>cấp thẳng thành viên</t>
        </is>
      </c>
      <c r="G1704" s="17" t="inlineStr">
        <is>
          <t>vai trò soát vé đi qua mục Nhân sự, kể cả với superadmin</t>
        </is>
      </c>
      <c r="H1704" s="17" t="inlineStr">
        <is>
          <t>staff_phai_qua_nhan_su</t>
        </is>
      </c>
      <c r="I1704" s="16" t="inlineStr">
        <is>
          <t>Đạt</t>
        </is>
      </c>
      <c r="J1704" s="16" t="n">
        <v>0.002</v>
      </c>
    </row>
    <row r="1705">
      <c r="A1705" s="16" t="n">
        <v>1701</v>
      </c>
      <c r="B1705" s="16" t="inlineStr">
        <is>
          <t>Backend</t>
        </is>
      </c>
      <c r="C1705" s="17" t="inlineStr">
        <is>
          <t>identity-service</t>
        </is>
      </c>
      <c r="D1705" s="16" t="inlineStr">
        <is>
          <t>Unit</t>
        </is>
      </c>
      <c r="E1705" s="17" t="inlineStr">
        <is>
          <t>PlatformHandlersTest › CapThanhVien</t>
        </is>
      </c>
      <c r="F1705" s="17" t="inlineStr">
        <is>
          <t>cấp thẳng thành viên</t>
        </is>
      </c>
      <c r="G1705" s="17" t="inlineStr">
        <is>
          <t>tổ chức bị khoá thì không cấp được</t>
        </is>
      </c>
      <c r="H1705" s="17" t="inlineStr">
        <is>
          <t>to_chuc_bi_khoa</t>
        </is>
      </c>
      <c r="I1705" s="16" t="inlineStr">
        <is>
          <t>Đạt</t>
        </is>
      </c>
      <c r="J1705" s="16" t="n">
        <v>0.001</v>
      </c>
    </row>
    <row r="1706">
      <c r="A1706" s="16" t="n">
        <v>1702</v>
      </c>
      <c r="B1706" s="16" t="inlineStr">
        <is>
          <t>Backend</t>
        </is>
      </c>
      <c r="C1706" s="17" t="inlineStr">
        <is>
          <t>identity-service</t>
        </is>
      </c>
      <c r="D1706" s="16" t="inlineStr">
        <is>
          <t>Unit</t>
        </is>
      </c>
      <c r="E1706" s="17" t="inlineStr">
        <is>
          <t>PlatformHandlersTest › CapThanhVien</t>
        </is>
      </c>
      <c r="F1706" s="17" t="inlineStr">
        <is>
          <t>cấp thẳng thành viên</t>
        </is>
      </c>
      <c r="G1706" s="17" t="inlineStr">
        <is>
          <t>người chưa từng đăng nhập: rơi về lời mời, không bịa bản ghi người dùng</t>
        </is>
      </c>
      <c r="H1706" s="17" t="inlineStr">
        <is>
          <t>chua_dang_nhap_thi_moi</t>
        </is>
      </c>
      <c r="I1706" s="16" t="inlineStr">
        <is>
          <t>Đạt</t>
        </is>
      </c>
      <c r="J1706" s="16" t="n">
        <v>0.003</v>
      </c>
    </row>
    <row r="1707">
      <c r="A1707" s="16" t="n">
        <v>1703</v>
      </c>
      <c r="B1707" s="16" t="inlineStr">
        <is>
          <t>Backend</t>
        </is>
      </c>
      <c r="C1707" s="17" t="inlineStr">
        <is>
          <t>identity-service</t>
        </is>
      </c>
      <c r="D1707" s="16" t="inlineStr">
        <is>
          <t>Unit</t>
        </is>
      </c>
      <c r="E1707" s="17" t="inlineStr">
        <is>
          <t>PlatformHandlersTest › NhatKyNgoai</t>
        </is>
      </c>
      <c r="F1707" s="17" t="inlineStr">
        <is>
          <t>ghi nhật ký hộ service khác</t>
        </is>
      </c>
      <c r="G1707" s="17" t="inlineStr">
        <is>
          <t>thiếu người thực hiện, tổ chức hay loại đối tượng đều bị từ chối</t>
        </is>
      </c>
      <c r="H1707" s="17" t="inlineStr">
        <is>
          <t>thieu_truong</t>
        </is>
      </c>
      <c r="I1707" s="16" t="inlineStr">
        <is>
          <t>Đạt</t>
        </is>
      </c>
      <c r="J1707" s="16" t="n">
        <v>0.006</v>
      </c>
    </row>
    <row r="1708">
      <c r="A1708" s="16" t="n">
        <v>1704</v>
      </c>
      <c r="B1708" s="16" t="inlineStr">
        <is>
          <t>Backend</t>
        </is>
      </c>
      <c r="C1708" s="17" t="inlineStr">
        <is>
          <t>identity-service</t>
        </is>
      </c>
      <c r="D1708" s="16" t="inlineStr">
        <is>
          <t>Unit</t>
        </is>
      </c>
      <c r="E1708" s="17" t="inlineStr">
        <is>
          <t>PlatformHandlersTest › NhatKyNgoai</t>
        </is>
      </c>
      <c r="F1708" s="17" t="inlineStr">
        <is>
          <t>ghi nhật ký hộ service khác</t>
        </is>
      </c>
      <c r="G1708" s="17" t="inlineStr">
        <is>
          <t>hành động ngoài danh sách bị từ chối — không dựng được dòng nhật ký giả của identity</t>
        </is>
      </c>
      <c r="H1708" s="17" t="inlineStr">
        <is>
          <t>hanh_dong_ngoai_danh_sach(String)[1]</t>
        </is>
      </c>
      <c r="I1708" s="16" t="inlineStr">
        <is>
          <t>Đạt</t>
        </is>
      </c>
      <c r="J1708" s="16" t="n">
        <v>0.005</v>
      </c>
    </row>
    <row r="1709">
      <c r="A1709" s="16" t="n">
        <v>1705</v>
      </c>
      <c r="B1709" s="16" t="inlineStr">
        <is>
          <t>Backend</t>
        </is>
      </c>
      <c r="C1709" s="17" t="inlineStr">
        <is>
          <t>identity-service</t>
        </is>
      </c>
      <c r="D1709" s="16" t="inlineStr">
        <is>
          <t>Unit</t>
        </is>
      </c>
      <c r="E1709" s="17" t="inlineStr">
        <is>
          <t>PlatformHandlersTest › NhatKyNgoai</t>
        </is>
      </c>
      <c r="F1709" s="17" t="inlineStr">
        <is>
          <t>ghi nhật ký hộ service khác</t>
        </is>
      </c>
      <c r="G1709" s="17" t="inlineStr">
        <is>
          <t>hành động ngoài danh sách bị từ chối — không dựng được dòng nhật ký giả của identity</t>
        </is>
      </c>
      <c r="H1709" s="17" t="inlineStr">
        <is>
          <t>hanh_dong_ngoai_danh_sach(String)[2]</t>
        </is>
      </c>
      <c r="I1709" s="16" t="inlineStr">
        <is>
          <t>Đạt</t>
        </is>
      </c>
      <c r="J1709" s="16" t="n">
        <v>0.002</v>
      </c>
    </row>
    <row r="1710">
      <c r="A1710" s="16" t="n">
        <v>1706</v>
      </c>
      <c r="B1710" s="16" t="inlineStr">
        <is>
          <t>Backend</t>
        </is>
      </c>
      <c r="C1710" s="17" t="inlineStr">
        <is>
          <t>identity-service</t>
        </is>
      </c>
      <c r="D1710" s="16" t="inlineStr">
        <is>
          <t>Unit</t>
        </is>
      </c>
      <c r="E1710" s="17" t="inlineStr">
        <is>
          <t>PlatformHandlersTest › NhatKyNgoai</t>
        </is>
      </c>
      <c r="F1710" s="17" t="inlineStr">
        <is>
          <t>ghi nhật ký hộ service khác</t>
        </is>
      </c>
      <c r="G1710" s="17" t="inlineStr">
        <is>
          <t>hành động ngoài danh sách bị từ chối — không dựng được dòng nhật ký giả của identity</t>
        </is>
      </c>
      <c r="H1710" s="17" t="inlineStr">
        <is>
          <t>hanh_dong_ngoai_danh_sach(String)[3]</t>
        </is>
      </c>
      <c r="I1710" s="16" t="inlineStr">
        <is>
          <t>Đạt</t>
        </is>
      </c>
      <c r="J1710" s="16" t="n">
        <v>0.002</v>
      </c>
    </row>
    <row r="1711">
      <c r="A1711" s="16" t="n">
        <v>1707</v>
      </c>
      <c r="B1711" s="16" t="inlineStr">
        <is>
          <t>Backend</t>
        </is>
      </c>
      <c r="C1711" s="17" t="inlineStr">
        <is>
          <t>identity-service</t>
        </is>
      </c>
      <c r="D1711" s="16" t="inlineStr">
        <is>
          <t>Unit</t>
        </is>
      </c>
      <c r="E1711" s="17" t="inlineStr">
        <is>
          <t>PlatformHandlersTest › NhatKyNgoai</t>
        </is>
      </c>
      <c r="F1711" s="17" t="inlineStr">
        <is>
          <t>ghi nhật ký hộ service khác</t>
        </is>
      </c>
      <c r="G1711" s="17" t="inlineStr">
        <is>
          <t>hành động ngoài danh sách bị từ chối — không dựng được dòng nhật ký giả của identity</t>
        </is>
      </c>
      <c r="H1711" s="17" t="inlineStr">
        <is>
          <t>hanh_dong_ngoai_danh_sach(String)[4]</t>
        </is>
      </c>
      <c r="I1711" s="16" t="inlineStr">
        <is>
          <t>Đạt</t>
        </is>
      </c>
      <c r="J1711" s="16" t="n">
        <v>0.001</v>
      </c>
    </row>
    <row r="1712">
      <c r="A1712" s="16" t="n">
        <v>1708</v>
      </c>
      <c r="B1712" s="16" t="inlineStr">
        <is>
          <t>Backend</t>
        </is>
      </c>
      <c r="C1712" s="17" t="inlineStr">
        <is>
          <t>identity-service</t>
        </is>
      </c>
      <c r="D1712" s="16" t="inlineStr">
        <is>
          <t>Unit</t>
        </is>
      </c>
      <c r="E1712" s="17" t="inlineStr">
        <is>
          <t>PlatformHandlersTest › NhatKyNgoai</t>
        </is>
      </c>
      <c r="F1712" s="17" t="inlineStr">
        <is>
          <t>ghi nhật ký hộ service khác</t>
        </is>
      </c>
      <c r="G1712" s="17" t="inlineStr">
        <is>
          <t>chi tiết đúng 20 mục thì được, 21 mục thì bị từ chối</t>
        </is>
      </c>
      <c r="H1712" s="17" t="inlineStr">
        <is>
          <t>tran_chi_tiet</t>
        </is>
      </c>
      <c r="I1712" s="16" t="inlineStr">
        <is>
          <t>Đạt</t>
        </is>
      </c>
      <c r="J1712" s="16" t="n">
        <v>0.01</v>
      </c>
    </row>
    <row r="1713">
      <c r="A1713" s="16" t="n">
        <v>1709</v>
      </c>
      <c r="B1713" s="16" t="inlineStr">
        <is>
          <t>Backend</t>
        </is>
      </c>
      <c r="C1713" s="17" t="inlineStr">
        <is>
          <t>identity-service</t>
        </is>
      </c>
      <c r="D1713" s="16" t="inlineStr">
        <is>
          <t>Unit</t>
        </is>
      </c>
      <c r="E1713" s="17" t="inlineStr">
        <is>
          <t>PlatformHandlersTest › NhatKyNgoai</t>
        </is>
      </c>
      <c r="F1713" s="17" t="inlineStr">
        <is>
          <t>ghi nhật ký hộ service khác</t>
        </is>
      </c>
      <c r="G1713" s="17" t="inlineStr">
        <is>
          <t>hành động trong danh sách đóng được ghi nguyên vẹn</t>
        </is>
      </c>
      <c r="H1713" s="17" t="inlineStr">
        <is>
          <t>hanh_dong_hop_le</t>
        </is>
      </c>
      <c r="I1713" s="16" t="inlineStr">
        <is>
          <t>Đạt</t>
        </is>
      </c>
      <c r="J1713" s="16" t="n">
        <v>0.003</v>
      </c>
    </row>
    <row r="1714">
      <c r="A1714" s="16" t="n">
        <v>1710</v>
      </c>
      <c r="B1714" s="16" t="inlineStr">
        <is>
          <t>Backend</t>
        </is>
      </c>
      <c r="C1714" s="17" t="inlineStr">
        <is>
          <t>identity-service</t>
        </is>
      </c>
      <c r="D1714" s="16" t="inlineStr">
        <is>
          <t>Unit</t>
        </is>
      </c>
      <c r="E1714" s="17" t="inlineStr">
        <is>
          <t>PlatformHandlersTest › TaiKhoan</t>
        </is>
      </c>
      <c r="F1714" s="17" t="inlineStr">
        <is>
          <t>khoá và mở tài khoản</t>
        </is>
      </c>
      <c r="G1714" s="17" t="inlineStr">
        <is>
          <t>khôi phục tài khoản đang hoạt động là no-op</t>
        </is>
      </c>
      <c r="H1714" s="17" t="inlineStr">
        <is>
          <t>khoi_phuc_tai_khoan_dang_hoat_dong</t>
        </is>
      </c>
      <c r="I1714" s="16" t="inlineStr">
        <is>
          <t>Đạt</t>
        </is>
      </c>
      <c r="J1714" s="16" t="n">
        <v>0.003</v>
      </c>
    </row>
    <row r="1715">
      <c r="A1715" s="16" t="n">
        <v>1711</v>
      </c>
      <c r="B1715" s="16" t="inlineStr">
        <is>
          <t>Backend</t>
        </is>
      </c>
      <c r="C1715" s="17" t="inlineStr">
        <is>
          <t>identity-service</t>
        </is>
      </c>
      <c r="D1715" s="16" t="inlineStr">
        <is>
          <t>Unit</t>
        </is>
      </c>
      <c r="E1715" s="17" t="inlineStr">
        <is>
          <t>PlatformHandlersTest › TaiKhoan</t>
        </is>
      </c>
      <c r="F1715" s="17" t="inlineStr">
        <is>
          <t>khoá và mở tài khoản</t>
        </is>
      </c>
      <c r="G1715" s="17" t="inlineStr">
        <is>
          <t>ORG_OWNER không khoá được tài khoản của ai — đây là quyết định của nền tảng</t>
        </is>
      </c>
      <c r="H1715" s="17" t="inlineStr">
        <is>
          <t>chu_to_chuc_khong_khoa_duoc</t>
        </is>
      </c>
      <c r="I1715" s="16" t="inlineStr">
        <is>
          <t>Đạt</t>
        </is>
      </c>
      <c r="J1715" s="16" t="n">
        <v>0.003</v>
      </c>
    </row>
    <row r="1716">
      <c r="A1716" s="16" t="n">
        <v>1712</v>
      </c>
      <c r="B1716" s="16" t="inlineStr">
        <is>
          <t>Backend</t>
        </is>
      </c>
      <c r="C1716" s="17" t="inlineStr">
        <is>
          <t>identity-service</t>
        </is>
      </c>
      <c r="D1716" s="16" t="inlineStr">
        <is>
          <t>Unit</t>
        </is>
      </c>
      <c r="E1716" s="17" t="inlineStr">
        <is>
          <t>PlatformHandlersTest › TaiKhoan</t>
        </is>
      </c>
      <c r="F1716" s="17" t="inlineStr">
        <is>
          <t>khoá và mở tài khoản</t>
        </is>
      </c>
      <c r="G1716" s="17" t="inlineStr">
        <is>
          <t>khôi phục không lùi mốc thu hồi — token bị vô hiệu lúc khoá vẫn phải chết</t>
        </is>
      </c>
      <c r="H1716" s="17" t="inlineStr">
        <is>
          <t>khoi_phuc</t>
        </is>
      </c>
      <c r="I1716" s="16" t="inlineStr">
        <is>
          <t>Đạt</t>
        </is>
      </c>
      <c r="J1716" s="16" t="n">
        <v>0.002</v>
      </c>
    </row>
    <row r="1717">
      <c r="A1717" s="16" t="n">
        <v>1713</v>
      </c>
      <c r="B1717" s="16" t="inlineStr">
        <is>
          <t>Backend</t>
        </is>
      </c>
      <c r="C1717" s="17" t="inlineStr">
        <is>
          <t>identity-service</t>
        </is>
      </c>
      <c r="D1717" s="16" t="inlineStr">
        <is>
          <t>Unit</t>
        </is>
      </c>
      <c r="E1717" s="17" t="inlineStr">
        <is>
          <t>PlatformHandlersTest › TaiKhoan</t>
        </is>
      </c>
      <c r="F1717" s="17" t="inlineStr">
        <is>
          <t>khoá và mở tài khoản</t>
        </is>
      </c>
      <c r="G1717" s="17" t="inlineStr">
        <is>
          <t>lý do null vẫn ghi được nhật ký — Map.of không nhận null</t>
        </is>
      </c>
      <c r="H1717" s="17" t="inlineStr">
        <is>
          <t>ly_do_null</t>
        </is>
      </c>
      <c r="I1717" s="16" t="inlineStr">
        <is>
          <t>Đạt</t>
        </is>
      </c>
      <c r="J1717" s="16" t="n">
        <v>0.004</v>
      </c>
    </row>
    <row r="1718">
      <c r="A1718" s="16" t="n">
        <v>1714</v>
      </c>
      <c r="B1718" s="16" t="inlineStr">
        <is>
          <t>Backend</t>
        </is>
      </c>
      <c r="C1718" s="17" t="inlineStr">
        <is>
          <t>identity-service</t>
        </is>
      </c>
      <c r="D1718" s="16" t="inlineStr">
        <is>
          <t>Unit</t>
        </is>
      </c>
      <c r="E1718" s="17" t="inlineStr">
        <is>
          <t>PlatformHandlersTest › TaiKhoan</t>
        </is>
      </c>
      <c r="F1718" s="17" t="inlineStr">
        <is>
          <t>khoá và mở tài khoản</t>
        </is>
      </c>
      <c r="G1718" s="17" t="inlineStr">
        <is>
          <t>vô hiệu hoá thì đặt DISABLED và thu hồi mọi token phát trước lúc này</t>
        </is>
      </c>
      <c r="H1718" s="17" t="inlineStr">
        <is>
          <t>vo_hieu_hoa</t>
        </is>
      </c>
      <c r="I1718" s="16" t="inlineStr">
        <is>
          <t>Đạt</t>
        </is>
      </c>
      <c r="J1718" s="16" t="n">
        <v>0.003</v>
      </c>
    </row>
    <row r="1719">
      <c r="A1719" s="16" t="n">
        <v>1715</v>
      </c>
      <c r="B1719" s="16" t="inlineStr">
        <is>
          <t>Backend</t>
        </is>
      </c>
      <c r="C1719" s="17" t="inlineStr">
        <is>
          <t>identity-service</t>
        </is>
      </c>
      <c r="D1719" s="16" t="inlineStr">
        <is>
          <t>Unit</t>
        </is>
      </c>
      <c r="E1719" s="17" t="inlineStr">
        <is>
          <t>PlatformHandlersTest › TaiKhoan</t>
        </is>
      </c>
      <c r="F1719" s="17" t="inlineStr">
        <is>
          <t>khoá và mở tài khoản</t>
        </is>
      </c>
      <c r="G1719" s="17" t="inlineStr">
        <is>
          <t>người dùng không tồn tại thì USER_NOT_FOUND</t>
        </is>
      </c>
      <c r="H1719" s="17" t="inlineStr">
        <is>
          <t>khong_ton_tai</t>
        </is>
      </c>
      <c r="I1719" s="16" t="inlineStr">
        <is>
          <t>Đạt</t>
        </is>
      </c>
      <c r="J1719" s="16" t="n">
        <v>0.003</v>
      </c>
    </row>
    <row r="1720">
      <c r="A1720" s="16" t="n">
        <v>1716</v>
      </c>
      <c r="B1720" s="16" t="inlineStr">
        <is>
          <t>Backend</t>
        </is>
      </c>
      <c r="C1720" s="17" t="inlineStr">
        <is>
          <t>identity-service</t>
        </is>
      </c>
      <c r="D1720" s="16" t="inlineStr">
        <is>
          <t>Unit</t>
        </is>
      </c>
      <c r="E1720" s="17" t="inlineStr">
        <is>
          <t>PlatformHandlersTest › TaiKhoan</t>
        </is>
      </c>
      <c r="F1720" s="17" t="inlineStr">
        <is>
          <t>khoá và mở tài khoản</t>
        </is>
      </c>
      <c r="G1720" s="17" t="inlineStr">
        <is>
          <t>superadmin không tự khoá được mình</t>
        </is>
      </c>
      <c r="H1720" s="17" t="inlineStr">
        <is>
          <t>khong_tu_khoa</t>
        </is>
      </c>
      <c r="I1720" s="16" t="inlineStr">
        <is>
          <t>Đạt</t>
        </is>
      </c>
      <c r="J1720" s="16" t="n">
        <v>0.003</v>
      </c>
    </row>
    <row r="1721">
      <c r="A1721" s="16" t="n">
        <v>1717</v>
      </c>
      <c r="B1721" s="16" t="inlineStr">
        <is>
          <t>Backend</t>
        </is>
      </c>
      <c r="C1721" s="17" t="inlineStr">
        <is>
          <t>identity-service</t>
        </is>
      </c>
      <c r="D1721" s="16" t="inlineStr">
        <is>
          <t>Unit</t>
        </is>
      </c>
      <c r="E1721" s="17" t="inlineStr">
        <is>
          <t>PlatformHandlersTest › TaiKhoan</t>
        </is>
      </c>
      <c r="F1721" s="17" t="inlineStr">
        <is>
          <t>khoá và mở tài khoản</t>
        </is>
      </c>
      <c r="G1721" s="17" t="inlineStr">
        <is>
          <t>vô hiệu hoá hai lần là no-op, không ghi nhật ký thừa</t>
        </is>
      </c>
      <c r="H1721" s="17" t="inlineStr">
        <is>
          <t>idempotent</t>
        </is>
      </c>
      <c r="I1721" s="16" t="inlineStr">
        <is>
          <t>Đạt</t>
        </is>
      </c>
      <c r="J1721" s="16" t="n">
        <v>0.003</v>
      </c>
    </row>
    <row r="1722">
      <c r="A1722" s="16" t="n">
        <v>1718</v>
      </c>
      <c r="B1722" s="16" t="inlineStr">
        <is>
          <t>Backend</t>
        </is>
      </c>
      <c r="C1722" s="17" t="inlineStr">
        <is>
          <t>identity-service</t>
        </is>
      </c>
      <c r="D1722" s="16" t="inlineStr">
        <is>
          <t>Unit</t>
        </is>
      </c>
      <c r="E1722" s="17" t="inlineStr">
        <is>
          <t>ProfileAndLimitsHandlersTest › HoSo</t>
        </is>
      </c>
      <c r="F1722" s="17" t="inlineStr">
        <is>
          <t>sửa hồ sơ của chính mình</t>
        </is>
      </c>
      <c r="G1722" s="17" t="inlineStr">
        <is>
          <t>chưa đăng nhập thì 401, không ghi gì</t>
        </is>
      </c>
      <c r="H1722" s="17" t="inlineStr">
        <is>
          <t>chua_dang_nhap</t>
        </is>
      </c>
      <c r="I1722" s="16" t="inlineStr">
        <is>
          <t>Đạt</t>
        </is>
      </c>
      <c r="J1722" s="16" t="n">
        <v>0.004</v>
      </c>
    </row>
    <row r="1723">
      <c r="A1723" s="16" t="n">
        <v>1719</v>
      </c>
      <c r="B1723" s="16" t="inlineStr">
        <is>
          <t>Backend</t>
        </is>
      </c>
      <c r="C1723" s="17" t="inlineStr">
        <is>
          <t>identity-service</t>
        </is>
      </c>
      <c r="D1723" s="16" t="inlineStr">
        <is>
          <t>Unit</t>
        </is>
      </c>
      <c r="E1723" s="17" t="inlineStr">
        <is>
          <t>ProfileAndLimitsHandlersTest › HoSo</t>
        </is>
      </c>
      <c r="F1723" s="17" t="inlineStr">
        <is>
          <t>sửa hồ sơ của chính mình</t>
        </is>
      </c>
      <c r="G1723" s="17" t="inlineStr">
        <is>
          <t>id lấy từ phiên đăng nhập; chuỗi được cắt khoảng trắng</t>
        </is>
      </c>
      <c r="H1723" s="17" t="inlineStr">
        <is>
          <t>sua_ho_so</t>
        </is>
      </c>
      <c r="I1723" s="16" t="inlineStr">
        <is>
          <t>Đạt</t>
        </is>
      </c>
      <c r="J1723" s="16" t="n">
        <v>0.002</v>
      </c>
    </row>
    <row r="1724">
      <c r="A1724" s="16" t="n">
        <v>1720</v>
      </c>
      <c r="B1724" s="16" t="inlineStr">
        <is>
          <t>Backend</t>
        </is>
      </c>
      <c r="C1724" s="17" t="inlineStr">
        <is>
          <t>identity-service</t>
        </is>
      </c>
      <c r="D1724" s="16" t="inlineStr">
        <is>
          <t>Unit</t>
        </is>
      </c>
      <c r="E1724" s="17" t="inlineStr">
        <is>
          <t>ProfileAndLimitsHandlersTest › HoSo</t>
        </is>
      </c>
      <c r="F1724" s="17" t="inlineStr">
        <is>
          <t>sửa hồ sơ của chính mình</t>
        </is>
      </c>
      <c r="G1724" s="17" t="inlineStr">
        <is>
          <t>ô bỏ trống thành null — nghĩa là giữ nguyên, không xoá tên người dùng</t>
        </is>
      </c>
      <c r="H1724" s="17" t="inlineStr">
        <is>
          <t>bo_trong_la_giu_nguyen</t>
        </is>
      </c>
      <c r="I1724" s="16" t="inlineStr">
        <is>
          <t>Đạt</t>
        </is>
      </c>
      <c r="J1724" s="16" t="n">
        <v>0.002</v>
      </c>
    </row>
    <row r="1725">
      <c r="A1725" s="16" t="n">
        <v>1721</v>
      </c>
      <c r="B1725" s="16" t="inlineStr">
        <is>
          <t>Backend</t>
        </is>
      </c>
      <c r="C1725" s="17" t="inlineStr">
        <is>
          <t>identity-service</t>
        </is>
      </c>
      <c r="D1725" s="16" t="inlineStr">
        <is>
          <t>Unit</t>
        </is>
      </c>
      <c r="E1725" s="17" t="inlineStr">
        <is>
          <t>ProfileAndLimitsHandlersTest › TranMuaVe</t>
        </is>
      </c>
      <c r="F1725" s="17" t="inlineStr">
        <is>
          <t>trần mua vé</t>
        </is>
      </c>
      <c r="G1725" s="17" t="inlineStr">
        <is>
          <t>vai trò dưới ORG_ADMIN không đọc cũng không ghi được trần</t>
        </is>
      </c>
      <c r="H1725" s="17" t="inlineStr">
        <is>
          <t>vai_tro_thap(Role)[1]</t>
        </is>
      </c>
      <c r="I1725" s="16" t="inlineStr">
        <is>
          <t>Đạt</t>
        </is>
      </c>
      <c r="J1725" s="16" t="n">
        <v>0.004</v>
      </c>
    </row>
    <row r="1726">
      <c r="A1726" s="16" t="n">
        <v>1722</v>
      </c>
      <c r="B1726" s="16" t="inlineStr">
        <is>
          <t>Backend</t>
        </is>
      </c>
      <c r="C1726" s="17" t="inlineStr">
        <is>
          <t>identity-service</t>
        </is>
      </c>
      <c r="D1726" s="16" t="inlineStr">
        <is>
          <t>Unit</t>
        </is>
      </c>
      <c r="E1726" s="17" t="inlineStr">
        <is>
          <t>ProfileAndLimitsHandlersTest › TranMuaVe</t>
        </is>
      </c>
      <c r="F1726" s="17" t="inlineStr">
        <is>
          <t>trần mua vé</t>
        </is>
      </c>
      <c r="G1726" s="17" t="inlineStr">
        <is>
          <t>vai trò dưới ORG_ADMIN không đọc cũng không ghi được trần</t>
        </is>
      </c>
      <c r="H1726" s="17" t="inlineStr">
        <is>
          <t>vai_tro_thap(Role)[2]</t>
        </is>
      </c>
      <c r="I1726" s="16" t="inlineStr">
        <is>
          <t>Đạt</t>
        </is>
      </c>
      <c r="J1726" s="16" t="n">
        <v>0.001</v>
      </c>
    </row>
    <row r="1727">
      <c r="A1727" s="16" t="n">
        <v>1723</v>
      </c>
      <c r="B1727" s="16" t="inlineStr">
        <is>
          <t>Backend</t>
        </is>
      </c>
      <c r="C1727" s="17" t="inlineStr">
        <is>
          <t>identity-service</t>
        </is>
      </c>
      <c r="D1727" s="16" t="inlineStr">
        <is>
          <t>Unit</t>
        </is>
      </c>
      <c r="E1727" s="17" t="inlineStr">
        <is>
          <t>ProfileAndLimitsHandlersTest › TranMuaVe</t>
        </is>
      </c>
      <c r="F1727" s="17" t="inlineStr">
        <is>
          <t>trần mua vé</t>
        </is>
      </c>
      <c r="G1727" s="17" t="inlineStr">
        <is>
          <t>ORG_ADMIN tổ chức khác không đụng được trần của tổ chức này</t>
        </is>
      </c>
      <c r="H1727" s="17" t="inlineStr">
        <is>
          <t>to_chuc_khac</t>
        </is>
      </c>
      <c r="I1727" s="16" t="inlineStr">
        <is>
          <t>Đạt</t>
        </is>
      </c>
      <c r="J1727" s="16" t="n">
        <v>0.003</v>
      </c>
    </row>
    <row r="1728">
      <c r="A1728" s="16" t="n">
        <v>1724</v>
      </c>
      <c r="B1728" s="16" t="inlineStr">
        <is>
          <t>Backend</t>
        </is>
      </c>
      <c r="C1728" s="17" t="inlineStr">
        <is>
          <t>identity-service</t>
        </is>
      </c>
      <c r="D1728" s="16" t="inlineStr">
        <is>
          <t>Unit</t>
        </is>
      </c>
      <c r="E1728" s="17" t="inlineStr">
        <is>
          <t>ProfileAndLimitsHandlersTest › TranMuaVe</t>
        </is>
      </c>
      <c r="F1728" s="17" t="inlineStr">
        <is>
          <t>trần mua vé</t>
        </is>
      </c>
      <c r="G1728" s="17" t="inlineStr">
        <is>
          <t>ghi cả bộ trần, nhật ký giữ cả giá trị null để phân biệt 'bỏ trống' với 'không gửi'</t>
        </is>
      </c>
      <c r="H1728" s="17" t="inlineStr">
        <is>
          <t>ghi_ca_bo</t>
        </is>
      </c>
      <c r="I1728" s="16" t="inlineStr">
        <is>
          <t>Đạt</t>
        </is>
      </c>
      <c r="J1728" s="16" t="n">
        <v>0.007</v>
      </c>
    </row>
    <row r="1729">
      <c r="A1729" s="16" t="n">
        <v>1725</v>
      </c>
      <c r="B1729" s="16" t="inlineStr">
        <is>
          <t>Backend</t>
        </is>
      </c>
      <c r="C1729" s="17" t="inlineStr">
        <is>
          <t>identity-service</t>
        </is>
      </c>
      <c r="D1729" s="16" t="inlineStr">
        <is>
          <t>Unit</t>
        </is>
      </c>
      <c r="E1729" s="17" t="inlineStr">
        <is>
          <t>ProfileAndLimitsHandlersTest › TranMuaVe</t>
        </is>
      </c>
      <c r="F1729" s="17" t="inlineStr">
        <is>
          <t>trần mua vé</t>
        </is>
      </c>
      <c r="G1729" s="17" t="inlineStr">
        <is>
          <t>chưa khai gì thì đọc ra toàn null — kế thừa trần nền tảng, không phải 'không giới hạn'</t>
        </is>
      </c>
      <c r="H1729" s="17" t="inlineStr">
        <is>
          <t>chua_khai</t>
        </is>
      </c>
      <c r="I1729" s="16" t="inlineStr">
        <is>
          <t>Đạt</t>
        </is>
      </c>
      <c r="J1729" s="16" t="n">
        <v>0.003</v>
      </c>
    </row>
    <row r="1730">
      <c r="A1730" s="16" t="n">
        <v>1726</v>
      </c>
      <c r="B1730" s="16" t="inlineStr">
        <is>
          <t>Backend</t>
        </is>
      </c>
      <c r="C1730" s="17" t="inlineStr">
        <is>
          <t>identity-service</t>
        </is>
      </c>
      <c r="D1730" s="16" t="inlineStr">
        <is>
          <t>Unit</t>
        </is>
      </c>
      <c r="E1730" s="17" t="inlineStr">
        <is>
          <t>StaffInvitationHandlerTest › EmailDaCo</t>
        </is>
      </c>
      <c r="F1730" s="17" t="inlineStr">
        <is>
          <t>mời một email đã có trong hệ thống</t>
        </is>
      </c>
      <c r="G1730" s="17" t="inlineStr">
        <is>
          <t>người đang giữ vai trò khác trong tổ chức: EMAIL_NOT_INVITABLE — không hạ vai trò qua đường mời</t>
        </is>
      </c>
      <c r="H1730" s="17" t="inlineStr">
        <is>
          <t>vai_tro_khac</t>
        </is>
      </c>
      <c r="I1730" s="16" t="inlineStr">
        <is>
          <t>Đạt</t>
        </is>
      </c>
      <c r="J1730" s="16" t="n">
        <v>0.005</v>
      </c>
    </row>
    <row r="1731">
      <c r="A1731" s="16" t="n">
        <v>1727</v>
      </c>
      <c r="B1731" s="16" t="inlineStr">
        <is>
          <t>Backend</t>
        </is>
      </c>
      <c r="C1731" s="17" t="inlineStr">
        <is>
          <t>identity-service</t>
        </is>
      </c>
      <c r="D1731" s="16" t="inlineStr">
        <is>
          <t>Unit</t>
        </is>
      </c>
      <c r="E1731" s="17" t="inlineStr">
        <is>
          <t>StaffInvitationHandlerTest › EmailDaCo</t>
        </is>
      </c>
      <c r="F1731" s="17" t="inlineStr">
        <is>
          <t>mời một email đã có trong hệ thống</t>
        </is>
      </c>
      <c r="G1731" s="17" t="inlineStr">
        <is>
          <t>đã kích hoạt và đã gán đủ sự kiện: ALREADY_STAFF, không ghi lại việc gán</t>
        </is>
      </c>
      <c r="H1731" s="17" t="inlineStr">
        <is>
          <t>da_la_staff</t>
        </is>
      </c>
      <c r="I1731" s="16" t="inlineStr">
        <is>
          <t>Đạt</t>
        </is>
      </c>
      <c r="J1731" s="16" t="n">
        <v>0.005</v>
      </c>
    </row>
    <row r="1732">
      <c r="A1732" s="16" t="n">
        <v>1728</v>
      </c>
      <c r="B1732" s="16" t="inlineStr">
        <is>
          <t>Backend</t>
        </is>
      </c>
      <c r="C1732" s="17" t="inlineStr">
        <is>
          <t>identity-service</t>
        </is>
      </c>
      <c r="D1732" s="16" t="inlineStr">
        <is>
          <t>Unit</t>
        </is>
      </c>
      <c r="E1732" s="17" t="inlineStr">
        <is>
          <t>StaffInvitationHandlerTest › EmailDaCo</t>
        </is>
      </c>
      <c r="F1732" s="17" t="inlineStr">
        <is>
          <t>mời một email đã có trong hệ thống</t>
        </is>
      </c>
      <c r="G1732" s="17" t="inlineStr">
        <is>
          <t>nhân viên soát vé đang chờ kích hoạt: chỉ gán thêm sự kiện, không gửi thư trùng — PENDING</t>
        </is>
      </c>
      <c r="H1732" s="17" t="inlineStr">
        <is>
          <t>dang_cho</t>
        </is>
      </c>
      <c r="I1732" s="16" t="inlineStr">
        <is>
          <t>Đạt</t>
        </is>
      </c>
      <c r="J1732" s="16" t="n">
        <v>0.008</v>
      </c>
    </row>
    <row r="1733">
      <c r="A1733" s="16" t="n">
        <v>1729</v>
      </c>
      <c r="B1733" s="16" t="inlineStr">
        <is>
          <t>Backend</t>
        </is>
      </c>
      <c r="C1733" s="17" t="inlineStr">
        <is>
          <t>identity-service</t>
        </is>
      </c>
      <c r="D1733" s="16" t="inlineStr">
        <is>
          <t>Unit</t>
        </is>
      </c>
      <c r="E1733" s="17" t="inlineStr">
        <is>
          <t>StaffInvitationHandlerTest › EmailDaCo</t>
        </is>
      </c>
      <c r="F1733" s="17" t="inlineStr">
        <is>
          <t>mời một email đã có trong hệ thống</t>
        </is>
      </c>
      <c r="G1733" s="17" t="inlineStr">
        <is>
          <t>người ngoài tổ chức (khách, hay staff tổ chức khác): cùng một lỗi, không lộ lý do</t>
        </is>
      </c>
      <c r="H1733" s="17" t="inlineStr">
        <is>
          <t>nguoi_ngoai</t>
        </is>
      </c>
      <c r="I1733" s="16" t="inlineStr">
        <is>
          <t>Đạt</t>
        </is>
      </c>
      <c r="J1733" s="16" t="n">
        <v>0.004</v>
      </c>
    </row>
    <row r="1734">
      <c r="A1734" s="16" t="n">
        <v>1730</v>
      </c>
      <c r="B1734" s="16" t="inlineStr">
        <is>
          <t>Backend</t>
        </is>
      </c>
      <c r="C1734" s="17" t="inlineStr">
        <is>
          <t>identity-service</t>
        </is>
      </c>
      <c r="D1734" s="16" t="inlineStr">
        <is>
          <t>Unit</t>
        </is>
      </c>
      <c r="E1734" s="17" t="inlineStr">
        <is>
          <t>StaffInvitationHandlerTest › GanSuKien</t>
        </is>
      </c>
      <c r="F1734" s="17" t="inlineStr">
        <is>
          <t>gán sự kiện</t>
        </is>
      </c>
      <c r="G1734" s="17" t="inlineStr">
        <is>
          <t>đặt lại danh sách sự kiện của nhân viên soát vé</t>
        </is>
      </c>
      <c r="H1734" s="17" t="inlineStr">
        <is>
          <t>dat_lai</t>
        </is>
      </c>
      <c r="I1734" s="16" t="inlineStr">
        <is>
          <t>Đạt</t>
        </is>
      </c>
      <c r="J1734" s="16" t="n">
        <v>0.014</v>
      </c>
    </row>
    <row r="1735">
      <c r="A1735" s="16" t="n">
        <v>1731</v>
      </c>
      <c r="B1735" s="16" t="inlineStr">
        <is>
          <t>Backend</t>
        </is>
      </c>
      <c r="C1735" s="17" t="inlineStr">
        <is>
          <t>identity-service</t>
        </is>
      </c>
      <c r="D1735" s="16" t="inlineStr">
        <is>
          <t>Unit</t>
        </is>
      </c>
      <c r="E1735" s="17" t="inlineStr">
        <is>
          <t>StaffInvitationHandlerTest › GanSuKien</t>
        </is>
      </c>
      <c r="F1735" s="17" t="inlineStr">
        <is>
          <t>gán sự kiện</t>
        </is>
      </c>
      <c r="G1735" s="17" t="inlineStr">
        <is>
          <t>người quản lý (không phải soát vé) thì NOT_A_MEMBER — họ đã soát được mọi sự kiện</t>
        </is>
      </c>
      <c r="H1735" s="17" t="inlineStr">
        <is>
          <t>khong_phai_staff</t>
        </is>
      </c>
      <c r="I1735" s="16" t="inlineStr">
        <is>
          <t>Đạt</t>
        </is>
      </c>
      <c r="J1735" s="16" t="n">
        <v>0.004</v>
      </c>
    </row>
    <row r="1736">
      <c r="A1736" s="16" t="n">
        <v>1732</v>
      </c>
      <c r="B1736" s="16" t="inlineStr">
        <is>
          <t>Backend</t>
        </is>
      </c>
      <c r="C1736" s="17" t="inlineStr">
        <is>
          <t>identity-service</t>
        </is>
      </c>
      <c r="D1736" s="16" t="inlineStr">
        <is>
          <t>Unit</t>
        </is>
      </c>
      <c r="E1736" s="17" t="inlineStr">
        <is>
          <t>StaffInvitationHandlerTest › GanSuKien</t>
        </is>
      </c>
      <c r="F1736" s="17" t="inlineStr">
        <is>
          <t>gán sự kiện</t>
        </is>
      </c>
      <c r="G1736" s="17" t="inlineStr">
        <is>
          <t>ticketing không trả lời thì 503, không ghi nhật ký</t>
        </is>
      </c>
      <c r="H1736" s="17" t="inlineStr">
        <is>
          <t>ticketing_im_lang</t>
        </is>
      </c>
      <c r="I1736" s="16" t="inlineStr">
        <is>
          <t>Đạt</t>
        </is>
      </c>
      <c r="J1736" s="16" t="n">
        <v>0.01</v>
      </c>
    </row>
    <row r="1737">
      <c r="A1737" s="16" t="n">
        <v>1733</v>
      </c>
      <c r="B1737" s="16" t="inlineStr">
        <is>
          <t>Backend</t>
        </is>
      </c>
      <c r="C1737" s="17" t="inlineStr">
        <is>
          <t>identity-service</t>
        </is>
      </c>
      <c r="D1737" s="16" t="inlineStr">
        <is>
          <t>Unit</t>
        </is>
      </c>
      <c r="E1737" s="17" t="inlineStr">
        <is>
          <t>StaffInvitationHandlerTest › GuiLaiVaHuy</t>
        </is>
      </c>
      <c r="F1737" s="17" t="inlineStr">
        <is>
          <t>gửi lại và huỷ lời mời</t>
        </is>
      </c>
      <c r="G1737" s="17" t="inlineStr">
        <is>
          <t>gửi lại cho người đã kích hoạt: ghi nhận kích hoạt và báo STAFF_ALREADY_ACTIVATED</t>
        </is>
      </c>
      <c r="H1737" s="17" t="inlineStr">
        <is>
          <t>gui_lai_da_kich_hoat</t>
        </is>
      </c>
      <c r="I1737" s="16" t="inlineStr">
        <is>
          <t>Đạt</t>
        </is>
      </c>
      <c r="J1737" s="16" t="n">
        <v>0.007</v>
      </c>
    </row>
    <row r="1738">
      <c r="A1738" s="16" t="n">
        <v>1734</v>
      </c>
      <c r="B1738" s="16" t="inlineStr">
        <is>
          <t>Backend</t>
        </is>
      </c>
      <c r="C1738" s="17" t="inlineStr">
        <is>
          <t>identity-service</t>
        </is>
      </c>
      <c r="D1738" s="16" t="inlineStr">
        <is>
          <t>Unit</t>
        </is>
      </c>
      <c r="E1738" s="17" t="inlineStr">
        <is>
          <t>StaffInvitationHandlerTest › GuiLaiVaHuy</t>
        </is>
      </c>
      <c r="F1738" s="17" t="inlineStr">
        <is>
          <t>gửi lại và huỷ lời mời</t>
        </is>
      </c>
      <c r="G1738" s="17" t="inlineStr">
        <is>
          <t>không có lời mời thì STAFF_INVITATION_NOT_FOUND; đã kích hoạt thì STAFF_ALREADY_ACTIVATED</t>
        </is>
      </c>
      <c r="H1738" s="17" t="inlineStr">
        <is>
          <t>khong_co_loi_moi</t>
        </is>
      </c>
      <c r="I1738" s="16" t="inlineStr">
        <is>
          <t>Đạt</t>
        </is>
      </c>
      <c r="J1738" s="16" t="n">
        <v>0.006</v>
      </c>
    </row>
    <row r="1739">
      <c r="A1739" s="16" t="n">
        <v>1735</v>
      </c>
      <c r="B1739" s="16" t="inlineStr">
        <is>
          <t>Backend</t>
        </is>
      </c>
      <c r="C1739" s="17" t="inlineStr">
        <is>
          <t>identity-service</t>
        </is>
      </c>
      <c r="D1739" s="16" t="inlineStr">
        <is>
          <t>Unit</t>
        </is>
      </c>
      <c r="E1739" s="17" t="inlineStr">
        <is>
          <t>StaffInvitationHandlerTest › GuiLaiVaHuy</t>
        </is>
      </c>
      <c r="F1739" s="17" t="inlineStr">
        <is>
          <t>gửi lại và huỷ lời mời</t>
        </is>
      </c>
      <c r="G1739" s="17" t="inlineStr">
        <is>
          <t>huỷ: gỡ quyền soát trước, xoá tài khoản sau, rồi xoá membership, lời mời và người dùng</t>
        </is>
      </c>
      <c r="H1739" s="17" t="inlineStr">
        <is>
          <t>huy</t>
        </is>
      </c>
      <c r="I1739" s="16" t="inlineStr">
        <is>
          <t>Đạt</t>
        </is>
      </c>
      <c r="J1739" s="16" t="n">
        <v>0.019</v>
      </c>
    </row>
    <row r="1740">
      <c r="A1740" s="16" t="n">
        <v>1736</v>
      </c>
      <c r="B1740" s="16" t="inlineStr">
        <is>
          <t>Backend</t>
        </is>
      </c>
      <c r="C1740" s="17" t="inlineStr">
        <is>
          <t>identity-service</t>
        </is>
      </c>
      <c r="D1740" s="16" t="inlineStr">
        <is>
          <t>Unit</t>
        </is>
      </c>
      <c r="E1740" s="17" t="inlineStr">
        <is>
          <t>StaffInvitationHandlerTest › GuiLaiVaHuy</t>
        </is>
      </c>
      <c r="F1740" s="17" t="inlineStr">
        <is>
          <t>gửi lại và huỷ lời mời</t>
        </is>
      </c>
      <c r="G1740" s="17" t="inlineStr">
        <is>
          <t>gửi lại: xoá tài khoản cũ, tạo tài khoản mới, trỏ users sang sub mới, gửi thư</t>
        </is>
      </c>
      <c r="H1740" s="17" t="inlineStr">
        <is>
          <t>gui_lai</t>
        </is>
      </c>
      <c r="I1740" s="16" t="inlineStr">
        <is>
          <t>Đạt</t>
        </is>
      </c>
      <c r="J1740" s="16" t="n">
        <v>0.004</v>
      </c>
    </row>
    <row r="1741">
      <c r="A1741" s="16" t="n">
        <v>1737</v>
      </c>
      <c r="B1741" s="16" t="inlineStr">
        <is>
          <t>Backend</t>
        </is>
      </c>
      <c r="C1741" s="17" t="inlineStr">
        <is>
          <t>identity-service</t>
        </is>
      </c>
      <c r="D1741" s="16" t="inlineStr">
        <is>
          <t>Unit</t>
        </is>
      </c>
      <c r="E1741" s="17" t="inlineStr">
        <is>
          <t>StaffInvitationHandlerTest › GuiLaiVaHuy</t>
        </is>
      </c>
      <c r="F1741" s="17" t="inlineStr">
        <is>
          <t>gửi lại và huỷ lời mời</t>
        </is>
      </c>
      <c r="G1741" s="17" t="inlineStr">
        <is>
          <t>huỷ ở tổ chức bị khoá bị từ chối TRƯỚC khi xoá tài khoản Keycloak</t>
        </is>
      </c>
      <c r="H1741" s="17" t="inlineStr">
        <is>
          <t>huy_khi_to_chuc_bi_khoa</t>
        </is>
      </c>
      <c r="I1741" s="16" t="inlineStr">
        <is>
          <t>Đạt</t>
        </is>
      </c>
      <c r="J1741" s="16" t="n">
        <v>0.004</v>
      </c>
    </row>
    <row r="1742">
      <c r="A1742" s="16" t="n">
        <v>1738</v>
      </c>
      <c r="B1742" s="16" t="inlineStr">
        <is>
          <t>Backend</t>
        </is>
      </c>
      <c r="C1742" s="17" t="inlineStr">
        <is>
          <t>identity-service</t>
        </is>
      </c>
      <c r="D1742" s="16" t="inlineStr">
        <is>
          <t>Unit</t>
        </is>
      </c>
      <c r="E1742" s="17" t="inlineStr">
        <is>
          <t>StaffInvitationHandlerTest › MoiNguoiMoi</t>
        </is>
      </c>
      <c r="F1742" s="17" t="inlineStr">
        <is>
          <t>mời người mới</t>
        </is>
      </c>
      <c r="G1742" s="17" t="inlineStr">
        <is>
          <t>tạo tài khoản, membership CHECKIN_STAFF, lời mời, gán sự kiện rồi gửi thư — INVITED</t>
        </is>
      </c>
      <c r="H1742" s="17" t="inlineStr">
        <is>
          <t>moi_thanh_cong</t>
        </is>
      </c>
      <c r="I1742" s="16" t="inlineStr">
        <is>
          <t>Đạt</t>
        </is>
      </c>
      <c r="J1742" s="16" t="n">
        <v>0.006</v>
      </c>
    </row>
    <row r="1743">
      <c r="A1743" s="16" t="n">
        <v>1739</v>
      </c>
      <c r="B1743" s="16" t="inlineStr">
        <is>
          <t>Backend</t>
        </is>
      </c>
      <c r="C1743" s="17" t="inlineStr">
        <is>
          <t>identity-service</t>
        </is>
      </c>
      <c r="D1743" s="16" t="inlineStr">
        <is>
          <t>Unit</t>
        </is>
      </c>
      <c r="E1743" s="17" t="inlineStr">
        <is>
          <t>StaffInvitationHandlerTest › MoiNguoiMoi</t>
        </is>
      </c>
      <c r="F1743" s="17" t="inlineStr">
        <is>
          <t>mời người mới</t>
        </is>
      </c>
      <c r="G1743" s="17" t="inlineStr">
        <is>
          <t>dọn tài khoản cũng hỏng thì vẫn báo lỗi gốc, không để lỗi dọn dẹp che mất</t>
        </is>
      </c>
      <c r="H1743" s="17" t="inlineStr">
        <is>
          <t>don_dep_hong</t>
        </is>
      </c>
      <c r="I1743" s="16" t="inlineStr">
        <is>
          <t>Đạt</t>
        </is>
      </c>
      <c r="J1743" s="16" t="n">
        <v>0.007</v>
      </c>
    </row>
    <row r="1744">
      <c r="A1744" s="16" t="n">
        <v>1740</v>
      </c>
      <c r="B1744" s="16" t="inlineStr">
        <is>
          <t>Backend</t>
        </is>
      </c>
      <c r="C1744" s="17" t="inlineStr">
        <is>
          <t>identity-service</t>
        </is>
      </c>
      <c r="D1744" s="16" t="inlineStr">
        <is>
          <t>Unit</t>
        </is>
      </c>
      <c r="E1744" s="17" t="inlineStr">
        <is>
          <t>StaffInvitationHandlerTest › MoiNguoiMoi</t>
        </is>
      </c>
      <c r="F1744" s="17" t="inlineStr">
        <is>
          <t>mời người mới</t>
        </is>
      </c>
      <c r="G1744" s="17" t="inlineStr">
        <is>
          <t>Keycloak không trả lời lúc tạo tài khoản thì 503 với thông điệp chung</t>
        </is>
      </c>
      <c r="H1744" s="17" t="inlineStr">
        <is>
          <t>keycloak_im_lang</t>
        </is>
      </c>
      <c r="I1744" s="16" t="inlineStr">
        <is>
          <t>Đạt</t>
        </is>
      </c>
      <c r="J1744" s="16" t="n">
        <v>0.008</v>
      </c>
    </row>
    <row r="1745">
      <c r="A1745" s="16" t="n">
        <v>1741</v>
      </c>
      <c r="B1745" s="16" t="inlineStr">
        <is>
          <t>Backend</t>
        </is>
      </c>
      <c r="C1745" s="17" t="inlineStr">
        <is>
          <t>identity-service</t>
        </is>
      </c>
      <c r="D1745" s="16" t="inlineStr">
        <is>
          <t>Unit</t>
        </is>
      </c>
      <c r="E1745" s="17" t="inlineStr">
        <is>
          <t>StaffInvitationHandlerTest › MoiNguoiMoi</t>
        </is>
      </c>
      <c r="F1745" s="17" t="inlineStr">
        <is>
          <t>mời người mới</t>
        </is>
      </c>
      <c r="G1745" s="17" t="inlineStr">
        <is>
          <t>EVENT_MANAGER không mời được nhân viên</t>
        </is>
      </c>
      <c r="H1745" s="17" t="inlineStr">
        <is>
          <t>quan_ly_su_kien</t>
        </is>
      </c>
      <c r="I1745" s="16" t="inlineStr">
        <is>
          <t>Đạt</t>
        </is>
      </c>
      <c r="J1745" s="16" t="n">
        <v>0.003</v>
      </c>
    </row>
    <row r="1746">
      <c r="A1746" s="16" t="n">
        <v>1742</v>
      </c>
      <c r="B1746" s="16" t="inlineStr">
        <is>
          <t>Backend</t>
        </is>
      </c>
      <c r="C1746" s="17" t="inlineStr">
        <is>
          <t>identity-service</t>
        </is>
      </c>
      <c r="D1746" s="16" t="inlineStr">
        <is>
          <t>Unit</t>
        </is>
      </c>
      <c r="E1746" s="17" t="inlineStr">
        <is>
          <t>StaffInvitationHandlerTest › MoiNguoiMoi</t>
        </is>
      </c>
      <c r="F1746" s="17" t="inlineStr">
        <is>
          <t>mời người mới</t>
        </is>
      </c>
      <c r="G1746" s="17" t="inlineStr">
        <is>
          <t>tổ chức bị khoá thì không chạm Keycloak</t>
        </is>
      </c>
      <c r="H1746" s="17" t="inlineStr">
        <is>
          <t>to_chuc_bi_khoa</t>
        </is>
      </c>
      <c r="I1746" s="16" t="inlineStr">
        <is>
          <t>Đạt</t>
        </is>
      </c>
      <c r="J1746" s="16" t="n">
        <v>0.003</v>
      </c>
    </row>
    <row r="1747">
      <c r="A1747" s="16" t="n">
        <v>1743</v>
      </c>
      <c r="B1747" s="16" t="inlineStr">
        <is>
          <t>Backend</t>
        </is>
      </c>
      <c r="C1747" s="17" t="inlineStr">
        <is>
          <t>identity-service</t>
        </is>
      </c>
      <c r="D1747" s="16" t="inlineStr">
        <is>
          <t>Unit</t>
        </is>
      </c>
      <c r="E1747" s="17" t="inlineStr">
        <is>
          <t>StaffInvitationHandlerTest › MoiNguoiMoi</t>
        </is>
      </c>
      <c r="F1747" s="17" t="inlineStr">
        <is>
          <t>mời người mới</t>
        </is>
      </c>
      <c r="G1747" s="17" t="inlineStr">
        <is>
          <t>thư không đi được thì SEND_FAILED, không rollback tài khoản và việc gán</t>
        </is>
      </c>
      <c r="H1747" s="17" t="inlineStr">
        <is>
          <t>loi_gui_thu</t>
        </is>
      </c>
      <c r="I1747" s="16" t="inlineStr">
        <is>
          <t>Đạt</t>
        </is>
      </c>
      <c r="J1747" s="16" t="n">
        <v>0.007</v>
      </c>
    </row>
    <row r="1748">
      <c r="A1748" s="16" t="n">
        <v>1744</v>
      </c>
      <c r="B1748" s="16" t="inlineStr">
        <is>
          <t>Backend</t>
        </is>
      </c>
      <c r="C1748" s="17" t="inlineStr">
        <is>
          <t>identity-service</t>
        </is>
      </c>
      <c r="D1748" s="16" t="inlineStr">
        <is>
          <t>Unit</t>
        </is>
      </c>
      <c r="E1748" s="17" t="inlineStr">
        <is>
          <t>StaffInvitationHandlerTest › MoiNguoiMoi</t>
        </is>
      </c>
      <c r="F1748" s="17" t="inlineStr">
        <is>
          <t>mời người mới</t>
        </is>
      </c>
      <c r="G1748" s="17" t="inlineStr">
        <is>
          <t>email đã có tài khoản Keycloak (khách tự đăng ký) thì EMAIL_NOT_INVITABLE, không tạo gì</t>
        </is>
      </c>
      <c r="H1748" s="17" t="inlineStr">
        <is>
          <t>khach_da_dang_ky</t>
        </is>
      </c>
      <c r="I1748" s="16" t="inlineStr">
        <is>
          <t>Đạt</t>
        </is>
      </c>
      <c r="J1748" s="16" t="n">
        <v>0.006</v>
      </c>
    </row>
    <row r="1749">
      <c r="A1749" s="16" t="n">
        <v>1745</v>
      </c>
      <c r="B1749" s="16" t="inlineStr">
        <is>
          <t>Backend</t>
        </is>
      </c>
      <c r="C1749" s="17" t="inlineStr">
        <is>
          <t>identity-service</t>
        </is>
      </c>
      <c r="D1749" s="16" t="inlineStr">
        <is>
          <t>Unit</t>
        </is>
      </c>
      <c r="E1749" s="17" t="inlineStr">
        <is>
          <t>StaffInvitationHandlerTest › MoiNguoiMoi</t>
        </is>
      </c>
      <c r="F1749" s="17" t="inlineStr">
        <is>
          <t>mời người mới</t>
        </is>
      </c>
      <c r="G1749" s="17" t="inlineStr">
        <is>
          <t>ticketing không trả lời lúc gán: xoá tài khoản Keycloak vừa tạo và báo 503</t>
        </is>
      </c>
      <c r="H1749" s="17" t="inlineStr">
        <is>
          <t>ticketing_im_lang</t>
        </is>
      </c>
      <c r="I1749" s="16" t="inlineStr">
        <is>
          <t>Đạt</t>
        </is>
      </c>
      <c r="J1749" s="16" t="n">
        <v>0.015</v>
      </c>
    </row>
    <row r="1750">
      <c r="A1750" s="16" t="n">
        <v>1746</v>
      </c>
      <c r="B1750" s="16" t="inlineStr">
        <is>
          <t>Backend</t>
        </is>
      </c>
      <c r="C1750" s="17" t="inlineStr">
        <is>
          <t>identity-service</t>
        </is>
      </c>
      <c r="D1750" s="16" t="inlineStr">
        <is>
          <t>Unit</t>
        </is>
      </c>
      <c r="E1750" s="17" t="inlineStr">
        <is>
          <t>ReadSideQueriesTest › MaTran</t>
        </is>
      </c>
      <c r="F1750" s="17" t="inlineStr">
        <is>
          <t>ma trận phân quyền</t>
        </is>
      </c>
      <c r="G1750" s="17" t="inlineStr">
        <is>
          <t>chưa đăng nhập thì 401</t>
        </is>
      </c>
      <c r="H1750" s="17" t="inlineStr">
        <is>
          <t>chua_dang_nhap</t>
        </is>
      </c>
      <c r="I1750" s="16" t="inlineStr">
        <is>
          <t>Đạt</t>
        </is>
      </c>
      <c r="J1750" s="16" t="n">
        <v>0.006</v>
      </c>
    </row>
    <row r="1751">
      <c r="A1751" s="16" t="n">
        <v>1747</v>
      </c>
      <c r="B1751" s="16" t="inlineStr">
        <is>
          <t>Backend</t>
        </is>
      </c>
      <c r="C1751" s="17" t="inlineStr">
        <is>
          <t>identity-service</t>
        </is>
      </c>
      <c r="D1751" s="16" t="inlineStr">
        <is>
          <t>Unit</t>
        </is>
      </c>
      <c r="E1751" s="17" t="inlineStr">
        <is>
          <t>ReadSideQueriesTest › MaTran</t>
        </is>
      </c>
      <c r="F1751" s="17" t="inlineStr">
        <is>
          <t>ma trận phân quyền</t>
        </is>
      </c>
      <c r="G1751" s="17" t="inlineStr">
        <is>
          <t>toàn bộ vai trò kèm phạm vi, đủ mọi vai trò của enum</t>
        </is>
      </c>
      <c r="H1751" s="17" t="inlineStr">
        <is>
          <t>toan_bo_vai_tro</t>
        </is>
      </c>
      <c r="I1751" s="16" t="inlineStr">
        <is>
          <t>Đạt</t>
        </is>
      </c>
      <c r="J1751" s="16" t="n">
        <v>0.011</v>
      </c>
    </row>
    <row r="1752">
      <c r="A1752" s="16" t="n">
        <v>1748</v>
      </c>
      <c r="B1752" s="16" t="inlineStr">
        <is>
          <t>Backend</t>
        </is>
      </c>
      <c r="C1752" s="17" t="inlineStr">
        <is>
          <t>identity-service</t>
        </is>
      </c>
      <c r="D1752" s="16" t="inlineStr">
        <is>
          <t>Unit</t>
        </is>
      </c>
      <c r="E1752" s="17" t="inlineStr">
        <is>
          <t>ReadSideQueriesTest › MaTran</t>
        </is>
      </c>
      <c r="F1752" s="17" t="inlineStr">
        <is>
          <t>ma trận phân quyền</t>
        </is>
      </c>
      <c r="G1752" s="17" t="inlineStr">
        <is>
          <t>quyền của tôi: theo từng tổ chức, không bịa tổ chức cho superadmin</t>
        </is>
      </c>
      <c r="H1752" s="17" t="inlineStr">
        <is>
          <t>quyen_cua_toi</t>
        </is>
      </c>
      <c r="I1752" s="16" t="inlineStr">
        <is>
          <t>Đạt</t>
        </is>
      </c>
      <c r="J1752" s="16" t="n">
        <v>0.007</v>
      </c>
    </row>
    <row r="1753">
      <c r="A1753" s="16" t="n">
        <v>1749</v>
      </c>
      <c r="B1753" s="16" t="inlineStr">
        <is>
          <t>Backend</t>
        </is>
      </c>
      <c r="C1753" s="17" t="inlineStr">
        <is>
          <t>identity-service</t>
        </is>
      </c>
      <c r="D1753" s="16" t="inlineStr">
        <is>
          <t>Unit</t>
        </is>
      </c>
      <c r="E1753" s="17" t="inlineStr">
        <is>
          <t>ReadSideQueriesTest › NhatKy</t>
        </is>
      </c>
      <c r="F1753" s="17" t="inlineStr">
        <is>
          <t>nhật ký kiểm toán</t>
        </is>
      </c>
      <c r="G1753" s="17" t="inlineStr">
        <is>
          <t>EVENT_MANAGER không đọc nhật ký; quản trị tổ chức không đọc nhật ký nền tảng</t>
        </is>
      </c>
      <c r="H1753" s="17" t="inlineStr">
        <is>
          <t>quyen_doc</t>
        </is>
      </c>
      <c r="I1753" s="16" t="inlineStr">
        <is>
          <t>Đạt</t>
        </is>
      </c>
      <c r="J1753" s="16" t="n">
        <v>0.004</v>
      </c>
    </row>
    <row r="1754">
      <c r="A1754" s="16" t="n">
        <v>1750</v>
      </c>
      <c r="B1754" s="16" t="inlineStr">
        <is>
          <t>Backend</t>
        </is>
      </c>
      <c r="C1754" s="17" t="inlineStr">
        <is>
          <t>identity-service</t>
        </is>
      </c>
      <c r="D1754" s="16" t="inlineStr">
        <is>
          <t>Unit</t>
        </is>
      </c>
      <c r="E1754" s="17" t="inlineStr">
        <is>
          <t>ReadSideQueriesTest › NhatKy</t>
        </is>
      </c>
      <c r="F1754" s="17" t="inlineStr">
        <is>
          <t>nhật ký kiểm toán</t>
        </is>
      </c>
      <c r="G1754" s="17" t="inlineStr">
        <is>
          <t>tham số: tổ chức trước, rồi bộ lọc theo cặp, trang kẹp 1..200, offset âm thành 0</t>
        </is>
      </c>
      <c r="H1754" s="17" t="inlineStr">
        <is>
          <t>tham_so</t>
        </is>
      </c>
      <c r="I1754" s="16" t="inlineStr">
        <is>
          <t>Đạt</t>
        </is>
      </c>
      <c r="J1754" s="16" t="n">
        <v>0.04</v>
      </c>
    </row>
    <row r="1755">
      <c r="A1755" s="16" t="n">
        <v>1751</v>
      </c>
      <c r="B1755" s="16" t="inlineStr">
        <is>
          <t>Backend</t>
        </is>
      </c>
      <c r="C1755" s="17" t="inlineStr">
        <is>
          <t>identity-service</t>
        </is>
      </c>
      <c r="D1755" s="16" t="inlineStr">
        <is>
          <t>Unit</t>
        </is>
      </c>
      <c r="E1755" s="17" t="inlineStr">
        <is>
          <t>ReadSideQueriesTest › NhatKy</t>
        </is>
      </c>
      <c r="F1755" s="17" t="inlineStr">
        <is>
          <t>nhật ký kiểm toán</t>
        </is>
      </c>
      <c r="G1755" s="17" t="inlineStr">
        <is>
          <t>hành động lọc đi vào tham số, không bao giờ nối vào chuỗi SQL</t>
        </is>
      </c>
      <c r="H1755" s="17" t="inlineStr">
        <is>
          <t>khong_noi_chuoi_sql</t>
        </is>
      </c>
      <c r="I1755" s="16" t="inlineStr">
        <is>
          <t>Đạt</t>
        </is>
      </c>
      <c r="J1755" s="16" t="n">
        <v>0.001</v>
      </c>
    </row>
    <row r="1756">
      <c r="A1756" s="16" t="n">
        <v>1752</v>
      </c>
      <c r="B1756" s="16" t="inlineStr">
        <is>
          <t>Backend</t>
        </is>
      </c>
      <c r="C1756" s="17" t="inlineStr">
        <is>
          <t>identity-service</t>
        </is>
      </c>
      <c r="D1756" s="16" t="inlineStr">
        <is>
          <t>Unit</t>
        </is>
      </c>
      <c r="E1756" s="17" t="inlineStr">
        <is>
          <t>ReadSideQueriesTest › NhatKy</t>
        </is>
      </c>
      <c r="F1756" s="17" t="inlineStr">
        <is>
          <t>nhật ký kiểm toán</t>
        </is>
      </c>
      <c r="G1756" s="17" t="inlineStr">
        <is>
          <t>trang 0 hay âm rơi về mặc định 50, không phải 'không giới hạn'</t>
        </is>
      </c>
      <c r="H1756" s="17" t="inlineStr">
        <is>
          <t>trang_mac_dinh</t>
        </is>
      </c>
      <c r="I1756" s="16" t="inlineStr">
        <is>
          <t>Đạt</t>
        </is>
      </c>
      <c r="J1756" s="16" t="n">
        <v>0.005</v>
      </c>
    </row>
    <row r="1757">
      <c r="A1757" s="16" t="n">
        <v>1753</v>
      </c>
      <c r="B1757" s="16" t="inlineStr">
        <is>
          <t>Backend</t>
        </is>
      </c>
      <c r="C1757" s="17" t="inlineStr">
        <is>
          <t>identity-service</t>
        </is>
      </c>
      <c r="D1757" s="16" t="inlineStr">
        <is>
          <t>Unit</t>
        </is>
      </c>
      <c r="E1757" s="17" t="inlineStr">
        <is>
          <t>ReadSideQueriesTest › NhatKy</t>
        </is>
      </c>
      <c r="F1757" s="17" t="inlineStr">
        <is>
          <t>nhật ký kiểm toán</t>
        </is>
      </c>
      <c r="G1757" s="17" t="inlineStr">
        <is>
          <t>nhật ký của tổ chức lọc organization_id ngay trong SQL, tham số đầu là tổ chức đang thao tác</t>
        </is>
      </c>
      <c r="H1757" s="17" t="inlineStr">
        <is>
          <t>loc_theo_to_chuc</t>
        </is>
      </c>
      <c r="I1757" s="16" t="inlineStr">
        <is>
          <t>Đạt</t>
        </is>
      </c>
      <c r="J1757" s="16" t="n">
        <v>0.003</v>
      </c>
    </row>
    <row r="1758">
      <c r="A1758" s="16" t="n">
        <v>1754</v>
      </c>
      <c r="B1758" s="16" t="inlineStr">
        <is>
          <t>Backend</t>
        </is>
      </c>
      <c r="C1758" s="17" t="inlineStr">
        <is>
          <t>identity-service</t>
        </is>
      </c>
      <c r="D1758" s="16" t="inlineStr">
        <is>
          <t>Unit</t>
        </is>
      </c>
      <c r="E1758" s="17" t="inlineStr">
        <is>
          <t>ReadSideQueriesTest › ToChuc</t>
        </is>
      </c>
      <c r="F1758" s="17" t="inlineStr">
        <is>
          <t>tổ chức, thành viên, lời mời</t>
        </is>
      </c>
      <c r="G1758" s="17" t="inlineStr">
        <is>
          <t>bảng thành viên kèm email và tên, tra hồ sơ một lần cho cả danh sách</t>
        </is>
      </c>
      <c r="H1758" s="17" t="inlineStr">
        <is>
          <t>bang_thanh_vien</t>
        </is>
      </c>
      <c r="I1758" s="16" t="inlineStr">
        <is>
          <t>Đạt</t>
        </is>
      </c>
      <c r="J1758" s="16" t="n">
        <v>0.008999999999999999</v>
      </c>
    </row>
    <row r="1759">
      <c r="A1759" s="16" t="n">
        <v>1755</v>
      </c>
      <c r="B1759" s="16" t="inlineStr">
        <is>
          <t>Backend</t>
        </is>
      </c>
      <c r="C1759" s="17" t="inlineStr">
        <is>
          <t>identity-service</t>
        </is>
      </c>
      <c r="D1759" s="16" t="inlineStr">
        <is>
          <t>Unit</t>
        </is>
      </c>
      <c r="E1759" s="17" t="inlineStr">
        <is>
          <t>ReadSideQueriesTest › ToChuc</t>
        </is>
      </c>
      <c r="F1759" s="17" t="inlineStr">
        <is>
          <t>tổ chức, thành viên, lời mời</t>
        </is>
      </c>
      <c r="G1759" s="17" t="inlineStr">
        <is>
          <t>lời mời đang chờ: chỉ ORG_ADMIN+, không có token hay hash, đánh dấu cái đã hết hạn</t>
        </is>
      </c>
      <c r="H1759" s="17" t="inlineStr">
        <is>
          <t>loi_moi_dang_cho</t>
        </is>
      </c>
      <c r="I1759" s="16" t="inlineStr">
        <is>
          <t>Đạt</t>
        </is>
      </c>
      <c r="J1759" s="16" t="n">
        <v>0.034</v>
      </c>
    </row>
    <row r="1760">
      <c r="A1760" s="16" t="n">
        <v>1756</v>
      </c>
      <c r="B1760" s="16" t="inlineStr">
        <is>
          <t>Backend</t>
        </is>
      </c>
      <c r="C1760" s="17" t="inlineStr">
        <is>
          <t>identity-service</t>
        </is>
      </c>
      <c r="D1760" s="16" t="inlineStr">
        <is>
          <t>Unit</t>
        </is>
      </c>
      <c r="E1760" s="17" t="inlineStr">
        <is>
          <t>ReadSideQueriesTest › ToChuc</t>
        </is>
      </c>
      <c r="F1760" s="17" t="inlineStr">
        <is>
          <t>tổ chức, thành viên, lời mời</t>
        </is>
      </c>
      <c r="G1760" s="17" t="inlineStr">
        <is>
          <t>hộp thư lời mời tra theo email của chính người đăng nhập, kèm tên tổ chức</t>
        </is>
      </c>
      <c r="H1760" s="17" t="inlineStr">
        <is>
          <t>hop_thu_loi_moi</t>
        </is>
      </c>
      <c r="I1760" s="16" t="inlineStr">
        <is>
          <t>Đạt</t>
        </is>
      </c>
      <c r="J1760" s="16" t="n">
        <v>0.005</v>
      </c>
    </row>
    <row r="1761">
      <c r="A1761" s="16" t="n">
        <v>1757</v>
      </c>
      <c r="B1761" s="16" t="inlineStr">
        <is>
          <t>Backend</t>
        </is>
      </c>
      <c r="C1761" s="17" t="inlineStr">
        <is>
          <t>identity-service</t>
        </is>
      </c>
      <c r="D1761" s="16" t="inlineStr">
        <is>
          <t>Unit</t>
        </is>
      </c>
      <c r="E1761" s="17" t="inlineStr">
        <is>
          <t>ReadSideQueriesTest › ToChuc</t>
        </is>
      </c>
      <c r="F1761" s="17" t="inlineStr">
        <is>
          <t>tổ chức, thành viên, lời mời</t>
        </is>
      </c>
      <c r="G1761" s="17" t="inlineStr">
        <is>
          <t>danh sách toàn hệ thống chỉ superadmin; trang bị kẹp về 200 và offset âm về 0</t>
        </is>
      </c>
      <c r="H1761" s="17" t="inlineStr">
        <is>
          <t>danh_sach_toan_he_thong</t>
        </is>
      </c>
      <c r="I1761" s="16" t="inlineStr">
        <is>
          <t>Đạt</t>
        </is>
      </c>
      <c r="J1761" s="16" t="n">
        <v>0.003</v>
      </c>
    </row>
    <row r="1762">
      <c r="A1762" s="16" t="n">
        <v>1758</v>
      </c>
      <c r="B1762" s="16" t="inlineStr">
        <is>
          <t>Backend</t>
        </is>
      </c>
      <c r="C1762" s="17" t="inlineStr">
        <is>
          <t>identity-service</t>
        </is>
      </c>
      <c r="D1762" s="16" t="inlineStr">
        <is>
          <t>Unit</t>
        </is>
      </c>
      <c r="E1762" s="17" t="inlineStr">
        <is>
          <t>ReadSideQueriesTest › ToChuc</t>
        </is>
      </c>
      <c r="F1762" s="17" t="inlineStr">
        <is>
          <t>tổ chức, thành viên, lời mời</t>
        </is>
      </c>
      <c r="G1762" s="17" t="inlineStr">
        <is>
          <t>superadmin đọc được tổ chức dù không là thành viên</t>
        </is>
      </c>
      <c r="H1762" s="17" t="inlineStr">
        <is>
          <t>superadmin_doc_duoc</t>
        </is>
      </c>
      <c r="I1762" s="16" t="inlineStr">
        <is>
          <t>Đạt</t>
        </is>
      </c>
      <c r="J1762" s="16" t="n">
        <v>0.003</v>
      </c>
    </row>
    <row r="1763">
      <c r="A1763" s="16" t="n">
        <v>1759</v>
      </c>
      <c r="B1763" s="16" t="inlineStr">
        <is>
          <t>Backend</t>
        </is>
      </c>
      <c r="C1763" s="17" t="inlineStr">
        <is>
          <t>identity-service</t>
        </is>
      </c>
      <c r="D1763" s="16" t="inlineStr">
        <is>
          <t>Unit</t>
        </is>
      </c>
      <c r="E1763" s="17" t="inlineStr">
        <is>
          <t>ReadSideQueriesTest › ToChuc</t>
        </is>
      </c>
      <c r="F1763" s="17" t="inlineStr">
        <is>
          <t>tổ chức, thành viên, lời mời</t>
        </is>
      </c>
      <c r="G1763" s="17" t="inlineStr">
        <is>
          <t>người ngoài đọc tổ chức nhận 404 như không tồn tại — kể cả khi filter bị đi vòng</t>
        </is>
      </c>
      <c r="H1763" s="17" t="inlineStr">
        <is>
          <t>nguoi_ngoai_doc_to_chuc</t>
        </is>
      </c>
      <c r="I1763" s="16" t="inlineStr">
        <is>
          <t>Đạt</t>
        </is>
      </c>
      <c r="J1763" s="16" t="n">
        <v>0.004</v>
      </c>
    </row>
    <row r="1764">
      <c r="A1764" s="16" t="n">
        <v>1760</v>
      </c>
      <c r="B1764" s="16" t="inlineStr">
        <is>
          <t>Backend</t>
        </is>
      </c>
      <c r="C1764" s="17" t="inlineStr">
        <is>
          <t>identity-service</t>
        </is>
      </c>
      <c r="D1764" s="16" t="inlineStr">
        <is>
          <t>Unit</t>
        </is>
      </c>
      <c r="E1764" s="17" t="inlineStr">
        <is>
          <t>ReadSideQueriesTest › ToChuc</t>
        </is>
      </c>
      <c r="F1764" s="17" t="inlineStr">
        <is>
          <t>tổ chức, thành viên, lời mời</t>
        </is>
      </c>
      <c r="G1764" s="17" t="inlineStr">
        <is>
          <t>hồ sơ của tôi kèm vai trò trong từng tổ chức</t>
        </is>
      </c>
      <c r="H1764" s="17" t="inlineStr">
        <is>
          <t>ho_so</t>
        </is>
      </c>
      <c r="I1764" s="16" t="inlineStr">
        <is>
          <t>Đạt</t>
        </is>
      </c>
      <c r="J1764" s="16" t="n">
        <v>0.005</v>
      </c>
    </row>
    <row r="1765">
      <c r="A1765" s="16" t="n">
        <v>1761</v>
      </c>
      <c r="B1765" s="16" t="inlineStr">
        <is>
          <t>Backend</t>
        </is>
      </c>
      <c r="C1765" s="17" t="inlineStr">
        <is>
          <t>identity-service</t>
        </is>
      </c>
      <c r="D1765" s="16" t="inlineStr">
        <is>
          <t>Unit</t>
        </is>
      </c>
      <c r="E1765" s="17" t="inlineStr">
        <is>
          <t>ReadSideQueriesTest › ToChuc</t>
        </is>
      </c>
      <c r="F1765" s="17" t="inlineStr">
        <is>
          <t>tổ chức, thành viên, lời mời</t>
        </is>
      </c>
      <c r="G1765" s="17" t="inlineStr">
        <is>
          <t>địa chỉ liên hệ cho service nội bộ: 404 khi không có, không trả idpSubject hay cờ superadmin</t>
        </is>
      </c>
      <c r="H1765" s="17" t="inlineStr">
        <is>
          <t>lien_he</t>
        </is>
      </c>
      <c r="I1765" s="16" t="inlineStr">
        <is>
          <t>Đạt</t>
        </is>
      </c>
      <c r="J1765" s="16" t="n">
        <v>0.007</v>
      </c>
    </row>
    <row r="1766">
      <c r="A1766" s="16" t="n">
        <v>1762</v>
      </c>
      <c r="B1766" s="16" t="inlineStr">
        <is>
          <t>Backend</t>
        </is>
      </c>
      <c r="C1766" s="17" t="inlineStr">
        <is>
          <t>identity-service</t>
        </is>
      </c>
      <c r="D1766" s="16" t="inlineStr">
        <is>
          <t>Unit</t>
        </is>
      </c>
      <c r="E1766" s="17" t="inlineStr">
        <is>
          <t>ReadSideQueriesTest › ToChuc</t>
        </is>
      </c>
      <c r="F1766" s="17" t="inlineStr">
        <is>
          <t>tổ chức, thành viên, lời mời</t>
        </is>
      </c>
      <c r="G1766" s="17" t="inlineStr">
        <is>
          <t>nhân viên soát vé không xem được danh sách lời mời</t>
        </is>
      </c>
      <c r="H1766" s="17" t="inlineStr">
        <is>
          <t>staff_khong_xem_loi_moi</t>
        </is>
      </c>
      <c r="I1766" s="16" t="inlineStr">
        <is>
          <t>Đạt</t>
        </is>
      </c>
      <c r="J1766" s="16" t="n">
        <v>0.002</v>
      </c>
    </row>
    <row r="1767">
      <c r="A1767" s="16" t="n">
        <v>1763</v>
      </c>
      <c r="B1767" s="16" t="inlineStr">
        <is>
          <t>Backend</t>
        </is>
      </c>
      <c r="C1767" s="17" t="inlineStr">
        <is>
          <t>identity-service</t>
        </is>
      </c>
      <c r="D1767" s="16" t="inlineStr">
        <is>
          <t>ArchUnit</t>
        </is>
      </c>
      <c r="E1767" s="17" t="inlineStr">
        <is>
          <t>ArchitectureTest</t>
        </is>
      </c>
      <c r="F1767" s="17" t="inlineStr"/>
      <c r="G1767" s="17" t="inlineStr">
        <is>
          <t>domain thuan nghiep vu</t>
        </is>
      </c>
      <c r="H1767" s="17" t="inlineStr">
        <is>
          <t>domain_thuan_nghiep_vu</t>
        </is>
      </c>
      <c r="I1767" s="16" t="inlineStr">
        <is>
          <t>Đạt</t>
        </is>
      </c>
      <c r="J1767" s="16" t="n">
        <v>8.129</v>
      </c>
    </row>
    <row r="1768">
      <c r="A1768" s="16" t="n">
        <v>1764</v>
      </c>
      <c r="B1768" s="16" t="inlineStr">
        <is>
          <t>Backend</t>
        </is>
      </c>
      <c r="C1768" s="17" t="inlineStr">
        <is>
          <t>identity-service</t>
        </is>
      </c>
      <c r="D1768" s="16" t="inlineStr">
        <is>
          <t>ArchUnit</t>
        </is>
      </c>
      <c r="E1768" s="17" t="inlineStr">
        <is>
          <t>ArchitectureTest</t>
        </is>
      </c>
      <c r="F1768" s="17" t="inlineStr"/>
      <c r="G1768" s="17" t="inlineStr">
        <is>
          <t>chieu phu thuoc hexagonal</t>
        </is>
      </c>
      <c r="H1768" s="17" t="inlineStr">
        <is>
          <t>chieu_phu_thuoc_hexagonal</t>
        </is>
      </c>
      <c r="I1768" s="16" t="inlineStr">
        <is>
          <t>Đạt</t>
        </is>
      </c>
      <c r="J1768" s="16" t="n">
        <v>0.897</v>
      </c>
    </row>
    <row r="1769">
      <c r="A1769" s="16" t="n">
        <v>1765</v>
      </c>
      <c r="B1769" s="16" t="inlineStr">
        <is>
          <t>Backend</t>
        </is>
      </c>
      <c r="C1769" s="17" t="inlineStr">
        <is>
          <t>identity-service</t>
        </is>
      </c>
      <c r="D1769" s="16" t="inlineStr">
        <is>
          <t>ArchUnit</t>
        </is>
      </c>
      <c r="E1769" s="17" t="inlineStr">
        <is>
          <t>ArchitectureTest</t>
        </is>
      </c>
      <c r="F1769" s="17" t="inlineStr"/>
      <c r="G1769" s="17" t="inlineStr">
        <is>
          <t>khong import cheo context</t>
        </is>
      </c>
      <c r="H1769" s="17" t="inlineStr">
        <is>
          <t>khong_import_cheo_context</t>
        </is>
      </c>
      <c r="I1769" s="16" t="inlineStr">
        <is>
          <t>Đạt</t>
        </is>
      </c>
      <c r="J1769" s="16" t="n">
        <v>0.075</v>
      </c>
    </row>
    <row r="1770">
      <c r="A1770" s="16" t="n">
        <v>1766</v>
      </c>
      <c r="B1770" s="16" t="inlineStr">
        <is>
          <t>Backend</t>
        </is>
      </c>
      <c r="C1770" s="17" t="inlineStr">
        <is>
          <t>identity-service</t>
        </is>
      </c>
      <c r="D1770" s="16" t="inlineStr">
        <is>
          <t>Unit</t>
        </is>
      </c>
      <c r="E1770" s="17" t="inlineStr">
        <is>
          <t>InvitationRulesTest</t>
        </is>
      </c>
      <c r="F1770" s="17" t="inlineStr"/>
      <c r="G1770" s="17" t="inlineStr">
        <is>
          <t>không mời được vào vai trò ngoài phạm vi tổ chức</t>
        </is>
      </c>
      <c r="H1770" s="17" t="inlineStr">
        <is>
          <t>vai_tro_ngoai_pham_vi(Role)[1]</t>
        </is>
      </c>
      <c r="I1770" s="16" t="inlineStr">
        <is>
          <t>Đạt</t>
        </is>
      </c>
      <c r="J1770" s="16" t="n">
        <v>0.003</v>
      </c>
    </row>
    <row r="1771">
      <c r="A1771" s="16" t="n">
        <v>1767</v>
      </c>
      <c r="B1771" s="16" t="inlineStr">
        <is>
          <t>Backend</t>
        </is>
      </c>
      <c r="C1771" s="17" t="inlineStr">
        <is>
          <t>identity-service</t>
        </is>
      </c>
      <c r="D1771" s="16" t="inlineStr">
        <is>
          <t>Unit</t>
        </is>
      </c>
      <c r="E1771" s="17" t="inlineStr">
        <is>
          <t>InvitationRulesTest</t>
        </is>
      </c>
      <c r="F1771" s="17" t="inlineStr"/>
      <c r="G1771" s="17" t="inlineStr">
        <is>
          <t>không mời được vào vai trò ngoài phạm vi tổ chức</t>
        </is>
      </c>
      <c r="H1771" s="17" t="inlineStr">
        <is>
          <t>vai_tro_ngoai_pham_vi(Role)[2]</t>
        </is>
      </c>
      <c r="I1771" s="16" t="inlineStr">
        <is>
          <t>Đạt</t>
        </is>
      </c>
      <c r="J1771" s="16" t="n">
        <v>0.001</v>
      </c>
    </row>
    <row r="1772">
      <c r="A1772" s="16" t="n">
        <v>1768</v>
      </c>
      <c r="B1772" s="16" t="inlineStr">
        <is>
          <t>Backend</t>
        </is>
      </c>
      <c r="C1772" s="17" t="inlineStr">
        <is>
          <t>identity-service</t>
        </is>
      </c>
      <c r="D1772" s="16" t="inlineStr">
        <is>
          <t>Unit</t>
        </is>
      </c>
      <c r="E1772" s="17" t="inlineStr">
        <is>
          <t>InvitationRulesTest</t>
        </is>
      </c>
      <c r="F1772" s="17" t="inlineStr"/>
      <c r="G1772" s="17" t="inlineStr">
        <is>
          <t>hết hạn đúng sau 7 ngày: tại đúng mốc vẫn nhận được</t>
        </is>
      </c>
      <c r="H1772" s="17" t="inlineStr">
        <is>
          <t>tai_dung_moc_het_han</t>
        </is>
      </c>
      <c r="I1772" s="16" t="inlineStr">
        <is>
          <t>Đạt</t>
        </is>
      </c>
      <c r="J1772" s="16" t="n">
        <v>0.001</v>
      </c>
    </row>
    <row r="1773">
      <c r="A1773" s="16" t="n">
        <v>1769</v>
      </c>
      <c r="B1773" s="16" t="inlineStr">
        <is>
          <t>Backend</t>
        </is>
      </c>
      <c r="C1773" s="17" t="inlineStr">
        <is>
          <t>identity-service</t>
        </is>
      </c>
      <c r="D1773" s="16" t="inlineStr">
        <is>
          <t>Unit</t>
        </is>
      </c>
      <c r="E1773" s="17" t="inlineStr">
        <is>
          <t>InvitationRulesTest</t>
        </is>
      </c>
      <c r="F1773" s="17" t="inlineStr"/>
      <c r="G1773" s="17" t="inlineStr">
        <is>
          <t>lời mời đã dùng dựng lại từ database vẫn không dùng lại được</t>
        </is>
      </c>
      <c r="H1773" s="17" t="inlineStr">
        <is>
          <t>dung_lai_sau_khi_doc_tu_database</t>
        </is>
      </c>
      <c r="I1773" s="16" t="inlineStr">
        <is>
          <t>Đạt</t>
        </is>
      </c>
      <c r="J1773" s="16" t="n">
        <v>0.003</v>
      </c>
    </row>
    <row r="1774">
      <c r="A1774" s="16" t="n">
        <v>1770</v>
      </c>
      <c r="B1774" s="16" t="inlineStr">
        <is>
          <t>Backend</t>
        </is>
      </c>
      <c r="C1774" s="17" t="inlineStr">
        <is>
          <t>identity-service</t>
        </is>
      </c>
      <c r="D1774" s="16" t="inlineStr">
        <is>
          <t>Unit</t>
        </is>
      </c>
      <c r="E1774" s="17" t="inlineStr">
        <is>
          <t>InvitationRulesTest</t>
        </is>
      </c>
      <c r="F1774" s="17" t="inlineStr"/>
      <c r="G1774" s="17" t="inlineStr">
        <is>
          <t>mỗi lời mời một token khác nhau, đủ dài để không đoán được</t>
        </is>
      </c>
      <c r="H1774" s="17" t="inlineStr">
        <is>
          <t>token_ngau_nhien</t>
        </is>
      </c>
      <c r="I1774" s="16" t="inlineStr">
        <is>
          <t>Đạt</t>
        </is>
      </c>
      <c r="J1774" s="16" t="n">
        <v>0.015</v>
      </c>
    </row>
    <row r="1775">
      <c r="A1775" s="16" t="n">
        <v>1771</v>
      </c>
      <c r="B1775" s="16" t="inlineStr">
        <is>
          <t>Backend</t>
        </is>
      </c>
      <c r="C1775" s="17" t="inlineStr">
        <is>
          <t>identity-service</t>
        </is>
      </c>
      <c r="D1775" s="16" t="inlineStr">
        <is>
          <t>Unit</t>
        </is>
      </c>
      <c r="E1775" s="17" t="inlineStr">
        <is>
          <t>InvitationRulesTest</t>
        </is>
      </c>
      <c r="F1775" s="17" t="inlineStr"/>
      <c r="G1775" s="17" t="inlineStr">
        <is>
          <t>hash cố định với cùng token và khác nhau với token khác</t>
        </is>
      </c>
      <c r="H1775" s="17" t="inlineStr">
        <is>
          <t>hash_xac_dinh</t>
        </is>
      </c>
      <c r="I1775" s="16" t="inlineStr">
        <is>
          <t>Đạt</t>
        </is>
      </c>
      <c r="J1775" s="16" t="n">
        <v>0</v>
      </c>
    </row>
    <row r="1776">
      <c r="A1776" s="16" t="n">
        <v>1772</v>
      </c>
      <c r="B1776" s="16" t="inlineStr">
        <is>
          <t>Backend</t>
        </is>
      </c>
      <c r="C1776" s="17" t="inlineStr">
        <is>
          <t>identity-service</t>
        </is>
      </c>
      <c r="D1776" s="16" t="inlineStr">
        <is>
          <t>Unit</t>
        </is>
      </c>
      <c r="E1776" s="17" t="inlineStr">
        <is>
          <t>InvitationRulesTest</t>
        </is>
      </c>
      <c r="F1776" s="17" t="inlineStr"/>
      <c r="G1776" s="17" t="inlineStr">
        <is>
          <t>lời mời vừa đã dùng vừa hết hạn báo 'đã dùng' — người dùng cần biết đúng lý do</t>
        </is>
      </c>
      <c r="H1776" s="17" t="inlineStr">
        <is>
          <t>da_dung_uu_tien_hon_het_han</t>
        </is>
      </c>
      <c r="I1776" s="16" t="inlineStr">
        <is>
          <t>Đạt</t>
        </is>
      </c>
      <c r="J1776" s="16" t="n">
        <v>0.002</v>
      </c>
    </row>
    <row r="1777">
      <c r="A1777" s="16" t="n">
        <v>1773</v>
      </c>
      <c r="B1777" s="16" t="inlineStr">
        <is>
          <t>Backend</t>
        </is>
      </c>
      <c r="C1777" s="17" t="inlineStr">
        <is>
          <t>identity-service</t>
        </is>
      </c>
      <c r="D1777" s="16" t="inlineStr">
        <is>
          <t>Unit</t>
        </is>
      </c>
      <c r="E1777" s="17" t="inlineStr">
        <is>
          <t>InvitationRulesTest</t>
        </is>
      </c>
      <c r="F1777" s="17" t="inlineStr"/>
      <c r="G1777" s="17" t="inlineStr">
        <is>
          <t>email không có @ bị từ chối</t>
        </is>
      </c>
      <c r="H1777" s="17" t="inlineStr">
        <is>
          <t>email_khong_hop_le(String)[1]</t>
        </is>
      </c>
      <c r="I1777" s="16" t="inlineStr">
        <is>
          <t>Đạt</t>
        </is>
      </c>
      <c r="J1777" s="16" t="n">
        <v>0.003</v>
      </c>
    </row>
    <row r="1778">
      <c r="A1778" s="16" t="n">
        <v>1774</v>
      </c>
      <c r="B1778" s="16" t="inlineStr">
        <is>
          <t>Backend</t>
        </is>
      </c>
      <c r="C1778" s="17" t="inlineStr">
        <is>
          <t>identity-service</t>
        </is>
      </c>
      <c r="D1778" s="16" t="inlineStr">
        <is>
          <t>Unit</t>
        </is>
      </c>
      <c r="E1778" s="17" t="inlineStr">
        <is>
          <t>InvitationRulesTest</t>
        </is>
      </c>
      <c r="F1778" s="17" t="inlineStr"/>
      <c r="G1778" s="17" t="inlineStr">
        <is>
          <t>email không có @ bị từ chối</t>
        </is>
      </c>
      <c r="H1778" s="17" t="inlineStr">
        <is>
          <t>email_khong_hop_le(String)[2]</t>
        </is>
      </c>
      <c r="I1778" s="16" t="inlineStr">
        <is>
          <t>Đạt</t>
        </is>
      </c>
      <c r="J1778" s="16" t="n">
        <v>0.002</v>
      </c>
    </row>
    <row r="1779">
      <c r="A1779" s="16" t="n">
        <v>1775</v>
      </c>
      <c r="B1779" s="16" t="inlineStr">
        <is>
          <t>Backend</t>
        </is>
      </c>
      <c r="C1779" s="17" t="inlineStr">
        <is>
          <t>identity-service</t>
        </is>
      </c>
      <c r="D1779" s="16" t="inlineStr">
        <is>
          <t>Unit</t>
        </is>
      </c>
      <c r="E1779" s="17" t="inlineStr">
        <is>
          <t>InvitationRulesTest</t>
        </is>
      </c>
      <c r="F1779" s="17" t="inlineStr"/>
      <c r="G1779" s="17" t="inlineStr">
        <is>
          <t>email không có @ bị từ chối</t>
        </is>
      </c>
      <c r="H1779" s="17" t="inlineStr">
        <is>
          <t>email_khong_hop_le(String)[3]</t>
        </is>
      </c>
      <c r="I1779" s="16" t="inlineStr">
        <is>
          <t>Đạt</t>
        </is>
      </c>
      <c r="J1779" s="16" t="n">
        <v>0.002</v>
      </c>
    </row>
    <row r="1780">
      <c r="A1780" s="16" t="n">
        <v>1776</v>
      </c>
      <c r="B1780" s="16" t="inlineStr">
        <is>
          <t>Backend</t>
        </is>
      </c>
      <c r="C1780" s="17" t="inlineStr">
        <is>
          <t>identity-service</t>
        </is>
      </c>
      <c r="D1780" s="16" t="inlineStr">
        <is>
          <t>Unit</t>
        </is>
      </c>
      <c r="E1780" s="17" t="inlineStr">
        <is>
          <t>InvitationRulesTest</t>
        </is>
      </c>
      <c r="F1780" s="17" t="inlineStr"/>
      <c r="G1780" s="17" t="inlineStr">
        <is>
          <t>email không có @ bị từ chối</t>
        </is>
      </c>
      <c r="H1780" s="17" t="inlineStr">
        <is>
          <t>email_khong_hop_le(String)[4]</t>
        </is>
      </c>
      <c r="I1780" s="16" t="inlineStr">
        <is>
          <t>Đạt</t>
        </is>
      </c>
      <c r="J1780" s="16" t="n">
        <v>0.003</v>
      </c>
    </row>
    <row r="1781">
      <c r="A1781" s="16" t="n">
        <v>1777</v>
      </c>
      <c r="B1781" s="16" t="inlineStr">
        <is>
          <t>Backend</t>
        </is>
      </c>
      <c r="C1781" s="17" t="inlineStr">
        <is>
          <t>identity-service</t>
        </is>
      </c>
      <c r="D1781" s="16" t="inlineStr">
        <is>
          <t>Unit</t>
        </is>
      </c>
      <c r="E1781" s="17" t="inlineStr">
        <is>
          <t>InvitationTest</t>
        </is>
      </c>
      <c r="F1781" s="17" t="inlineStr"/>
      <c r="G1781" s="17" t="inlineStr">
        <is>
          <t>dung mot lan</t>
        </is>
      </c>
      <c r="H1781" s="17" t="inlineStr">
        <is>
          <t>dung_mot_lan</t>
        </is>
      </c>
      <c r="I1781" s="16" t="inlineStr">
        <is>
          <t>Đạt</t>
        </is>
      </c>
      <c r="J1781" s="16" t="n">
        <v>0.002</v>
      </c>
    </row>
    <row r="1782">
      <c r="A1782" s="16" t="n">
        <v>1778</v>
      </c>
      <c r="B1782" s="16" t="inlineStr">
        <is>
          <t>Backend</t>
        </is>
      </c>
      <c r="C1782" s="17" t="inlineStr">
        <is>
          <t>identity-service</t>
        </is>
      </c>
      <c r="D1782" s="16" t="inlineStr">
        <is>
          <t>Unit</t>
        </is>
      </c>
      <c r="E1782" s="17" t="inlineStr">
        <is>
          <t>InvitationTest</t>
        </is>
      </c>
      <c r="F1782" s="17" t="inlineStr"/>
      <c r="G1782" s="17" t="inlineStr">
        <is>
          <t>email duoc chuan hoa ve chu thuong</t>
        </is>
      </c>
      <c r="H1782" s="17" t="inlineStr">
        <is>
          <t>email_duoc_chuan_hoa_ve_chu_thuong</t>
        </is>
      </c>
      <c r="I1782" s="16" t="inlineStr">
        <is>
          <t>Đạt</t>
        </is>
      </c>
      <c r="J1782" s="16" t="n">
        <v>0.003</v>
      </c>
    </row>
    <row r="1783">
      <c r="A1783" s="16" t="n">
        <v>1779</v>
      </c>
      <c r="B1783" s="16" t="inlineStr">
        <is>
          <t>Backend</t>
        </is>
      </c>
      <c r="C1783" s="17" t="inlineStr">
        <is>
          <t>identity-service</t>
        </is>
      </c>
      <c r="D1783" s="16" t="inlineStr">
        <is>
          <t>Unit</t>
        </is>
      </c>
      <c r="E1783" s="17" t="inlineStr">
        <is>
          <t>InvitationTest</t>
        </is>
      </c>
      <c r="F1783" s="17" t="inlineStr"/>
      <c r="G1783" s="17" t="inlineStr">
        <is>
          <t>chi luu hash khong luu token tho</t>
        </is>
      </c>
      <c r="H1783" s="17" t="inlineStr">
        <is>
          <t>chi_luu_hash_khong_luu_token_tho</t>
        </is>
      </c>
      <c r="I1783" s="16" t="inlineStr">
        <is>
          <t>Đạt</t>
        </is>
      </c>
      <c r="J1783" s="16" t="n">
        <v>0.002</v>
      </c>
    </row>
    <row r="1784">
      <c r="A1784" s="16" t="n">
        <v>1780</v>
      </c>
      <c r="B1784" s="16" t="inlineStr">
        <is>
          <t>Backend</t>
        </is>
      </c>
      <c r="C1784" s="17" t="inlineStr">
        <is>
          <t>identity-service</t>
        </is>
      </c>
      <c r="D1784" s="16" t="inlineStr">
        <is>
          <t>Unit</t>
        </is>
      </c>
      <c r="E1784" s="17" t="inlineStr">
        <is>
          <t>InvitationTest</t>
        </is>
      </c>
      <c r="F1784" s="17" t="inlineStr"/>
      <c r="G1784" s="17" t="inlineStr">
        <is>
          <t>het han sau 7 ngay</t>
        </is>
      </c>
      <c r="H1784" s="17" t="inlineStr">
        <is>
          <t>het_han_sau_7_ngay</t>
        </is>
      </c>
      <c r="I1784" s="16" t="inlineStr">
        <is>
          <t>Đạt</t>
        </is>
      </c>
      <c r="J1784" s="16" t="n">
        <v>0.002</v>
      </c>
    </row>
    <row r="1785">
      <c r="A1785" s="16" t="n">
        <v>1781</v>
      </c>
      <c r="B1785" s="16" t="inlineStr">
        <is>
          <t>Backend</t>
        </is>
      </c>
      <c r="C1785" s="17" t="inlineStr">
        <is>
          <t>identity-service</t>
        </is>
      </c>
      <c r="D1785" s="16" t="inlineStr">
        <is>
          <t>Unit</t>
        </is>
      </c>
      <c r="E1785" s="17" t="inlineStr">
        <is>
          <t>OrganizationMembershipRulesTest › KhoaMoKhoa</t>
        </is>
      </c>
      <c r="F1785" s="17" t="inlineStr">
        <is>
          <t>khoá và mở khoá</t>
        </is>
      </c>
      <c r="G1785" s="17" t="inlineStr">
        <is>
          <t>khoá rồi mở lại trở về hoạt động, thành viên còn nguyên</t>
        </is>
      </c>
      <c r="H1785" s="17" t="inlineStr">
        <is>
          <t>khoa_roi_mo</t>
        </is>
      </c>
      <c r="I1785" s="16" t="inlineStr">
        <is>
          <t>Đạt</t>
        </is>
      </c>
      <c r="J1785" s="16" t="n">
        <v>0.001</v>
      </c>
    </row>
    <row r="1786">
      <c r="A1786" s="16" t="n">
        <v>1782</v>
      </c>
      <c r="B1786" s="16" t="inlineStr">
        <is>
          <t>Backend</t>
        </is>
      </c>
      <c r="C1786" s="17" t="inlineStr">
        <is>
          <t>identity-service</t>
        </is>
      </c>
      <c r="D1786" s="16" t="inlineStr">
        <is>
          <t>Unit</t>
        </is>
      </c>
      <c r="E1786" s="17" t="inlineStr">
        <is>
          <t>OrganizationMembershipRulesTest › TaoVaDoiTen</t>
        </is>
      </c>
      <c r="F1786" s="17" t="inlineStr">
        <is>
          <t>tạo và đổi tên</t>
        </is>
      </c>
      <c r="G1786" s="17" t="inlineStr">
        <is>
          <t>tên rỗng hoặc chỉ khoảng trắng bị từ chối, cả lúc tạo lẫn lúc đổi</t>
        </is>
      </c>
      <c r="H1786" s="17" t="inlineStr">
        <is>
          <t>ten_rong</t>
        </is>
      </c>
      <c r="I1786" s="16" t="inlineStr">
        <is>
          <t>Đạt</t>
        </is>
      </c>
      <c r="J1786" s="16" t="n">
        <v>0.002</v>
      </c>
    </row>
    <row r="1787">
      <c r="A1787" s="16" t="n">
        <v>1783</v>
      </c>
      <c r="B1787" s="16" t="inlineStr">
        <is>
          <t>Backend</t>
        </is>
      </c>
      <c r="C1787" s="17" t="inlineStr">
        <is>
          <t>identity-service</t>
        </is>
      </c>
      <c r="D1787" s="16" t="inlineStr">
        <is>
          <t>Unit</t>
        </is>
      </c>
      <c r="E1787" s="17" t="inlineStr">
        <is>
          <t>OrganizationMembershipRulesTest › TaoVaDoiTen</t>
        </is>
      </c>
      <c r="F1787" s="17" t="inlineStr">
        <is>
          <t>tạo và đổi tên</t>
        </is>
      </c>
      <c r="G1787" s="17" t="inlineStr">
        <is>
          <t>đổi tên giữ nguyên slug — slug là định danh trên URL đã phát đi</t>
        </is>
      </c>
      <c r="H1787" s="17" t="inlineStr">
        <is>
          <t>doi_ten_giu_slug</t>
        </is>
      </c>
      <c r="I1787" s="16" t="inlineStr">
        <is>
          <t>Đạt</t>
        </is>
      </c>
      <c r="J1787" s="16" t="n">
        <v>0.002</v>
      </c>
    </row>
    <row r="1788">
      <c r="A1788" s="16" t="n">
        <v>1784</v>
      </c>
      <c r="B1788" s="16" t="inlineStr">
        <is>
          <t>Backend</t>
        </is>
      </c>
      <c r="C1788" s="17" t="inlineStr">
        <is>
          <t>identity-service</t>
        </is>
      </c>
      <c r="D1788" s="16" t="inlineStr">
        <is>
          <t>Unit</t>
        </is>
      </c>
      <c r="E1788" s="17" t="inlineStr">
        <is>
          <t>OrganizationMembershipRulesTest › TaoVaDoiTen</t>
        </is>
      </c>
      <c r="F1788" s="17" t="inlineStr">
        <is>
          <t>tạo và đổi tên</t>
        </is>
      </c>
      <c r="G1788" s="17" t="inlineStr">
        <is>
          <t>tổ chức mới đang hoạt động, chưa có thành viên, tên đã cắt khoảng trắng</t>
        </is>
      </c>
      <c r="H1788" s="17" t="inlineStr">
        <is>
          <t>to_chuc_moi</t>
        </is>
      </c>
      <c r="I1788" s="16" t="inlineStr">
        <is>
          <t>Đạt</t>
        </is>
      </c>
      <c r="J1788" s="16" t="n">
        <v>0.002</v>
      </c>
    </row>
    <row r="1789">
      <c r="A1789" s="16" t="n">
        <v>1785</v>
      </c>
      <c r="B1789" s="16" t="inlineStr">
        <is>
          <t>Backend</t>
        </is>
      </c>
      <c r="C1789" s="17" t="inlineStr">
        <is>
          <t>identity-service</t>
        </is>
      </c>
      <c r="D1789" s="16" t="inlineStr">
        <is>
          <t>Unit</t>
        </is>
      </c>
      <c r="E1789" s="17" t="inlineStr">
        <is>
          <t>OrganizationMembershipRulesTest › ThanhVien</t>
        </is>
      </c>
      <c r="F1789" s="17" t="inlineStr">
        <is>
          <t>thành viên</t>
        </is>
      </c>
      <c r="G1789" s="17" t="inlineStr">
        <is>
          <t>đổi vai trò giữ nguyên id membership và ngày tham gia</t>
        </is>
      </c>
      <c r="H1789" s="17" t="inlineStr">
        <is>
          <t>doi_vai_tro_giu_lich_su</t>
        </is>
      </c>
      <c r="I1789" s="16" t="inlineStr">
        <is>
          <t>Đạt</t>
        </is>
      </c>
      <c r="J1789" s="16" t="n">
        <v>0.003</v>
      </c>
    </row>
    <row r="1790">
      <c r="A1790" s="16" t="n">
        <v>1786</v>
      </c>
      <c r="B1790" s="16" t="inlineStr">
        <is>
          <t>Backend</t>
        </is>
      </c>
      <c r="C1790" s="17" t="inlineStr">
        <is>
          <t>identity-service</t>
        </is>
      </c>
      <c r="D1790" s="16" t="inlineStr">
        <is>
          <t>Unit</t>
        </is>
      </c>
      <c r="E1790" s="17" t="inlineStr">
        <is>
          <t>OrganizationMembershipRulesTest › ThanhVien</t>
        </is>
      </c>
      <c r="F1790" s="17" t="inlineStr">
        <is>
          <t>thành viên</t>
        </is>
      </c>
      <c r="G1790" s="17" t="inlineStr">
        <is>
          <t>phong chủ sở hữu cuối cùng lên chính vai trò đó không bị coi là hạ cấp</t>
        </is>
      </c>
      <c r="H1790" s="17" t="inlineStr">
        <is>
          <t>giu_nguyen_vai_tro_chu_so_huu</t>
        </is>
      </c>
      <c r="I1790" s="16" t="inlineStr">
        <is>
          <t>Đạt</t>
        </is>
      </c>
      <c r="J1790" s="16" t="n">
        <v>0.003</v>
      </c>
    </row>
    <row r="1791">
      <c r="A1791" s="16" t="n">
        <v>1787</v>
      </c>
      <c r="B1791" s="16" t="inlineStr">
        <is>
          <t>Backend</t>
        </is>
      </c>
      <c r="C1791" s="17" t="inlineStr">
        <is>
          <t>identity-service</t>
        </is>
      </c>
      <c r="D1791" s="16" t="inlineStr">
        <is>
          <t>Unit</t>
        </is>
      </c>
      <c r="E1791" s="17" t="inlineStr">
        <is>
          <t>OrganizationMembershipRulesTest › ThanhVien</t>
        </is>
      </c>
      <c r="F1791" s="17" t="inlineStr">
        <is>
          <t>thành viên</t>
        </is>
      </c>
      <c r="G1791" s="17" t="inlineStr">
        <is>
          <t>đổi vai trò hay gỡ một người không thuộc tổ chức là lỗi trạng thái</t>
        </is>
      </c>
      <c r="H1791" s="17" t="inlineStr">
        <is>
          <t>khong_phai_thanh_vien</t>
        </is>
      </c>
      <c r="I1791" s="16" t="inlineStr">
        <is>
          <t>Đạt</t>
        </is>
      </c>
      <c r="J1791" s="16" t="n">
        <v>0.004</v>
      </c>
    </row>
    <row r="1792">
      <c r="A1792" s="16" t="n">
        <v>1788</v>
      </c>
      <c r="B1792" s="16" t="inlineStr">
        <is>
          <t>Backend</t>
        </is>
      </c>
      <c r="C1792" s="17" t="inlineStr">
        <is>
          <t>identity-service</t>
        </is>
      </c>
      <c r="D1792" s="16" t="inlineStr">
        <is>
          <t>Unit</t>
        </is>
      </c>
      <c r="E1792" s="17" t="inlineStr">
        <is>
          <t>OrganizationMembershipRulesTest › ThanhVien</t>
        </is>
      </c>
      <c r="F1792" s="17" t="inlineStr">
        <is>
          <t>thành viên</t>
        </is>
      </c>
      <c r="G1792" s="17" t="inlineStr">
        <is>
          <t>đổi vai trò sang vai trò ngoài phạm vi tổ chức bị từ chối, giống như lúc thêm</t>
        </is>
      </c>
      <c r="H1792" s="17" t="inlineStr">
        <is>
          <t>doi_sang_vai_tro_ngoai_pham_vi</t>
        </is>
      </c>
      <c r="I1792" s="16" t="inlineStr">
        <is>
          <t>Đạt</t>
        </is>
      </c>
      <c r="J1792" s="16" t="n">
        <v>0.008999999999999999</v>
      </c>
    </row>
    <row r="1793">
      <c r="A1793" s="16" t="n">
        <v>1789</v>
      </c>
      <c r="B1793" s="16" t="inlineStr">
        <is>
          <t>Backend</t>
        </is>
      </c>
      <c r="C1793" s="17" t="inlineStr">
        <is>
          <t>identity-service</t>
        </is>
      </c>
      <c r="D1793" s="16" t="inlineStr">
        <is>
          <t>Unit</t>
        </is>
      </c>
      <c r="E1793" s="17" t="inlineStr">
        <is>
          <t>OrganizationMembershipRulesTest › ThanhVien</t>
        </is>
      </c>
      <c r="F1793" s="17" t="inlineStr">
        <is>
          <t>thành viên</t>
        </is>
      </c>
      <c r="G1793" s="17" t="inlineStr">
        <is>
          <t>hạ một chủ sở hữu được phép khi vẫn còn chủ sở hữu khác</t>
        </is>
      </c>
      <c r="H1793" s="17" t="inlineStr">
        <is>
          <t>ha_chu_so_huu_khi_con_nguoi_khac</t>
        </is>
      </c>
      <c r="I1793" s="16" t="inlineStr">
        <is>
          <t>Đạt</t>
        </is>
      </c>
      <c r="J1793" s="16" t="n">
        <v>0.002</v>
      </c>
    </row>
    <row r="1794">
      <c r="A1794" s="16" t="n">
        <v>1790</v>
      </c>
      <c r="B1794" s="16" t="inlineStr">
        <is>
          <t>Backend</t>
        </is>
      </c>
      <c r="C1794" s="17" t="inlineStr">
        <is>
          <t>identity-service</t>
        </is>
      </c>
      <c r="D1794" s="16" t="inlineStr">
        <is>
          <t>Unit</t>
        </is>
      </c>
      <c r="E1794" s="17" t="inlineStr">
        <is>
          <t>OrganizationMembershipRulesTest › ThanhVien</t>
        </is>
      </c>
      <c r="F1794" s="17" t="inlineStr">
        <is>
          <t>thành viên</t>
        </is>
      </c>
      <c r="G1794" s="17" t="inlineStr">
        <is>
          <t>sau khi đã hạ một người, người chủ sở hữu còn lại trở thành người cuối cùng</t>
        </is>
      </c>
      <c r="H1794" s="17" t="inlineStr">
        <is>
          <t>sau_khi_ha_thi_nguoi_con_lai_la_cuoi</t>
        </is>
      </c>
      <c r="I1794" s="16" t="inlineStr">
        <is>
          <t>Đạt</t>
        </is>
      </c>
      <c r="J1794" s="16" t="n">
        <v>0.003</v>
      </c>
    </row>
    <row r="1795">
      <c r="A1795" s="16" t="n">
        <v>1791</v>
      </c>
      <c r="B1795" s="16" t="inlineStr">
        <is>
          <t>Backend</t>
        </is>
      </c>
      <c r="C1795" s="17" t="inlineStr">
        <is>
          <t>identity-service</t>
        </is>
      </c>
      <c r="D1795" s="16" t="inlineStr">
        <is>
          <t>Unit</t>
        </is>
      </c>
      <c r="E1795" s="17" t="inlineStr">
        <is>
          <t>OrganizationMembershipRulesTest › ThanhVien</t>
        </is>
      </c>
      <c r="F1795" s="17" t="inlineStr">
        <is>
          <t>thành viên</t>
        </is>
      </c>
      <c r="G1795" s="17" t="inlineStr">
        <is>
          <t>danh sách thành viên trả ra ngoài không sửa được — bất biến chỉ giữ được qua aggregate</t>
        </is>
      </c>
      <c r="H1795" s="17" t="inlineStr">
        <is>
          <t>danh_sach_chi_doc</t>
        </is>
      </c>
      <c r="I1795" s="16" t="inlineStr">
        <is>
          <t>Đạt</t>
        </is>
      </c>
      <c r="J1795" s="16" t="n">
        <v>0.001</v>
      </c>
    </row>
    <row r="1796">
      <c r="A1796" s="16" t="n">
        <v>1792</v>
      </c>
      <c r="B1796" s="16" t="inlineStr">
        <is>
          <t>Backend</t>
        </is>
      </c>
      <c r="C1796" s="17" t="inlineStr">
        <is>
          <t>identity-service</t>
        </is>
      </c>
      <c r="D1796" s="16" t="inlineStr">
        <is>
          <t>Unit</t>
        </is>
      </c>
      <c r="E1796" s="17" t="inlineStr">
        <is>
          <t>OrganizationTest</t>
        </is>
      </c>
      <c r="F1796" s="17" t="inlineStr"/>
      <c r="G1796" s="17" t="inlineStr">
        <is>
          <t>slug bo dau tieng viet</t>
        </is>
      </c>
      <c r="H1796" s="17" t="inlineStr">
        <is>
          <t>slug_bo_dau_tieng_viet</t>
        </is>
      </c>
      <c r="I1796" s="16" t="inlineStr">
        <is>
          <t>Đạt</t>
        </is>
      </c>
      <c r="J1796" s="16" t="n">
        <v>0.002</v>
      </c>
    </row>
    <row r="1797">
      <c r="A1797" s="16" t="n">
        <v>1793</v>
      </c>
      <c r="B1797" s="16" t="inlineStr">
        <is>
          <t>Backend</t>
        </is>
      </c>
      <c r="C1797" s="17" t="inlineStr">
        <is>
          <t>identity-service</t>
        </is>
      </c>
      <c r="D1797" s="16" t="inlineStr">
        <is>
          <t>Unit</t>
        </is>
      </c>
      <c r="E1797" s="17" t="inlineStr">
        <is>
          <t>OrganizationTest</t>
        </is>
      </c>
      <c r="F1797" s="17" t="inlineStr"/>
      <c r="G1797" s="17" t="inlineStr">
        <is>
          <t>khong them trung thanh vien</t>
        </is>
      </c>
      <c r="H1797" s="17" t="inlineStr">
        <is>
          <t>khong_them_trung_thanh_vien</t>
        </is>
      </c>
      <c r="I1797" s="16" t="inlineStr">
        <is>
          <t>Đạt</t>
        </is>
      </c>
      <c r="J1797" s="16" t="n">
        <v>0.01</v>
      </c>
    </row>
    <row r="1798">
      <c r="A1798" s="16" t="n">
        <v>1794</v>
      </c>
      <c r="B1798" s="16" t="inlineStr">
        <is>
          <t>Backend</t>
        </is>
      </c>
      <c r="C1798" s="17" t="inlineStr">
        <is>
          <t>identity-service</t>
        </is>
      </c>
      <c r="D1798" s="16" t="inlineStr">
        <is>
          <t>Unit</t>
        </is>
      </c>
      <c r="E1798" s="17" t="inlineStr">
        <is>
          <t>OrganizationTest</t>
        </is>
      </c>
      <c r="F1798" s="17" t="inlineStr"/>
      <c r="G1798" s="17" t="inlineStr">
        <is>
          <t>vai tro ngoai pham vi to chuc bi tu choi</t>
        </is>
      </c>
      <c r="H1798" s="17" t="inlineStr">
        <is>
          <t>vai_tro_ngoai_pham_vi_to_chuc_bi_tu_choi</t>
        </is>
      </c>
      <c r="I1798" s="16" t="inlineStr">
        <is>
          <t>Đạt</t>
        </is>
      </c>
      <c r="J1798" s="16" t="n">
        <v>0.006</v>
      </c>
    </row>
    <row r="1799">
      <c r="A1799" s="16" t="n">
        <v>1795</v>
      </c>
      <c r="B1799" s="16" t="inlineStr">
        <is>
          <t>Backend</t>
        </is>
      </c>
      <c r="C1799" s="17" t="inlineStr">
        <is>
          <t>identity-service</t>
        </is>
      </c>
      <c r="D1799" s="16" t="inlineStr">
        <is>
          <t>Unit</t>
        </is>
      </c>
      <c r="E1799" s="17" t="inlineStr">
        <is>
          <t>OrganizationTest</t>
        </is>
      </c>
      <c r="F1799" s="17" t="inlineStr"/>
      <c r="G1799" s="17" t="inlineStr">
        <is>
          <t>khong the xoa chu so huu cuoi cung</t>
        </is>
      </c>
      <c r="H1799" s="17" t="inlineStr">
        <is>
          <t>khong_the_xoa_chu_so_huu_cuoi_cung</t>
        </is>
      </c>
      <c r="I1799" s="16" t="inlineStr">
        <is>
          <t>Đạt</t>
        </is>
      </c>
      <c r="J1799" s="16" t="n">
        <v>0.003</v>
      </c>
    </row>
    <row r="1800">
      <c r="A1800" s="16" t="n">
        <v>1796</v>
      </c>
      <c r="B1800" s="16" t="inlineStr">
        <is>
          <t>Backend</t>
        </is>
      </c>
      <c r="C1800" s="17" t="inlineStr">
        <is>
          <t>identity-service</t>
        </is>
      </c>
      <c r="D1800" s="16" t="inlineStr">
        <is>
          <t>Unit</t>
        </is>
      </c>
      <c r="E1800" s="17" t="inlineStr">
        <is>
          <t>OrganizationTest</t>
        </is>
      </c>
      <c r="F1800" s="17" t="inlineStr"/>
      <c r="G1800" s="17" t="inlineStr">
        <is>
          <t>khong the ha vai tro chu so huu cuoi cung</t>
        </is>
      </c>
      <c r="H1800" s="17" t="inlineStr">
        <is>
          <t>khong_the_ha_vai_tro_chu_so_huu_cuoi_cung</t>
        </is>
      </c>
      <c r="I1800" s="16" t="inlineStr">
        <is>
          <t>Đạt</t>
        </is>
      </c>
      <c r="J1800" s="16" t="n">
        <v>0.001</v>
      </c>
    </row>
    <row r="1801">
      <c r="A1801" s="16" t="n">
        <v>1797</v>
      </c>
      <c r="B1801" s="16" t="inlineStr">
        <is>
          <t>Backend</t>
        </is>
      </c>
      <c r="C1801" s="17" t="inlineStr">
        <is>
          <t>identity-service</t>
        </is>
      </c>
      <c r="D1801" s="16" t="inlineStr">
        <is>
          <t>Unit</t>
        </is>
      </c>
      <c r="E1801" s="17" t="inlineStr">
        <is>
          <t>OrganizationTest</t>
        </is>
      </c>
      <c r="F1801" s="17" t="inlineStr"/>
      <c r="G1801" s="17" t="inlineStr">
        <is>
          <t>xoa duoc khi con chu so huu khac</t>
        </is>
      </c>
      <c r="H1801" s="17" t="inlineStr">
        <is>
          <t>xoa_duoc_khi_con_chu_so_huu_khac</t>
        </is>
      </c>
      <c r="I1801" s="16" t="inlineStr">
        <is>
          <t>Đạt</t>
        </is>
      </c>
      <c r="J1801" s="16" t="n">
        <v>0.003</v>
      </c>
    </row>
    <row r="1802">
      <c r="A1802" s="16" t="n">
        <v>1798</v>
      </c>
      <c r="B1802" s="16" t="inlineStr">
        <is>
          <t>Backend</t>
        </is>
      </c>
      <c r="C1802" s="17" t="inlineStr">
        <is>
          <t>identity-service</t>
        </is>
      </c>
      <c r="D1802" s="16" t="inlineStr">
        <is>
          <t>Unit</t>
        </is>
      </c>
      <c r="E1802" s="17" t="inlineStr">
        <is>
          <t>PermissionMatrixTest</t>
        </is>
      </c>
      <c r="F1802" s="17" t="inlineStr"/>
      <c r="G1802" s="17" t="inlineStr">
        <is>
          <t>ba hàm boolean cũ trả lời giống hệt ma trận</t>
        </is>
      </c>
      <c r="H1802" s="17" t="inlineStr">
        <is>
          <t>ham_cu_dong_bo_voi_ma_tran</t>
        </is>
      </c>
      <c r="I1802" s="16" t="inlineStr">
        <is>
          <t>Đạt</t>
        </is>
      </c>
      <c r="J1802" s="16" t="n">
        <v>0.001</v>
      </c>
    </row>
    <row r="1803">
      <c r="A1803" s="16" t="n">
        <v>1799</v>
      </c>
      <c r="B1803" s="16" t="inlineStr">
        <is>
          <t>Backend</t>
        </is>
      </c>
      <c r="C1803" s="17" t="inlineStr">
        <is>
          <t>identity-service</t>
        </is>
      </c>
      <c r="D1803" s="16" t="inlineStr">
        <is>
          <t>Unit</t>
        </is>
      </c>
      <c r="E1803" s="17" t="inlineStr">
        <is>
          <t>PermissionMatrixTest</t>
        </is>
      </c>
      <c r="F1803" s="17" t="inlineStr"/>
      <c r="G1803" s="17" t="inlineStr">
        <is>
          <t>chỉ SUPER_ADMIN thấy được miền tài chính</t>
        </is>
      </c>
      <c r="H1803" s="17" t="inlineStr">
        <is>
          <t>chi_superadmin_thay_tien</t>
        </is>
      </c>
      <c r="I1803" s="16" t="inlineStr">
        <is>
          <t>Đạt</t>
        </is>
      </c>
      <c r="J1803" s="16" t="n">
        <v>0.003</v>
      </c>
    </row>
    <row r="1804">
      <c r="A1804" s="16" t="n">
        <v>1800</v>
      </c>
      <c r="B1804" s="16" t="inlineStr">
        <is>
          <t>Backend</t>
        </is>
      </c>
      <c r="C1804" s="17" t="inlineStr">
        <is>
          <t>identity-service</t>
        </is>
      </c>
      <c r="D1804" s="16" t="inlineStr">
        <is>
          <t>Unit</t>
        </is>
      </c>
      <c r="E1804" s="17" t="inlineStr">
        <is>
          <t>PermissionMatrixTest</t>
        </is>
      </c>
      <c r="F1804" s="17" t="inlineStr"/>
      <c r="G1804" s="17" t="inlineStr">
        <is>
          <t>mọi quyền đều được gán cho ít nhất một vai trò</t>
        </is>
      </c>
      <c r="H1804" s="17" t="inlineStr">
        <is>
          <t>khong_co_quyen_mo_coi</t>
        </is>
      </c>
      <c r="I1804" s="16" t="inlineStr">
        <is>
          <t>Đạt</t>
        </is>
      </c>
      <c r="J1804" s="16" t="n">
        <v>0.003</v>
      </c>
    </row>
    <row r="1805">
      <c r="A1805" s="16" t="n">
        <v>1801</v>
      </c>
      <c r="B1805" s="16" t="inlineStr">
        <is>
          <t>Backend</t>
        </is>
      </c>
      <c r="C1805" s="17" t="inlineStr">
        <is>
          <t>identity-service</t>
        </is>
      </c>
      <c r="D1805" s="16" t="inlineStr">
        <is>
          <t>Unit</t>
        </is>
      </c>
      <c r="E1805" s="17" t="inlineStr">
        <is>
          <t>PermissionMatrixTest</t>
        </is>
      </c>
      <c r="F1805" s="17" t="inlineStr"/>
      <c r="G1805" s="17" t="inlineStr">
        <is>
          <t>CHECKIN_STAFF chỉ quét vé — đúng một quyền, không hơn</t>
        </is>
      </c>
      <c r="H1805" s="17" t="inlineStr">
        <is>
          <t>checkin_staff_chi_quet_ve</t>
        </is>
      </c>
      <c r="I1805" s="16" t="inlineStr">
        <is>
          <t>Đạt</t>
        </is>
      </c>
      <c r="J1805" s="16" t="n">
        <v>0.002</v>
      </c>
    </row>
    <row r="1806">
      <c r="A1806" s="16" t="n">
        <v>1802</v>
      </c>
      <c r="B1806" s="16" t="inlineStr">
        <is>
          <t>Backend</t>
        </is>
      </c>
      <c r="C1806" s="17" t="inlineStr">
        <is>
          <t>identity-service</t>
        </is>
      </c>
      <c r="D1806" s="16" t="inlineStr">
        <is>
          <t>Unit</t>
        </is>
      </c>
      <c r="E1806" s="17" t="inlineStr">
        <is>
          <t>PermissionMatrixTest</t>
        </is>
      </c>
      <c r="F1806" s="17" t="inlineStr"/>
      <c r="G1806" s="17" t="inlineStr">
        <is>
          <t>EVENT_MANAGER dựng được sự kiện nhưng không đụng được tới người và tiền</t>
        </is>
      </c>
      <c r="H1806" s="17" t="inlineStr">
        <is>
          <t>event_manager_khong_quan_ly_nguoi</t>
        </is>
      </c>
      <c r="I1806" s="16" t="inlineStr">
        <is>
          <t>Đạt</t>
        </is>
      </c>
      <c r="J1806" s="16" t="n">
        <v>0</v>
      </c>
    </row>
    <row r="1807">
      <c r="A1807" s="16" t="n">
        <v>1803</v>
      </c>
      <c r="B1807" s="16" t="inlineStr">
        <is>
          <t>Backend</t>
        </is>
      </c>
      <c r="C1807" s="17" t="inlineStr">
        <is>
          <t>identity-service</t>
        </is>
      </c>
      <c r="D1807" s="16" t="inlineStr">
        <is>
          <t>Unit</t>
        </is>
      </c>
      <c r="E1807" s="17" t="inlineStr">
        <is>
          <t>PermissionMatrixTest</t>
        </is>
      </c>
      <c r="F1807" s="17" t="inlineStr"/>
      <c r="G1807" s="17" t="inlineStr">
        <is>
          <t>CUSTOMER không có quyền nào trong phạm vi tổ chức</t>
        </is>
      </c>
      <c r="H1807" s="17" t="inlineStr">
        <is>
          <t>customer_khong_co_quyen_to_chuc</t>
        </is>
      </c>
      <c r="I1807" s="16" t="inlineStr">
        <is>
          <t>Đạt</t>
        </is>
      </c>
      <c r="J1807" s="16" t="n">
        <v>0</v>
      </c>
    </row>
    <row r="1808">
      <c r="A1808" s="16" t="n">
        <v>1804</v>
      </c>
      <c r="B1808" s="16" t="inlineStr">
        <is>
          <t>Backend</t>
        </is>
      </c>
      <c r="C1808" s="17" t="inlineStr">
        <is>
          <t>identity-service</t>
        </is>
      </c>
      <c r="D1808" s="16" t="inlineStr">
        <is>
          <t>Unit</t>
        </is>
      </c>
      <c r="E1808" s="17" t="inlineStr">
        <is>
          <t>PermissionMatrixTest</t>
        </is>
      </c>
      <c r="F1808" s="17" t="inlineStr"/>
      <c r="G1808" s="17" t="inlineStr">
        <is>
          <t>không vai trò nào của tổ chức chạm được vào quyền của nền tảng</t>
        </is>
      </c>
      <c r="H1808" s="17" t="inlineStr">
        <is>
          <t>vai_tro_to_chuc_khong_cham_quyen_nen_tang</t>
        </is>
      </c>
      <c r="I1808" s="16" t="inlineStr">
        <is>
          <t>Đạt</t>
        </is>
      </c>
      <c r="J1808" s="16" t="n">
        <v>0.007</v>
      </c>
    </row>
    <row r="1809">
      <c r="A1809" s="16" t="n">
        <v>1805</v>
      </c>
      <c r="B1809" s="16" t="inlineStr">
        <is>
          <t>Backend</t>
        </is>
      </c>
      <c r="C1809" s="17" t="inlineStr">
        <is>
          <t>identity-service</t>
        </is>
      </c>
      <c r="D1809" s="16" t="inlineStr">
        <is>
          <t>Unit</t>
        </is>
      </c>
      <c r="E1809" s="17" t="inlineStr">
        <is>
          <t>SlugTest › GoTay</t>
        </is>
      </c>
      <c r="F1809" s="17" t="inlineStr">
        <is>
          <t>slug gõ tay</t>
        </is>
      </c>
      <c r="G1809" s="17" t="inlineStr">
        <is>
          <t>đúng 64 ký tự thì được, 65 thì không</t>
        </is>
      </c>
      <c r="H1809" s="17" t="inlineStr">
        <is>
          <t>bien_do_dai</t>
        </is>
      </c>
      <c r="I1809" s="16" t="inlineStr">
        <is>
          <t>Đạt</t>
        </is>
      </c>
      <c r="J1809" s="16" t="n">
        <v>0.004</v>
      </c>
    </row>
    <row r="1810">
      <c r="A1810" s="16" t="n">
        <v>1806</v>
      </c>
      <c r="B1810" s="16" t="inlineStr">
        <is>
          <t>Backend</t>
        </is>
      </c>
      <c r="C1810" s="17" t="inlineStr">
        <is>
          <t>identity-service</t>
        </is>
      </c>
      <c r="D1810" s="16" t="inlineStr">
        <is>
          <t>Unit</t>
        </is>
      </c>
      <c r="E1810" s="17" t="inlineStr">
        <is>
          <t>SlugTest › GoTay</t>
        </is>
      </c>
      <c r="F1810" s="17" t="inlineStr">
        <is>
          <t>slug gõ tay</t>
        </is>
      </c>
      <c r="G1810" s="17" t="inlineStr">
        <is>
          <t>chữ thường, số và gạch nối đơn được chấp nhận</t>
        </is>
      </c>
      <c r="H1810" s="17" t="inlineStr">
        <is>
          <t>hop_le(String)[1]</t>
        </is>
      </c>
      <c r="I1810" s="16" t="inlineStr">
        <is>
          <t>Đạt</t>
        </is>
      </c>
      <c r="J1810" s="16" t="n">
        <v>0.002</v>
      </c>
    </row>
    <row r="1811">
      <c r="A1811" s="16" t="n">
        <v>1807</v>
      </c>
      <c r="B1811" s="16" t="inlineStr">
        <is>
          <t>Backend</t>
        </is>
      </c>
      <c r="C1811" s="17" t="inlineStr">
        <is>
          <t>identity-service</t>
        </is>
      </c>
      <c r="D1811" s="16" t="inlineStr">
        <is>
          <t>Unit</t>
        </is>
      </c>
      <c r="E1811" s="17" t="inlineStr">
        <is>
          <t>SlugTest › GoTay</t>
        </is>
      </c>
      <c r="F1811" s="17" t="inlineStr">
        <is>
          <t>slug gõ tay</t>
        </is>
      </c>
      <c r="G1811" s="17" t="inlineStr">
        <is>
          <t>chữ thường, số và gạch nối đơn được chấp nhận</t>
        </is>
      </c>
      <c r="H1811" s="17" t="inlineStr">
        <is>
          <t>hop_le(String)[2]</t>
        </is>
      </c>
      <c r="I1811" s="16" t="inlineStr">
        <is>
          <t>Đạt</t>
        </is>
      </c>
      <c r="J1811" s="16" t="n">
        <v>0.003</v>
      </c>
    </row>
    <row r="1812">
      <c r="A1812" s="16" t="n">
        <v>1808</v>
      </c>
      <c r="B1812" s="16" t="inlineStr">
        <is>
          <t>Backend</t>
        </is>
      </c>
      <c r="C1812" s="17" t="inlineStr">
        <is>
          <t>identity-service</t>
        </is>
      </c>
      <c r="D1812" s="16" t="inlineStr">
        <is>
          <t>Unit</t>
        </is>
      </c>
      <c r="E1812" s="17" t="inlineStr">
        <is>
          <t>SlugTest › GoTay</t>
        </is>
      </c>
      <c r="F1812" s="17" t="inlineStr">
        <is>
          <t>slug gõ tay</t>
        </is>
      </c>
      <c r="G1812" s="17" t="inlineStr">
        <is>
          <t>chữ thường, số và gạch nối đơn được chấp nhận</t>
        </is>
      </c>
      <c r="H1812" s="17" t="inlineStr">
        <is>
          <t>hop_le(String)[3]</t>
        </is>
      </c>
      <c r="I1812" s="16" t="inlineStr">
        <is>
          <t>Đạt</t>
        </is>
      </c>
      <c r="J1812" s="16" t="n">
        <v>0</v>
      </c>
    </row>
    <row r="1813">
      <c r="A1813" s="16" t="n">
        <v>1809</v>
      </c>
      <c r="B1813" s="16" t="inlineStr">
        <is>
          <t>Backend</t>
        </is>
      </c>
      <c r="C1813" s="17" t="inlineStr">
        <is>
          <t>identity-service</t>
        </is>
      </c>
      <c r="D1813" s="16" t="inlineStr">
        <is>
          <t>Unit</t>
        </is>
      </c>
      <c r="E1813" s="17" t="inlineStr">
        <is>
          <t>SlugTest › GoTay</t>
        </is>
      </c>
      <c r="F1813" s="17" t="inlineStr">
        <is>
          <t>slug gõ tay</t>
        </is>
      </c>
      <c r="G1813" s="17" t="inlineStr">
        <is>
          <t>chữ thường, số và gạch nối đơn được chấp nhận</t>
        </is>
      </c>
      <c r="H1813" s="17" t="inlineStr">
        <is>
          <t>hop_le(String)[4]</t>
        </is>
      </c>
      <c r="I1813" s="16" t="inlineStr">
        <is>
          <t>Đạt</t>
        </is>
      </c>
      <c r="J1813" s="16" t="n">
        <v>0.001</v>
      </c>
    </row>
    <row r="1814">
      <c r="A1814" s="16" t="n">
        <v>1810</v>
      </c>
      <c r="B1814" s="16" t="inlineStr">
        <is>
          <t>Backend</t>
        </is>
      </c>
      <c r="C1814" s="17" t="inlineStr">
        <is>
          <t>identity-service</t>
        </is>
      </c>
      <c r="D1814" s="16" t="inlineStr">
        <is>
          <t>Unit</t>
        </is>
      </c>
      <c r="E1814" s="17" t="inlineStr">
        <is>
          <t>SlugTest › GoTay</t>
        </is>
      </c>
      <c r="F1814" s="17" t="inlineStr">
        <is>
          <t>slug gõ tay</t>
        </is>
      </c>
      <c r="G1814" s="17" t="inlineStr">
        <is>
          <t>chữ hoa, khoảng trắng, gạch nối đầu/cuối/kép, dấu và ký tự đường dẫn bị từ chối</t>
        </is>
      </c>
      <c r="H1814" s="17" t="inlineStr">
        <is>
          <t>khong_hop_le(String)[1]</t>
        </is>
      </c>
      <c r="I1814" s="16" t="inlineStr">
        <is>
          <t>Đạt</t>
        </is>
      </c>
      <c r="J1814" s="16" t="n">
        <v>0.002</v>
      </c>
    </row>
    <row r="1815">
      <c r="A1815" s="16" t="n">
        <v>1811</v>
      </c>
      <c r="B1815" s="16" t="inlineStr">
        <is>
          <t>Backend</t>
        </is>
      </c>
      <c r="C1815" s="17" t="inlineStr">
        <is>
          <t>identity-service</t>
        </is>
      </c>
      <c r="D1815" s="16" t="inlineStr">
        <is>
          <t>Unit</t>
        </is>
      </c>
      <c r="E1815" s="17" t="inlineStr">
        <is>
          <t>SlugTest › GoTay</t>
        </is>
      </c>
      <c r="F1815" s="17" t="inlineStr">
        <is>
          <t>slug gõ tay</t>
        </is>
      </c>
      <c r="G1815" s="17" t="inlineStr">
        <is>
          <t>chữ hoa, khoảng trắng, gạch nối đầu/cuối/kép, dấu và ký tự đường dẫn bị từ chối</t>
        </is>
      </c>
      <c r="H1815" s="17" t="inlineStr">
        <is>
          <t>khong_hop_le(String)[2]</t>
        </is>
      </c>
      <c r="I1815" s="16" t="inlineStr">
        <is>
          <t>Đạt</t>
        </is>
      </c>
      <c r="J1815" s="16" t="n">
        <v>0.001</v>
      </c>
    </row>
    <row r="1816">
      <c r="A1816" s="16" t="n">
        <v>1812</v>
      </c>
      <c r="B1816" s="16" t="inlineStr">
        <is>
          <t>Backend</t>
        </is>
      </c>
      <c r="C1816" s="17" t="inlineStr">
        <is>
          <t>identity-service</t>
        </is>
      </c>
      <c r="D1816" s="16" t="inlineStr">
        <is>
          <t>Unit</t>
        </is>
      </c>
      <c r="E1816" s="17" t="inlineStr">
        <is>
          <t>SlugTest › GoTay</t>
        </is>
      </c>
      <c r="F1816" s="17" t="inlineStr">
        <is>
          <t>slug gõ tay</t>
        </is>
      </c>
      <c r="G1816" s="17" t="inlineStr">
        <is>
          <t>chữ hoa, khoảng trắng, gạch nối đầu/cuối/kép, dấu và ký tự đường dẫn bị từ chối</t>
        </is>
      </c>
      <c r="H1816" s="17" t="inlineStr">
        <is>
          <t>khong_hop_le(String)[3]</t>
        </is>
      </c>
      <c r="I1816" s="16" t="inlineStr">
        <is>
          <t>Đạt</t>
        </is>
      </c>
      <c r="J1816" s="16" t="n">
        <v>0.002</v>
      </c>
    </row>
    <row r="1817">
      <c r="A1817" s="16" t="n">
        <v>1813</v>
      </c>
      <c r="B1817" s="16" t="inlineStr">
        <is>
          <t>Backend</t>
        </is>
      </c>
      <c r="C1817" s="17" t="inlineStr">
        <is>
          <t>identity-service</t>
        </is>
      </c>
      <c r="D1817" s="16" t="inlineStr">
        <is>
          <t>Unit</t>
        </is>
      </c>
      <c r="E1817" s="17" t="inlineStr">
        <is>
          <t>SlugTest › GoTay</t>
        </is>
      </c>
      <c r="F1817" s="17" t="inlineStr">
        <is>
          <t>slug gõ tay</t>
        </is>
      </c>
      <c r="G1817" s="17" t="inlineStr">
        <is>
          <t>chữ hoa, khoảng trắng, gạch nối đầu/cuối/kép, dấu và ký tự đường dẫn bị từ chối</t>
        </is>
      </c>
      <c r="H1817" s="17" t="inlineStr">
        <is>
          <t>khong_hop_le(String)[4]</t>
        </is>
      </c>
      <c r="I1817" s="16" t="inlineStr">
        <is>
          <t>Đạt</t>
        </is>
      </c>
      <c r="J1817" s="16" t="n">
        <v>0.002</v>
      </c>
    </row>
    <row r="1818">
      <c r="A1818" s="16" t="n">
        <v>1814</v>
      </c>
      <c r="B1818" s="16" t="inlineStr">
        <is>
          <t>Backend</t>
        </is>
      </c>
      <c r="C1818" s="17" t="inlineStr">
        <is>
          <t>identity-service</t>
        </is>
      </c>
      <c r="D1818" s="16" t="inlineStr">
        <is>
          <t>Unit</t>
        </is>
      </c>
      <c r="E1818" s="17" t="inlineStr">
        <is>
          <t>SlugTest › GoTay</t>
        </is>
      </c>
      <c r="F1818" s="17" t="inlineStr">
        <is>
          <t>slug gõ tay</t>
        </is>
      </c>
      <c r="G1818" s="17" t="inlineStr">
        <is>
          <t>chữ hoa, khoảng trắng, gạch nối đầu/cuối/kép, dấu và ký tự đường dẫn bị từ chối</t>
        </is>
      </c>
      <c r="H1818" s="17" t="inlineStr">
        <is>
          <t>khong_hop_le(String)[5]</t>
        </is>
      </c>
      <c r="I1818" s="16" t="inlineStr">
        <is>
          <t>Đạt</t>
        </is>
      </c>
      <c r="J1818" s="16" t="n">
        <v>0.001</v>
      </c>
    </row>
    <row r="1819">
      <c r="A1819" s="16" t="n">
        <v>1815</v>
      </c>
      <c r="B1819" s="16" t="inlineStr">
        <is>
          <t>Backend</t>
        </is>
      </c>
      <c r="C1819" s="17" t="inlineStr">
        <is>
          <t>identity-service</t>
        </is>
      </c>
      <c r="D1819" s="16" t="inlineStr">
        <is>
          <t>Unit</t>
        </is>
      </c>
      <c r="E1819" s="17" t="inlineStr">
        <is>
          <t>SlugTest › GoTay</t>
        </is>
      </c>
      <c r="F1819" s="17" t="inlineStr">
        <is>
          <t>slug gõ tay</t>
        </is>
      </c>
      <c r="G1819" s="17" t="inlineStr">
        <is>
          <t>chữ hoa, khoảng trắng, gạch nối đầu/cuối/kép, dấu và ký tự đường dẫn bị từ chối</t>
        </is>
      </c>
      <c r="H1819" s="17" t="inlineStr">
        <is>
          <t>khong_hop_le(String)[6]</t>
        </is>
      </c>
      <c r="I1819" s="16" t="inlineStr">
        <is>
          <t>Đạt</t>
        </is>
      </c>
      <c r="J1819" s="16" t="n">
        <v>0.002</v>
      </c>
    </row>
    <row r="1820">
      <c r="A1820" s="16" t="n">
        <v>1816</v>
      </c>
      <c r="B1820" s="16" t="inlineStr">
        <is>
          <t>Backend</t>
        </is>
      </c>
      <c r="C1820" s="17" t="inlineStr">
        <is>
          <t>identity-service</t>
        </is>
      </c>
      <c r="D1820" s="16" t="inlineStr">
        <is>
          <t>Unit</t>
        </is>
      </c>
      <c r="E1820" s="17" t="inlineStr">
        <is>
          <t>SlugTest › GoTay</t>
        </is>
      </c>
      <c r="F1820" s="17" t="inlineStr">
        <is>
          <t>slug gõ tay</t>
        </is>
      </c>
      <c r="G1820" s="17" t="inlineStr">
        <is>
          <t>chữ hoa, khoảng trắng, gạch nối đầu/cuối/kép, dấu và ký tự đường dẫn bị từ chối</t>
        </is>
      </c>
      <c r="H1820" s="17" t="inlineStr">
        <is>
          <t>khong_hop_le(String)[7]</t>
        </is>
      </c>
      <c r="I1820" s="16" t="inlineStr">
        <is>
          <t>Đạt</t>
        </is>
      </c>
      <c r="J1820" s="16" t="n">
        <v>0</v>
      </c>
    </row>
    <row r="1821">
      <c r="A1821" s="16" t="n">
        <v>1817</v>
      </c>
      <c r="B1821" s="16" t="inlineStr">
        <is>
          <t>Backend</t>
        </is>
      </c>
      <c r="C1821" s="17" t="inlineStr">
        <is>
          <t>identity-service</t>
        </is>
      </c>
      <c r="D1821" s="16" t="inlineStr">
        <is>
          <t>Unit</t>
        </is>
      </c>
      <c r="E1821" s="17" t="inlineStr">
        <is>
          <t>SlugTest › GoTay</t>
        </is>
      </c>
      <c r="F1821" s="17" t="inlineStr">
        <is>
          <t>slug gõ tay</t>
        </is>
      </c>
      <c r="G1821" s="17" t="inlineStr">
        <is>
          <t>chữ hoa, khoảng trắng, gạch nối đầu/cuối/kép, dấu và ký tự đường dẫn bị từ chối</t>
        </is>
      </c>
      <c r="H1821" s="17" t="inlineStr">
        <is>
          <t>khong_hop_le(String)[8]</t>
        </is>
      </c>
      <c r="I1821" s="16" t="inlineStr">
        <is>
          <t>Đạt</t>
        </is>
      </c>
      <c r="J1821" s="16" t="n">
        <v>0</v>
      </c>
    </row>
    <row r="1822">
      <c r="A1822" s="16" t="n">
        <v>1818</v>
      </c>
      <c r="B1822" s="16" t="inlineStr">
        <is>
          <t>Backend</t>
        </is>
      </c>
      <c r="C1822" s="17" t="inlineStr">
        <is>
          <t>identity-service</t>
        </is>
      </c>
      <c r="D1822" s="16" t="inlineStr">
        <is>
          <t>Unit</t>
        </is>
      </c>
      <c r="E1822" s="17" t="inlineStr">
        <is>
          <t>SlugTest › GoTay</t>
        </is>
      </c>
      <c r="F1822" s="17" t="inlineStr">
        <is>
          <t>slug gõ tay</t>
        </is>
      </c>
      <c r="G1822" s="17" t="inlineStr">
        <is>
          <t>chữ hoa, khoảng trắng, gạch nối đầu/cuối/kép, dấu và ký tự đường dẫn bị từ chối</t>
        </is>
      </c>
      <c r="H1822" s="17" t="inlineStr">
        <is>
          <t>khong_hop_le(String)[9]</t>
        </is>
      </c>
      <c r="I1822" s="16" t="inlineStr">
        <is>
          <t>Đạt</t>
        </is>
      </c>
      <c r="J1822" s="16" t="n">
        <v>0</v>
      </c>
    </row>
    <row r="1823">
      <c r="A1823" s="16" t="n">
        <v>1819</v>
      </c>
      <c r="B1823" s="16" t="inlineStr">
        <is>
          <t>Backend</t>
        </is>
      </c>
      <c r="C1823" s="17" t="inlineStr">
        <is>
          <t>identity-service</t>
        </is>
      </c>
      <c r="D1823" s="16" t="inlineStr">
        <is>
          <t>Unit</t>
        </is>
      </c>
      <c r="E1823" s="17" t="inlineStr">
        <is>
          <t>SlugTest › GoTay</t>
        </is>
      </c>
      <c r="F1823" s="17" t="inlineStr">
        <is>
          <t>slug gõ tay</t>
        </is>
      </c>
      <c r="G1823" s="17" t="inlineStr">
        <is>
          <t>chữ hoa, khoảng trắng, gạch nối đầu/cuối/kép, dấu và ký tự đường dẫn bị từ chối</t>
        </is>
      </c>
      <c r="H1823" s="17" t="inlineStr">
        <is>
          <t>khong_hop_le(String)[10]</t>
        </is>
      </c>
      <c r="I1823" s="16" t="inlineStr">
        <is>
          <t>Đạt</t>
        </is>
      </c>
      <c r="J1823" s="16" t="n">
        <v>0.002</v>
      </c>
    </row>
    <row r="1824">
      <c r="A1824" s="16" t="n">
        <v>1820</v>
      </c>
      <c r="B1824" s="16" t="inlineStr">
        <is>
          <t>Backend</t>
        </is>
      </c>
      <c r="C1824" s="17" t="inlineStr">
        <is>
          <t>identity-service</t>
        </is>
      </c>
      <c r="D1824" s="16" t="inlineStr">
        <is>
          <t>Unit</t>
        </is>
      </c>
      <c r="E1824" s="17" t="inlineStr">
        <is>
          <t>SlugTest › GoTay</t>
        </is>
      </c>
      <c r="F1824" s="17" t="inlineStr">
        <is>
          <t>slug gõ tay</t>
        </is>
      </c>
      <c r="G1824" s="17" t="inlineStr">
        <is>
          <t>chữ hoa, khoảng trắng, gạch nối đầu/cuối/kép, dấu và ký tự đường dẫn bị từ chối</t>
        </is>
      </c>
      <c r="H1824" s="17" t="inlineStr">
        <is>
          <t>khong_hop_le(String)[11]</t>
        </is>
      </c>
      <c r="I1824" s="16" t="inlineStr">
        <is>
          <t>Đạt</t>
        </is>
      </c>
      <c r="J1824" s="16" t="n">
        <v>0.003</v>
      </c>
    </row>
    <row r="1825">
      <c r="A1825" s="16" t="n">
        <v>1821</v>
      </c>
      <c r="B1825" s="16" t="inlineStr">
        <is>
          <t>Backend</t>
        </is>
      </c>
      <c r="C1825" s="17" t="inlineStr">
        <is>
          <t>identity-service</t>
        </is>
      </c>
      <c r="D1825" s="16" t="inlineStr">
        <is>
          <t>Unit</t>
        </is>
      </c>
      <c r="E1825" s="17" t="inlineStr">
        <is>
          <t>SlugTest › GoTay</t>
        </is>
      </c>
      <c r="F1825" s="17" t="inlineStr">
        <is>
          <t>slug gõ tay</t>
        </is>
      </c>
      <c r="G1825" s="17" t="inlineStr">
        <is>
          <t>chữ hoa, khoảng trắng, gạch nối đầu/cuối/kép, dấu và ký tự đường dẫn bị từ chối</t>
        </is>
      </c>
      <c r="H1825" s="17" t="inlineStr">
        <is>
          <t>khong_hop_le(String)[12]</t>
        </is>
      </c>
      <c r="I1825" s="16" t="inlineStr">
        <is>
          <t>Đạt</t>
        </is>
      </c>
      <c r="J1825" s="16" t="n">
        <v>0.001</v>
      </c>
    </row>
    <row r="1826">
      <c r="A1826" s="16" t="n">
        <v>1822</v>
      </c>
      <c r="B1826" s="16" t="inlineStr">
        <is>
          <t>Backend</t>
        </is>
      </c>
      <c r="C1826" s="17" t="inlineStr">
        <is>
          <t>identity-service</t>
        </is>
      </c>
      <c r="D1826" s="16" t="inlineStr">
        <is>
          <t>Unit</t>
        </is>
      </c>
      <c r="E1826" s="17" t="inlineStr">
        <is>
          <t>SlugTest</t>
        </is>
      </c>
      <c r="F1826" s="17" t="inlineStr"/>
      <c r="G1826" s="17" t="inlineStr">
        <is>
          <t>hậu tố khi trùng nối bằng gạch nối và vẫn là slug hợp lệ</t>
        </is>
      </c>
      <c r="H1826" s="17" t="inlineStr">
        <is>
          <t>hau_to</t>
        </is>
      </c>
      <c r="I1826" s="16" t="inlineStr">
        <is>
          <t>Đạt</t>
        </is>
      </c>
      <c r="J1826" s="16" t="n">
        <v>0.001</v>
      </c>
    </row>
    <row r="1827">
      <c r="A1827" s="16" t="n">
        <v>1823</v>
      </c>
      <c r="B1827" s="16" t="inlineStr">
        <is>
          <t>Backend</t>
        </is>
      </c>
      <c r="C1827" s="17" t="inlineStr">
        <is>
          <t>identity-service</t>
        </is>
      </c>
      <c r="D1827" s="16" t="inlineStr">
        <is>
          <t>Unit</t>
        </is>
      </c>
      <c r="E1827" s="17" t="inlineStr">
        <is>
          <t>SlugTest</t>
        </is>
      </c>
      <c r="F1827" s="17" t="inlineStr"/>
      <c r="G1827" s="17" t="inlineStr">
        <is>
          <t>hậu tố làm slug vượt 64 ký tự thì bị từ chối thay vì lưu một slug dài</t>
        </is>
      </c>
      <c r="H1827" s="17" t="inlineStr">
        <is>
          <t>hau_to_vuot_do_dai</t>
        </is>
      </c>
      <c r="I1827" s="16" t="inlineStr">
        <is>
          <t>Đạt</t>
        </is>
      </c>
      <c r="J1827" s="16" t="n">
        <v>0.003</v>
      </c>
    </row>
    <row r="1828">
      <c r="A1828" s="16" t="n">
        <v>1824</v>
      </c>
      <c r="B1828" s="16" t="inlineStr">
        <is>
          <t>Backend</t>
        </is>
      </c>
      <c r="C1828" s="17" t="inlineStr">
        <is>
          <t>identity-service</t>
        </is>
      </c>
      <c r="D1828" s="16" t="inlineStr">
        <is>
          <t>Unit</t>
        </is>
      </c>
      <c r="E1828" s="17" t="inlineStr">
        <is>
          <t>SlugTest › SinhTuTen</t>
        </is>
      </c>
      <c r="F1828" s="17" t="inlineStr">
        <is>
          <t>slug sinh từ tên</t>
        </is>
      </c>
      <c r="G1828" s="17" t="inlineStr">
        <is>
          <t>ký tự đặc biệt liên tiếp gộp thành một gạch nối, đầu cuối được cắt</t>
        </is>
      </c>
      <c r="H1828" s="17" t="inlineStr">
        <is>
          <t>gop_ky_tu_dac_biet</t>
        </is>
      </c>
      <c r="I1828" s="16" t="inlineStr">
        <is>
          <t>Đạt</t>
        </is>
      </c>
      <c r="J1828" s="16" t="n">
        <v>0.001</v>
      </c>
    </row>
    <row r="1829">
      <c r="A1829" s="16" t="n">
        <v>1825</v>
      </c>
      <c r="B1829" s="16" t="inlineStr">
        <is>
          <t>Backend</t>
        </is>
      </c>
      <c r="C1829" s="17" t="inlineStr">
        <is>
          <t>identity-service</t>
        </is>
      </c>
      <c r="D1829" s="16" t="inlineStr">
        <is>
          <t>Unit</t>
        </is>
      </c>
      <c r="E1829" s="17" t="inlineStr">
        <is>
          <t>SlugTest › SinhTuTen</t>
        </is>
      </c>
      <c r="F1829" s="17" t="inlineStr">
        <is>
          <t>slug sinh từ tên</t>
        </is>
      </c>
      <c r="G1829" s="17" t="inlineStr">
        <is>
          <t>tên quá dài bị cắt về 64 ký tự mà không để gạch nối ở cuối</t>
        </is>
      </c>
      <c r="H1829" s="17" t="inlineStr">
        <is>
          <t>cat_ten_dai</t>
        </is>
      </c>
      <c r="I1829" s="16" t="inlineStr">
        <is>
          <t>Đạt</t>
        </is>
      </c>
      <c r="J1829" s="16" t="n">
        <v>0.002</v>
      </c>
    </row>
    <row r="1830">
      <c r="A1830" s="16" t="n">
        <v>1826</v>
      </c>
      <c r="B1830" s="16" t="inlineStr">
        <is>
          <t>Backend</t>
        </is>
      </c>
      <c r="C1830" s="17" t="inlineStr">
        <is>
          <t>identity-service</t>
        </is>
      </c>
      <c r="D1830" s="16" t="inlineStr">
        <is>
          <t>Unit</t>
        </is>
      </c>
      <c r="E1830" s="17" t="inlineStr">
        <is>
          <t>SlugTest › SinhTuTen</t>
        </is>
      </c>
      <c r="F1830" s="17" t="inlineStr">
        <is>
          <t>slug sinh từ tên</t>
        </is>
      </c>
      <c r="G1830" s="17" t="inlineStr">
        <is>
          <t>tên không còn chữ hay số nào thì không sinh được slug</t>
        </is>
      </c>
      <c r="H1830" s="17" t="inlineStr">
        <is>
          <t>ten_khong_co_chu(String)[1]</t>
        </is>
      </c>
      <c r="I1830" s="16" t="inlineStr">
        <is>
          <t>Đạt</t>
        </is>
      </c>
      <c r="J1830" s="16" t="n">
        <v>0.004</v>
      </c>
    </row>
    <row r="1831">
      <c r="A1831" s="16" t="n">
        <v>1827</v>
      </c>
      <c r="B1831" s="16" t="inlineStr">
        <is>
          <t>Backend</t>
        </is>
      </c>
      <c r="C1831" s="17" t="inlineStr">
        <is>
          <t>identity-service</t>
        </is>
      </c>
      <c r="D1831" s="16" t="inlineStr">
        <is>
          <t>Unit</t>
        </is>
      </c>
      <c r="E1831" s="17" t="inlineStr">
        <is>
          <t>SlugTest › SinhTuTen</t>
        </is>
      </c>
      <c r="F1831" s="17" t="inlineStr">
        <is>
          <t>slug sinh từ tên</t>
        </is>
      </c>
      <c r="G1831" s="17" t="inlineStr">
        <is>
          <t>tên không còn chữ hay số nào thì không sinh được slug</t>
        </is>
      </c>
      <c r="H1831" s="17" t="inlineStr">
        <is>
          <t>ten_khong_co_chu(String)[2]</t>
        </is>
      </c>
      <c r="I1831" s="16" t="inlineStr">
        <is>
          <t>Đạt</t>
        </is>
      </c>
      <c r="J1831" s="16" t="n">
        <v>0.001</v>
      </c>
    </row>
    <row r="1832">
      <c r="A1832" s="16" t="n">
        <v>1828</v>
      </c>
      <c r="B1832" s="16" t="inlineStr">
        <is>
          <t>Backend</t>
        </is>
      </c>
      <c r="C1832" s="17" t="inlineStr">
        <is>
          <t>identity-service</t>
        </is>
      </c>
      <c r="D1832" s="16" t="inlineStr">
        <is>
          <t>Unit</t>
        </is>
      </c>
      <c r="E1832" s="17" t="inlineStr">
        <is>
          <t>SlugTest › SinhTuTen</t>
        </is>
      </c>
      <c r="F1832" s="17" t="inlineStr">
        <is>
          <t>slug sinh từ tên</t>
        </is>
      </c>
      <c r="G1832" s="17" t="inlineStr">
        <is>
          <t>tên không còn chữ hay số nào thì không sinh được slug</t>
        </is>
      </c>
      <c r="H1832" s="17" t="inlineStr">
        <is>
          <t>ten_khong_co_chu(String)[3]</t>
        </is>
      </c>
      <c r="I1832" s="16" t="inlineStr">
        <is>
          <t>Đạt</t>
        </is>
      </c>
      <c r="J1832" s="16" t="n">
        <v>0.001</v>
      </c>
    </row>
    <row r="1833">
      <c r="A1833" s="16" t="n">
        <v>1829</v>
      </c>
      <c r="B1833" s="16" t="inlineStr">
        <is>
          <t>Backend</t>
        </is>
      </c>
      <c r="C1833" s="17" t="inlineStr">
        <is>
          <t>identity-service</t>
        </is>
      </c>
      <c r="D1833" s="16" t="inlineStr">
        <is>
          <t>Unit</t>
        </is>
      </c>
      <c r="E1833" s="17" t="inlineStr">
        <is>
          <t>SlugTest › SinhTuTen</t>
        </is>
      </c>
      <c r="F1833" s="17" t="inlineStr">
        <is>
          <t>slug sinh từ tên</t>
        </is>
      </c>
      <c r="G1833" s="17" t="inlineStr">
        <is>
          <t>tên không còn chữ hay số nào thì không sinh được slug</t>
        </is>
      </c>
      <c r="H1833" s="17" t="inlineStr">
        <is>
          <t>ten_khong_co_chu(String)[4]</t>
        </is>
      </c>
      <c r="I1833" s="16" t="inlineStr">
        <is>
          <t>Đạt</t>
        </is>
      </c>
      <c r="J1833" s="16" t="n">
        <v>0.006</v>
      </c>
    </row>
    <row r="1834">
      <c r="A1834" s="16" t="n">
        <v>1830</v>
      </c>
      <c r="B1834" s="16" t="inlineStr">
        <is>
          <t>Backend</t>
        </is>
      </c>
      <c r="C1834" s="17" t="inlineStr">
        <is>
          <t>identity-service</t>
        </is>
      </c>
      <c r="D1834" s="16" t="inlineStr">
        <is>
          <t>Unit</t>
        </is>
      </c>
      <c r="E1834" s="17" t="inlineStr">
        <is>
          <t>UserRecordTest</t>
        </is>
      </c>
      <c r="F1834" s="17" t="inlineStr"/>
      <c r="G1834" s="17" t="inlineStr">
        <is>
          <t>chỉ trạng thái ACTIVE mới là tài khoản dùng được</t>
        </is>
      </c>
      <c r="H1834" s="17" t="inlineStr">
        <is>
          <t>trang_thai</t>
        </is>
      </c>
      <c r="I1834" s="16" t="inlineStr">
        <is>
          <t>Đạt</t>
        </is>
      </c>
      <c r="J1834" s="16" t="n">
        <v>0.001</v>
      </c>
    </row>
    <row r="1835">
      <c r="A1835" s="16" t="n">
        <v>1831</v>
      </c>
      <c r="B1835" s="16" t="inlineStr">
        <is>
          <t>Backend</t>
        </is>
      </c>
      <c r="C1835" s="17" t="inlineStr">
        <is>
          <t>identity-service</t>
        </is>
      </c>
      <c r="D1835" s="16" t="inlineStr">
        <is>
          <t>Unit</t>
        </is>
      </c>
      <c r="E1835" s="17" t="inlineStr">
        <is>
          <t>UserRecordTest</t>
        </is>
      </c>
      <c r="F1835" s="17" t="inlineStr"/>
      <c r="G1835" s="17" t="inlineStr">
        <is>
          <t>token phát trước mốc thu hồi bị từ chối, phát đúng mốc hoặc sau thì còn hiệu lực</t>
        </is>
      </c>
      <c r="H1835" s="17" t="inlineStr">
        <is>
          <t>moc_thu_hoi</t>
        </is>
      </c>
      <c r="I1835" s="16" t="inlineStr">
        <is>
          <t>Đạt</t>
        </is>
      </c>
      <c r="J1835" s="16" t="n">
        <v>0.001</v>
      </c>
    </row>
    <row r="1836">
      <c r="A1836" s="16" t="n">
        <v>1832</v>
      </c>
      <c r="B1836" s="16" t="inlineStr">
        <is>
          <t>Backend</t>
        </is>
      </c>
      <c r="C1836" s="17" t="inlineStr">
        <is>
          <t>identity-service</t>
        </is>
      </c>
      <c r="D1836" s="16" t="inlineStr">
        <is>
          <t>Unit</t>
        </is>
      </c>
      <c r="E1836" s="17" t="inlineStr">
        <is>
          <t>UserRecordTest</t>
        </is>
      </c>
      <c r="F1836" s="17" t="inlineStr"/>
      <c r="G1836" s="17" t="inlineStr">
        <is>
          <t>chưa từng thu hồi thì mọi token còn hiệu lực</t>
        </is>
      </c>
      <c r="H1836" s="17" t="inlineStr">
        <is>
          <t>chua_tung_thu_hoi</t>
        </is>
      </c>
      <c r="I1836" s="16" t="inlineStr">
        <is>
          <t>Đạt</t>
        </is>
      </c>
      <c r="J1836" s="16" t="n">
        <v>0.001</v>
      </c>
    </row>
    <row r="1837">
      <c r="A1837" s="16" t="n">
        <v>1833</v>
      </c>
      <c r="B1837" s="16" t="inlineStr">
        <is>
          <t>Backend</t>
        </is>
      </c>
      <c r="C1837" s="17" t="inlineStr">
        <is>
          <t>identity-service</t>
        </is>
      </c>
      <c r="D1837" s="16" t="inlineStr">
        <is>
          <t>Unit</t>
        </is>
      </c>
      <c r="E1837" s="17" t="inlineStr">
        <is>
          <t>UserRecordTest</t>
        </is>
      </c>
      <c r="F1837" s="17" t="inlineStr"/>
      <c r="G1837" s="17" t="inlineStr">
        <is>
          <t>token không mang iat thì không bị khoá oan</t>
        </is>
      </c>
      <c r="H1837" s="17" t="inlineStr">
        <is>
          <t>khong_co_iat</t>
        </is>
      </c>
      <c r="I1837" s="16" t="inlineStr">
        <is>
          <t>Đạt</t>
        </is>
      </c>
      <c r="J1837" s="16" t="n">
        <v>0</v>
      </c>
    </row>
    <row r="1838">
      <c r="A1838" s="16" t="n">
        <v>1834</v>
      </c>
      <c r="B1838" s="16" t="inlineStr">
        <is>
          <t>Backend</t>
        </is>
      </c>
      <c r="C1838" s="17" t="inlineStr">
        <is>
          <t>identity-service</t>
        </is>
      </c>
      <c r="D1838" s="16" t="inlineStr">
        <is>
          <t>Unit</t>
        </is>
      </c>
      <c r="E1838" s="17" t="inlineStr">
        <is>
          <t>KeycloakAdminAdapterTest › DatLaiMatKhau</t>
        </is>
      </c>
      <c r="F1838" s="17" t="inlineStr">
        <is>
          <t>thư đặt lại mật khẩu</t>
        </is>
      </c>
      <c r="G1838" s="17" t="inlineStr">
        <is>
          <t>token service account lấy bằng client_credentials với đúng client và bí mật</t>
        </is>
      </c>
      <c r="H1838" s="17" t="inlineStr">
        <is>
          <t>lay_token</t>
        </is>
      </c>
      <c r="I1838" s="16" t="inlineStr">
        <is>
          <t>Đạt</t>
        </is>
      </c>
      <c r="J1838" s="16" t="n">
        <v>0.016</v>
      </c>
    </row>
    <row r="1839">
      <c r="A1839" s="16" t="n">
        <v>1835</v>
      </c>
      <c r="B1839" s="16" t="inlineStr">
        <is>
          <t>Backend</t>
        </is>
      </c>
      <c r="C1839" s="17" t="inlineStr">
        <is>
          <t>identity-service</t>
        </is>
      </c>
      <c r="D1839" s="16" t="inlineStr">
        <is>
          <t>Unit</t>
        </is>
      </c>
      <c r="E1839" s="17" t="inlineStr">
        <is>
          <t>KeycloakAdminAdapterTest › DatLaiMatKhau</t>
        </is>
      </c>
      <c r="F1839" s="17" t="inlineStr">
        <is>
          <t>thư đặt lại mật khẩu</t>
        </is>
      </c>
      <c r="G1839" s="17" t="inlineStr">
        <is>
          <t>tài khoản không có bên Keycloak (404) và mất kết nối đều thành 'không sẵn sàng'</t>
        </is>
      </c>
      <c r="H1839" s="17" t="inlineStr">
        <is>
          <t>loi_404_va_mat_ket_noi</t>
        </is>
      </c>
      <c r="I1839" s="16" t="inlineStr">
        <is>
          <t>Đạt</t>
        </is>
      </c>
      <c r="J1839" s="16" t="n">
        <v>0.022</v>
      </c>
    </row>
    <row r="1840">
      <c r="A1840" s="16" t="n">
        <v>1836</v>
      </c>
      <c r="B1840" s="16" t="inlineStr">
        <is>
          <t>Backend</t>
        </is>
      </c>
      <c r="C1840" s="17" t="inlineStr">
        <is>
          <t>identity-service</t>
        </is>
      </c>
      <c r="D1840" s="16" t="inlineStr">
        <is>
          <t>Unit</t>
        </is>
      </c>
      <c r="E1840" s="17" t="inlineStr">
        <is>
          <t>KeycloakAdminAdapterTest › DatLaiMatKhau</t>
        </is>
      </c>
      <c r="F1840" s="17" t="inlineStr">
        <is>
          <t>thư đặt lại mật khẩu</t>
        </is>
      </c>
      <c r="G1840" s="17" t="inlineStr">
        <is>
          <t>chỉ một trong hai tham số quay về thì không gửi tham số nào — Keycloak bỏ qua lẻ một cái</t>
        </is>
      </c>
      <c r="H1840" s="17" t="inlineStr">
        <is>
          <t>tham_so_di_cung_nhau</t>
        </is>
      </c>
      <c r="I1840" s="16" t="inlineStr">
        <is>
          <t>Đạt</t>
        </is>
      </c>
      <c r="J1840" s="16" t="n">
        <v>0.018</v>
      </c>
    </row>
    <row r="1841">
      <c r="A1841" s="16" t="n">
        <v>1837</v>
      </c>
      <c r="B1841" s="16" t="inlineStr">
        <is>
          <t>Backend</t>
        </is>
      </c>
      <c r="C1841" s="17" t="inlineStr">
        <is>
          <t>identity-service</t>
        </is>
      </c>
      <c r="D1841" s="16" t="inlineStr">
        <is>
          <t>Unit</t>
        </is>
      </c>
      <c r="E1841" s="17" t="inlineStr">
        <is>
          <t>KeycloakAdminAdapterTest › DatLaiMatKhau</t>
        </is>
      </c>
      <c r="F1841" s="17" t="inlineStr">
        <is>
          <t>thư đặt lại mật khẩu</t>
        </is>
      </c>
      <c r="G1841" s="17" t="inlineStr">
        <is>
          <t>PUT execute-actions-email đúng tài khoản, chỉ UPDATE_PASSWORD, kèm client_id và redirect_uri mặc định</t>
        </is>
      </c>
      <c r="H1841" s="17" t="inlineStr">
        <is>
          <t>anh_xa_request</t>
        </is>
      </c>
      <c r="I1841" s="16" t="inlineStr">
        <is>
          <t>Đạt</t>
        </is>
      </c>
      <c r="J1841" s="16" t="n">
        <v>0.019</v>
      </c>
    </row>
    <row r="1842">
      <c r="A1842" s="16" t="n">
        <v>1838</v>
      </c>
      <c r="B1842" s="16" t="inlineStr">
        <is>
          <t>Backend</t>
        </is>
      </c>
      <c r="C1842" s="17" t="inlineStr">
        <is>
          <t>identity-service</t>
        </is>
      </c>
      <c r="D1842" s="16" t="inlineStr">
        <is>
          <t>Unit</t>
        </is>
      </c>
      <c r="E1842" s="17" t="inlineStr">
        <is>
          <t>KeycloakAdminAdapterTest › DatLaiMatKhau</t>
        </is>
      </c>
      <c r="F1842" s="17" t="inlineStr">
        <is>
          <t>thư đặt lại mật khẩu</t>
        </is>
      </c>
      <c r="G1842" s="17" t="inlineStr">
        <is>
          <t>chưa cấu hình bí mật: lỗi 'không sẵn sàng' có nội dung, không có lời gọi mạng nào</t>
        </is>
      </c>
      <c r="H1842" s="17" t="inlineStr">
        <is>
          <t>chua_cau_hinh</t>
        </is>
      </c>
      <c r="I1842" s="16" t="inlineStr">
        <is>
          <t>Đạt</t>
        </is>
      </c>
      <c r="J1842" s="16" t="n">
        <v>0.018</v>
      </c>
    </row>
    <row r="1843">
      <c r="A1843" s="16" t="n">
        <v>1839</v>
      </c>
      <c r="B1843" s="16" t="inlineStr">
        <is>
          <t>Backend</t>
        </is>
      </c>
      <c r="C1843" s="17" t="inlineStr">
        <is>
          <t>identity-service</t>
        </is>
      </c>
      <c r="D1843" s="16" t="inlineStr">
        <is>
          <t>Unit</t>
        </is>
      </c>
      <c r="E1843" s="17" t="inlineStr">
        <is>
          <t>KeycloakAdminAdapterTest › DatLaiMatKhau</t>
        </is>
      </c>
      <c r="F1843" s="17" t="inlineStr">
        <is>
          <t>thư đặt lại mật khẩu</t>
        </is>
      </c>
      <c r="G1843" s="17" t="inlineStr">
        <is>
          <t>Keycloak trả 400: lỗi mang nguyên văn thân lỗi để người vận hành lần ra</t>
        </is>
      </c>
      <c r="H1843" s="17" t="inlineStr">
        <is>
          <t>loi_400</t>
        </is>
      </c>
      <c r="I1843" s="16" t="inlineStr">
        <is>
          <t>Đạt</t>
        </is>
      </c>
      <c r="J1843" s="16" t="n">
        <v>0.015</v>
      </c>
    </row>
    <row r="1844">
      <c r="A1844" s="16" t="n">
        <v>1840</v>
      </c>
      <c r="B1844" s="16" t="inlineStr">
        <is>
          <t>Backend</t>
        </is>
      </c>
      <c r="C1844" s="17" t="inlineStr">
        <is>
          <t>identity-service</t>
        </is>
      </c>
      <c r="D1844" s="16" t="inlineStr">
        <is>
          <t>Unit</t>
        </is>
      </c>
      <c r="E1844" s="17" t="inlineStr">
        <is>
          <t>KeycloakAdminAdapterTest › DatLaiMatKhau</t>
        </is>
      </c>
      <c r="F1844" s="17" t="inlineStr">
        <is>
          <t>thư đặt lại mật khẩu</t>
        </is>
      </c>
      <c r="G1844" s="17" t="inlineStr">
        <is>
          <t>token được dùng lại giữa hai lời gọi, không xin mới mỗi lần</t>
        </is>
      </c>
      <c r="H1844" s="17" t="inlineStr">
        <is>
          <t>cache_token</t>
        </is>
      </c>
      <c r="I1844" s="16" t="inlineStr">
        <is>
          <t>Đạt</t>
        </is>
      </c>
      <c r="J1844" s="16" t="n">
        <v>0.011</v>
      </c>
    </row>
    <row r="1845">
      <c r="A1845" s="16" t="n">
        <v>1841</v>
      </c>
      <c r="B1845" s="16" t="inlineStr">
        <is>
          <t>Backend</t>
        </is>
      </c>
      <c r="C1845" s="17" t="inlineStr">
        <is>
          <t>identity-service</t>
        </is>
      </c>
      <c r="D1845" s="16" t="inlineStr">
        <is>
          <t>Unit</t>
        </is>
      </c>
      <c r="E1845" s="17" t="inlineStr">
        <is>
          <t>KeycloakAdminAdapterTest › DatLaiMatKhau</t>
        </is>
      </c>
      <c r="F1845" s="17" t="inlineStr">
        <is>
          <t>thư đặt lại mật khẩu</t>
        </is>
      </c>
      <c r="G1845" s="17" t="inlineStr">
        <is>
          <t>id tài khoản mang ký tự đường dẫn không thoát ra khỏi /users/{id}</t>
        </is>
      </c>
      <c r="H1845" s="17" t="inlineStr">
        <is>
          <t>id_khong_thoat_duong_dan</t>
        </is>
      </c>
      <c r="I1845" s="16" t="inlineStr">
        <is>
          <t>Đạt</t>
        </is>
      </c>
      <c r="J1845" s="16" t="n">
        <v>0.012</v>
      </c>
    </row>
    <row r="1846">
      <c r="A1846" s="16" t="n">
        <v>1842</v>
      </c>
      <c r="B1846" s="16" t="inlineStr">
        <is>
          <t>Backend</t>
        </is>
      </c>
      <c r="C1846" s="17" t="inlineStr">
        <is>
          <t>identity-service</t>
        </is>
      </c>
      <c r="D1846" s="16" t="inlineStr">
        <is>
          <t>Unit</t>
        </is>
      </c>
      <c r="E1846" s="17" t="inlineStr">
        <is>
          <t>KeycloakAdminAdapterTest › TaiKhoanNhanVien</t>
        </is>
      </c>
      <c r="F1846" s="17" t="inlineStr">
        <is>
          <t>tài khoản nhân viên soát vé</t>
        </is>
      </c>
      <c r="G1846" s="17" t="inlineStr">
        <is>
          <t>email trùng (409) thành lỗi 'không sẵn sàng' kèm thân lỗi</t>
        </is>
      </c>
      <c r="H1846" s="17" t="inlineStr">
        <is>
          <t>email_trung</t>
        </is>
      </c>
      <c r="I1846" s="16" t="inlineStr">
        <is>
          <t>Đạt</t>
        </is>
      </c>
      <c r="J1846" s="16" t="n">
        <v>0.73</v>
      </c>
    </row>
    <row r="1847">
      <c r="A1847" s="16" t="n">
        <v>1843</v>
      </c>
      <c r="B1847" s="16" t="inlineStr">
        <is>
          <t>Backend</t>
        </is>
      </c>
      <c r="C1847" s="17" t="inlineStr">
        <is>
          <t>identity-service</t>
        </is>
      </c>
      <c r="D1847" s="16" t="inlineStr">
        <is>
          <t>Unit</t>
        </is>
      </c>
      <c r="E1847" s="17" t="inlineStr">
        <is>
          <t>KeycloakAdminAdapterTest › TaiKhoanNhanVien</t>
        </is>
      </c>
      <c r="F1847" s="17" t="inlineStr">
        <is>
          <t>tài khoản nhân viên soát vé</t>
        </is>
      </c>
      <c r="G1847" s="17" t="inlineStr">
        <is>
          <t>đọc tài khoản: còn UPDATE_PASSWORD là chưa kích hoạt; 404 là không có</t>
        </is>
      </c>
      <c r="H1847" s="17" t="inlineStr">
        <is>
          <t>doc_tai_khoan</t>
        </is>
      </c>
      <c r="I1847" s="16" t="inlineStr">
        <is>
          <t>Đạt</t>
        </is>
      </c>
      <c r="J1847" s="16" t="n">
        <v>0.047</v>
      </c>
    </row>
    <row r="1848">
      <c r="A1848" s="16" t="n">
        <v>1844</v>
      </c>
      <c r="B1848" s="16" t="inlineStr">
        <is>
          <t>Backend</t>
        </is>
      </c>
      <c r="C1848" s="17" t="inlineStr">
        <is>
          <t>identity-service</t>
        </is>
      </c>
      <c r="D1848" s="16" t="inlineStr">
        <is>
          <t>Unit</t>
        </is>
      </c>
      <c r="E1848" s="17" t="inlineStr">
        <is>
          <t>KeycloakAdminAdapterTest › TaiKhoanNhanVien</t>
        </is>
      </c>
      <c r="F1848" s="17" t="inlineStr">
        <is>
          <t>tài khoản nhân viên soát vé</t>
        </is>
      </c>
      <c r="G1848" s="17" t="inlineStr">
        <is>
          <t>thư mời: cả hai hành động, hạn liên kết tính bằng giây</t>
        </is>
      </c>
      <c r="H1848" s="17" t="inlineStr">
        <is>
          <t>thu_moi</t>
        </is>
      </c>
      <c r="I1848" s="16" t="inlineStr">
        <is>
          <t>Đạt</t>
        </is>
      </c>
      <c r="J1848" s="16" t="n">
        <v>0.035</v>
      </c>
    </row>
    <row r="1849">
      <c r="A1849" s="16" t="n">
        <v>1845</v>
      </c>
      <c r="B1849" s="16" t="inlineStr">
        <is>
          <t>Backend</t>
        </is>
      </c>
      <c r="C1849" s="17" t="inlineStr">
        <is>
          <t>identity-service</t>
        </is>
      </c>
      <c r="D1849" s="16" t="inlineStr">
        <is>
          <t>Unit</t>
        </is>
      </c>
      <c r="E1849" s="17" t="inlineStr">
        <is>
          <t>KeycloakAdminAdapterTest › TaiKhoanNhanVien</t>
        </is>
      </c>
      <c r="F1849" s="17" t="inlineStr">
        <is>
          <t>tài khoản nhân viên soát vé</t>
        </is>
      </c>
      <c r="G1849" s="17" t="inlineStr">
        <is>
          <t>email có dấu '+' được mã hoá — Keycloak đọc '+' thô trong query thành khoảng trắng</t>
        </is>
      </c>
      <c r="H1849" s="17" t="inlineStr">
        <is>
          <t>email_co_dau_cong</t>
        </is>
      </c>
      <c r="I1849" s="16" t="inlineStr">
        <is>
          <t>Đạt</t>
        </is>
      </c>
      <c r="J1849" s="16" t="n">
        <v>0.016</v>
      </c>
    </row>
    <row r="1850">
      <c r="A1850" s="16" t="n">
        <v>1846</v>
      </c>
      <c r="B1850" s="16" t="inlineStr">
        <is>
          <t>Backend</t>
        </is>
      </c>
      <c r="C1850" s="17" t="inlineStr">
        <is>
          <t>identity-service</t>
        </is>
      </c>
      <c r="D1850" s="16" t="inlineStr">
        <is>
          <t>Unit</t>
        </is>
      </c>
      <c r="E1850" s="17" t="inlineStr">
        <is>
          <t>KeycloakAdminAdapterTest › TaiKhoanNhanVien</t>
        </is>
      </c>
      <c r="F1850" s="17" t="inlineStr">
        <is>
          <t>tài khoản nhân viên soát vé</t>
        </is>
      </c>
      <c r="G1850" s="17" t="inlineStr">
        <is>
          <t>tạo tài khoản không mật khẩu, buộc đặt mật khẩu và xác minh email; id lấy từ Location</t>
        </is>
      </c>
      <c r="H1850" s="17" t="inlineStr">
        <is>
          <t>tao_tai_khoan</t>
        </is>
      </c>
      <c r="I1850" s="16" t="inlineStr">
        <is>
          <t>Đạt</t>
        </is>
      </c>
      <c r="J1850" s="16" t="n">
        <v>0.033</v>
      </c>
    </row>
    <row r="1851">
      <c r="A1851" s="16" t="n">
        <v>1847</v>
      </c>
      <c r="B1851" s="16" t="inlineStr">
        <is>
          <t>Backend</t>
        </is>
      </c>
      <c r="C1851" s="17" t="inlineStr">
        <is>
          <t>identity-service</t>
        </is>
      </c>
      <c r="D1851" s="16" t="inlineStr">
        <is>
          <t>Unit</t>
        </is>
      </c>
      <c r="E1851" s="17" t="inlineStr">
        <is>
          <t>KeycloakAdminAdapterTest › TaiKhoanNhanVien</t>
        </is>
      </c>
      <c r="F1851" s="17" t="inlineStr">
        <is>
          <t>tài khoản nhân viên soát vé</t>
        </is>
      </c>
      <c r="G1851" s="17" t="inlineStr">
        <is>
          <t>không xoá tài khoản đã kích hoạt; tài khoản đã mất thì coi như xong</t>
        </is>
      </c>
      <c r="H1851" s="17" t="inlineStr">
        <is>
          <t>xoa_tai_khoan</t>
        </is>
      </c>
      <c r="I1851" s="16" t="inlineStr">
        <is>
          <t>Đạt</t>
        </is>
      </c>
      <c r="J1851" s="16" t="n">
        <v>0.031</v>
      </c>
    </row>
    <row r="1852">
      <c r="A1852" s="16" t="n">
        <v>1848</v>
      </c>
      <c r="B1852" s="16" t="inlineStr">
        <is>
          <t>Backend</t>
        </is>
      </c>
      <c r="C1852" s="17" t="inlineStr">
        <is>
          <t>identity-service</t>
        </is>
      </c>
      <c r="D1852" s="16" t="inlineStr">
        <is>
          <t>Unit</t>
        </is>
      </c>
      <c r="E1852" s="17" t="inlineStr">
        <is>
          <t>KeycloakAdminAdapterTest › TaiKhoanNhanVien</t>
        </is>
      </c>
      <c r="F1852" s="17" t="inlineStr">
        <is>
          <t>tài khoản nhân viên soát vé</t>
        </is>
      </c>
      <c r="G1852" s="17" t="inlineStr">
        <is>
          <t>Keycloak tạo xong mà không trả Location thì báo lỗi thay vì trả id rỗng</t>
        </is>
      </c>
      <c r="H1852" s="17" t="inlineStr">
        <is>
          <t>khong_co_location</t>
        </is>
      </c>
      <c r="I1852" s="16" t="inlineStr">
        <is>
          <t>Đạt</t>
        </is>
      </c>
      <c r="J1852" s="16" t="n">
        <v>0.016</v>
      </c>
    </row>
    <row r="1853">
      <c r="A1853" s="16" t="n">
        <v>1849</v>
      </c>
      <c r="B1853" s="16" t="inlineStr">
        <is>
          <t>Backend</t>
        </is>
      </c>
      <c r="C1853" s="17" t="inlineStr">
        <is>
          <t>identity-service</t>
        </is>
      </c>
      <c r="D1853" s="16" t="inlineStr">
        <is>
          <t>Unit</t>
        </is>
      </c>
      <c r="E1853" s="17" t="inlineStr">
        <is>
          <t>KeycloakAdminAdapterTest › TaiKhoanNhanVien</t>
        </is>
      </c>
      <c r="F1853" s="17" t="inlineStr">
        <is>
          <t>tài khoản nhân viên soát vé</t>
        </is>
      </c>
      <c r="G1853" s="17" t="inlineStr">
        <is>
          <t>tra theo email dùng exact=true — không thì 'an@x.vn' khớp cả 'lan@x.vn'</t>
        </is>
      </c>
      <c r="H1853" s="17" t="inlineStr">
        <is>
          <t>tra_theo_email_chinh_xac</t>
        </is>
      </c>
      <c r="I1853" s="16" t="inlineStr">
        <is>
          <t>Đạt</t>
        </is>
      </c>
      <c r="J1853" s="16" t="n">
        <v>0.037</v>
      </c>
    </row>
    <row r="1854">
      <c r="A1854" s="16" t="n">
        <v>1850</v>
      </c>
      <c r="B1854" s="16" t="inlineStr">
        <is>
          <t>Backend</t>
        </is>
      </c>
      <c r="C1854" s="17" t="inlineStr">
        <is>
          <t>identity-service</t>
        </is>
      </c>
      <c r="D1854" s="16" t="inlineStr">
        <is>
          <t>Unit</t>
        </is>
      </c>
      <c r="E1854" s="17" t="inlineStr">
        <is>
          <t>TicketingHttpAdapterTest</t>
        </is>
      </c>
      <c r="F1854" s="17" t="inlineStr"/>
      <c r="G1854" s="17" t="inlineStr">
        <is>
          <t>gỡ hết (danh sách rỗng, không ai gán) gửi mảng rỗng và assignedBy null</t>
        </is>
      </c>
      <c r="H1854" s="17" t="inlineStr">
        <is>
          <t>go_het</t>
        </is>
      </c>
      <c r="I1854" s="16" t="inlineStr">
        <is>
          <t>Đạt</t>
        </is>
      </c>
      <c r="J1854" s="16" t="n">
        <v>0.056</v>
      </c>
    </row>
    <row r="1855">
      <c r="A1855" s="16" t="n">
        <v>1851</v>
      </c>
      <c r="B1855" s="16" t="inlineStr">
        <is>
          <t>Backend</t>
        </is>
      </c>
      <c r="C1855" s="17" t="inlineStr">
        <is>
          <t>identity-service</t>
        </is>
      </c>
      <c r="D1855" s="16" t="inlineStr">
        <is>
          <t>Unit</t>
        </is>
      </c>
      <c r="E1855" s="17" t="inlineStr">
        <is>
          <t>TicketingHttpAdapterTest</t>
        </is>
      </c>
      <c r="F1855" s="17" t="inlineStr"/>
      <c r="G1855" s="17" t="inlineStr">
        <is>
          <t>sự kiện của một người: lọc bằng tham số userId</t>
        </is>
      </c>
      <c r="H1855" s="17" t="inlineStr">
        <is>
          <t>su_kien_cua_mot_nguoi</t>
        </is>
      </c>
      <c r="I1855" s="16" t="inlineStr">
        <is>
          <t>Đạt</t>
        </is>
      </c>
      <c r="J1855" s="16" t="n">
        <v>0.023</v>
      </c>
    </row>
    <row r="1856">
      <c r="A1856" s="16" t="n">
        <v>1852</v>
      </c>
      <c r="B1856" s="16" t="inlineStr">
        <is>
          <t>Backend</t>
        </is>
      </c>
      <c r="C1856" s="17" t="inlineStr">
        <is>
          <t>identity-service</t>
        </is>
      </c>
      <c r="D1856" s="16" t="inlineStr">
        <is>
          <t>Unit</t>
        </is>
      </c>
      <c r="E1856" s="17" t="inlineStr">
        <is>
          <t>TicketingHttpAdapterTest</t>
        </is>
      </c>
      <c r="F1856" s="17" t="inlineStr"/>
      <c r="G1856" s="17" t="inlineStr">
        <is>
          <t>gom việc gán theo người, giữ thứ tự sự kiện</t>
        </is>
      </c>
      <c r="H1856" s="17" t="inlineStr">
        <is>
          <t>gom_theo_nguoi</t>
        </is>
      </c>
      <c r="I1856" s="16" t="inlineStr">
        <is>
          <t>Đạt</t>
        </is>
      </c>
      <c r="J1856" s="16" t="n">
        <v>0.012</v>
      </c>
    </row>
    <row r="1857">
      <c r="A1857" s="16" t="n">
        <v>1853</v>
      </c>
      <c r="B1857" s="16" t="inlineStr">
        <is>
          <t>Backend</t>
        </is>
      </c>
      <c r="C1857" s="17" t="inlineStr">
        <is>
          <t>identity-service</t>
        </is>
      </c>
      <c r="D1857" s="16" t="inlineStr">
        <is>
          <t>Unit</t>
        </is>
      </c>
      <c r="E1857" s="17" t="inlineStr">
        <is>
          <t>TicketingHttpAdapterTest</t>
        </is>
      </c>
      <c r="F1857" s="17" t="inlineStr"/>
      <c r="G1857" s="17" t="inlineStr">
        <is>
          <t>đặt lại danh sách: PUT đúng người, thân gồm eventIds và người gán</t>
        </is>
      </c>
      <c r="H1857" s="17" t="inlineStr">
        <is>
          <t>dat_lai</t>
        </is>
      </c>
      <c r="I1857" s="16" t="inlineStr">
        <is>
          <t>Đạt</t>
        </is>
      </c>
      <c r="J1857" s="16" t="n">
        <v>0.019</v>
      </c>
    </row>
    <row r="1858">
      <c r="A1858" s="16" t="n">
        <v>1854</v>
      </c>
      <c r="B1858" s="16" t="inlineStr">
        <is>
          <t>Backend</t>
        </is>
      </c>
      <c r="C1858" s="17" t="inlineStr">
        <is>
          <t>identity-service</t>
        </is>
      </c>
      <c r="D1858" s="16" t="inlineStr">
        <is>
          <t>Unit</t>
        </is>
      </c>
      <c r="E1858" s="17" t="inlineStr">
        <is>
          <t>TicketingHttpAdapterTest</t>
        </is>
      </c>
      <c r="F1858" s="17" t="inlineStr"/>
      <c r="G1858" s="17" t="inlineStr">
        <is>
          <t>ticketing trả 5xx, 404 nội bộ hay mất kết nối đều thành AssignmentsUnavailableException</t>
        </is>
      </c>
      <c r="H1858" s="17" t="inlineStr">
        <is>
          <t>loi_thanh_khong_san_sang</t>
        </is>
      </c>
      <c r="I1858" s="16" t="inlineStr">
        <is>
          <t>Đạt</t>
        </is>
      </c>
      <c r="J1858" s="16" t="n">
        <v>0.04</v>
      </c>
    </row>
    <row r="1859">
      <c r="A1859" s="16" t="n">
        <v>1855</v>
      </c>
      <c r="B1859" s="16" t="inlineStr">
        <is>
          <t>Backend</t>
        </is>
      </c>
      <c r="C1859" s="17" t="inlineStr">
        <is>
          <t>identity-service</t>
        </is>
      </c>
      <c r="D1859" s="16" t="inlineStr">
        <is>
          <t>Unit</t>
        </is>
      </c>
      <c r="E1859" s="17" t="inlineStr">
        <is>
          <t>LocalMembershipLookupTest</t>
        </is>
      </c>
      <c r="F1859" s="17" t="inlineStr"/>
      <c r="G1859" s="17" t="inlineStr">
        <is>
          <t>claims rỗng hoặc thiếu subject thì null, không chạm database</t>
        </is>
      </c>
      <c r="H1859" s="17" t="inlineStr">
        <is>
          <t>claims_rong</t>
        </is>
      </c>
      <c r="I1859" s="16" t="inlineStr">
        <is>
          <t>Đạt</t>
        </is>
      </c>
      <c r="J1859" s="16" t="n">
        <v>0.004</v>
      </c>
    </row>
    <row r="1860">
      <c r="A1860" s="16" t="n">
        <v>1856</v>
      </c>
      <c r="B1860" s="16" t="inlineStr">
        <is>
          <t>Backend</t>
        </is>
      </c>
      <c r="C1860" s="17" t="inlineStr">
        <is>
          <t>identity-service</t>
        </is>
      </c>
      <c r="D1860" s="16" t="inlineStr">
        <is>
          <t>Unit</t>
        </is>
      </c>
      <c r="E1860" s="17" t="inlineStr">
        <is>
          <t>LocalMembershipLookupTest</t>
        </is>
      </c>
      <c r="F1860" s="17" t="inlineStr"/>
      <c r="G1860" s="17" t="inlineStr">
        <is>
          <t>người dùng hợp lệ: trả principal, KHÔNG ghi gì xuống bảng users trên đường nóng</t>
        </is>
      </c>
      <c r="H1860" s="17" t="inlineStr">
        <is>
          <t>nguoi_dung_hop_le</t>
        </is>
      </c>
      <c r="I1860" s="16" t="inlineStr">
        <is>
          <t>Đạt</t>
        </is>
      </c>
      <c r="J1860" s="16" t="n">
        <v>0.025</v>
      </c>
    </row>
    <row r="1861">
      <c r="A1861" s="16" t="n">
        <v>1857</v>
      </c>
      <c r="B1861" s="16" t="inlineStr">
        <is>
          <t>Backend</t>
        </is>
      </c>
      <c r="C1861" s="17" t="inlineStr">
        <is>
          <t>identity-service</t>
        </is>
      </c>
      <c r="D1861" s="16" t="inlineStr">
        <is>
          <t>Unit</t>
        </is>
      </c>
      <c r="E1861" s="17" t="inlineStr">
        <is>
          <t>LocalMembershipLookupTest</t>
        </is>
      </c>
      <c r="F1861" s="17" t="inlineStr"/>
      <c r="G1861" s="17" t="inlineStr">
        <is>
          <t>tài khoản bị vô hiệu hoá thì không xác thực được</t>
        </is>
      </c>
      <c r="H1861" s="17" t="inlineStr">
        <is>
          <t>tai_khoan_bi_khoa</t>
        </is>
      </c>
      <c r="I1861" s="16" t="inlineStr">
        <is>
          <t>Đạt</t>
        </is>
      </c>
      <c r="J1861" s="16" t="n">
        <v>0.003</v>
      </c>
    </row>
    <row r="1862">
      <c r="A1862" s="16" t="n">
        <v>1858</v>
      </c>
      <c r="B1862" s="16" t="inlineStr">
        <is>
          <t>Backend</t>
        </is>
      </c>
      <c r="C1862" s="17" t="inlineStr">
        <is>
          <t>identity-service</t>
        </is>
      </c>
      <c r="D1862" s="16" t="inlineStr">
        <is>
          <t>Unit</t>
        </is>
      </c>
      <c r="E1862" s="17" t="inlineStr">
        <is>
          <t>LocalMembershipLookupTest</t>
        </is>
      </c>
      <c r="F1862" s="17" t="inlineStr"/>
      <c r="G1862" s="17" t="inlineStr">
        <is>
          <t>token phát trước mốc thu hồi toàn bộ phiên bị từ chối</t>
        </is>
      </c>
      <c r="H1862" s="17" t="inlineStr">
        <is>
          <t>token_truoc_moc_thu_hoi</t>
        </is>
      </c>
      <c r="I1862" s="16" t="inlineStr">
        <is>
          <t>Đạt</t>
        </is>
      </c>
      <c r="J1862" s="16" t="n">
        <v>0.002</v>
      </c>
    </row>
    <row r="1863">
      <c r="A1863" s="16" t="n">
        <v>1859</v>
      </c>
      <c r="B1863" s="16" t="inlineStr">
        <is>
          <t>Backend</t>
        </is>
      </c>
      <c r="C1863" s="17" t="inlineStr">
        <is>
          <t>identity-service</t>
        </is>
      </c>
      <c r="D1863" s="16" t="inlineStr">
        <is>
          <t>Unit</t>
        </is>
      </c>
      <c r="E1863" s="17" t="inlineStr">
        <is>
          <t>LocalMembershipLookupTest</t>
        </is>
      </c>
      <c r="F1863" s="17" t="inlineStr"/>
      <c r="G1863" s="17" t="inlineStr">
        <is>
          <t>email trong danh sách superadmin được cấp quyền ngay ở lần tra này</t>
        </is>
      </c>
      <c r="H1863" s="17" t="inlineStr">
        <is>
          <t>cap_superadmin</t>
        </is>
      </c>
      <c r="I1863" s="16" t="inlineStr">
        <is>
          <t>Đạt</t>
        </is>
      </c>
      <c r="J1863" s="16" t="n">
        <v>0.002</v>
      </c>
    </row>
    <row r="1864">
      <c r="A1864" s="16" t="n">
        <v>1860</v>
      </c>
      <c r="B1864" s="16" t="inlineStr">
        <is>
          <t>Backend</t>
        </is>
      </c>
      <c r="C1864" s="17" t="inlineStr">
        <is>
          <t>identity-service</t>
        </is>
      </c>
      <c r="D1864" s="16" t="inlineStr">
        <is>
          <t>Unit</t>
        </is>
      </c>
      <c r="E1864" s="17" t="inlineStr">
        <is>
          <t>LocalMembershipLookupTest</t>
        </is>
      </c>
      <c r="F1864" s="17" t="inlineStr"/>
      <c r="G1864" s="17" t="inlineStr">
        <is>
          <t>phiên đã bị thu hồi bị từ chối; phiên khác của cùng người vẫn vào được</t>
        </is>
      </c>
      <c r="H1864" s="17" t="inlineStr">
        <is>
          <t>phien_bi_thu_hoi</t>
        </is>
      </c>
      <c r="I1864" s="16" t="inlineStr">
        <is>
          <t>Đạt</t>
        </is>
      </c>
      <c r="J1864" s="16" t="n">
        <v>0.004</v>
      </c>
    </row>
    <row r="1865">
      <c r="A1865" s="16" t="n">
        <v>1861</v>
      </c>
      <c r="B1865" s="16" t="inlineStr">
        <is>
          <t>Backend</t>
        </is>
      </c>
      <c r="C1865" s="17" t="inlineStr">
        <is>
          <t>identity-service</t>
        </is>
      </c>
      <c r="D1865" s="16" t="inlineStr">
        <is>
          <t>Unit</t>
        </is>
      </c>
      <c r="E1865" s="17" t="inlineStr">
        <is>
          <t>LocalMembershipLookupTest</t>
        </is>
      </c>
      <c r="F1865" s="17" t="inlineStr"/>
      <c r="G1865" s="17" t="inlineStr">
        <is>
          <t>email đã thuộc sub khác: KHÔNG chuyển tài khoản sang sub mới — đó là chiếm tài khoản</t>
        </is>
      </c>
      <c r="H1865" s="17" t="inlineStr">
        <is>
          <t>email_thuoc_sub_khac</t>
        </is>
      </c>
      <c r="I1865" s="16" t="inlineStr">
        <is>
          <t>Đạt</t>
        </is>
      </c>
      <c r="J1865" s="16" t="n">
        <v>0.004</v>
      </c>
    </row>
    <row r="1866">
      <c r="A1866" s="16" t="n">
        <v>1862</v>
      </c>
      <c r="B1866" s="16" t="inlineStr">
        <is>
          <t>Backend</t>
        </is>
      </c>
      <c r="C1866" s="17" t="inlineStr">
        <is>
          <t>identity-service</t>
        </is>
      </c>
      <c r="D1866" s="16" t="inlineStr">
        <is>
          <t>Unit</t>
        </is>
      </c>
      <c r="E1866" s="17" t="inlineStr">
        <is>
          <t>LocalMembershipLookupTest</t>
        </is>
      </c>
      <c r="F1866" s="17" t="inlineStr"/>
      <c r="G1866" s="17" t="inlineStr">
        <is>
          <t>token không mang sid thì không tra bảng phiên thu hồi</t>
        </is>
      </c>
      <c r="H1866" s="17" t="inlineStr">
        <is>
          <t>khong_co_sid</t>
        </is>
      </c>
      <c r="I1866" s="16" t="inlineStr">
        <is>
          <t>Đạt</t>
        </is>
      </c>
      <c r="J1866" s="16" t="n">
        <v>0.001</v>
      </c>
    </row>
    <row r="1867">
      <c r="A1867" s="16" t="n">
        <v>1863</v>
      </c>
      <c r="B1867" s="16" t="inlineStr">
        <is>
          <t>Backend</t>
        </is>
      </c>
      <c r="C1867" s="17" t="inlineStr">
        <is>
          <t>identity-service</t>
        </is>
      </c>
      <c r="D1867" s="16" t="inlineStr">
        <is>
          <t>Unit</t>
        </is>
      </c>
      <c r="E1867" s="17" t="inlineStr">
        <is>
          <t>LocalMembershipLookupTest</t>
        </is>
      </c>
      <c r="F1867" s="17" t="inlineStr"/>
      <c r="G1867" s="17" t="inlineStr">
        <is>
          <t>lần đầu đăng nhập không có email: không tạo người dùng không liên lạc được</t>
        </is>
      </c>
      <c r="H1867" s="17" t="inlineStr">
        <is>
          <t>lan_dau_khong_email</t>
        </is>
      </c>
      <c r="I1867" s="16" t="inlineStr">
        <is>
          <t>Đạt</t>
        </is>
      </c>
      <c r="J1867" s="16" t="n">
        <v>0.011</v>
      </c>
    </row>
    <row r="1868">
      <c r="A1868" s="16" t="n">
        <v>1864</v>
      </c>
      <c r="B1868" s="16" t="inlineStr">
        <is>
          <t>Backend</t>
        </is>
      </c>
      <c r="C1868" s="17" t="inlineStr">
        <is>
          <t>identity-service</t>
        </is>
      </c>
      <c r="D1868" s="16" t="inlineStr">
        <is>
          <t>API slice</t>
        </is>
      </c>
      <c r="E1868" s="17" t="inlineStr">
        <is>
          <t>MeAndAccessControllerTest › LoiMoiCuaToi</t>
        </is>
      </c>
      <c r="F1868" s="17" t="inlineStr">
        <is>
          <t>lời mời của tôi</t>
        </is>
      </c>
      <c r="G1868" s="17" t="inlineStr">
        <is>
          <t>danh sách không chứa token hay hash</t>
        </is>
      </c>
      <c r="H1868" s="17" t="inlineStr">
        <is>
          <t>danh_sach</t>
        </is>
      </c>
      <c r="I1868" s="16" t="inlineStr">
        <is>
          <t>Đạt</t>
        </is>
      </c>
      <c r="J1868" s="16" t="n">
        <v>0.046</v>
      </c>
    </row>
    <row r="1869">
      <c r="A1869" s="16" t="n">
        <v>1865</v>
      </c>
      <c r="B1869" s="16" t="inlineStr">
        <is>
          <t>Backend</t>
        </is>
      </c>
      <c r="C1869" s="17" t="inlineStr">
        <is>
          <t>identity-service</t>
        </is>
      </c>
      <c r="D1869" s="16" t="inlineStr">
        <is>
          <t>API slice</t>
        </is>
      </c>
      <c r="E1869" s="17" t="inlineStr">
        <is>
          <t>MeAndAccessControllerTest › LoiMoiCuaToi</t>
        </is>
      </c>
      <c r="F1869" s="17" t="inlineStr">
        <is>
          <t>lời mời của tôi</t>
        </is>
      </c>
      <c r="G1869" s="17" t="inlineStr">
        <is>
          <t>id lời mời không phải UUID là 400, không phải 500</t>
        </is>
      </c>
      <c r="H1869" s="17" t="inlineStr">
        <is>
          <t>id_khong_phai_uuid</t>
        </is>
      </c>
      <c r="I1869" s="16" t="inlineStr">
        <is>
          <t>Đạt</t>
        </is>
      </c>
      <c r="J1869" s="16" t="n">
        <v>0.06900000000000001</v>
      </c>
    </row>
    <row r="1870">
      <c r="A1870" s="16" t="n">
        <v>1866</v>
      </c>
      <c r="B1870" s="16" t="inlineStr">
        <is>
          <t>Backend</t>
        </is>
      </c>
      <c r="C1870" s="17" t="inlineStr">
        <is>
          <t>identity-service</t>
        </is>
      </c>
      <c r="D1870" s="16" t="inlineStr">
        <is>
          <t>API slice</t>
        </is>
      </c>
      <c r="E1870" s="17" t="inlineStr">
        <is>
          <t>MeAndAccessControllerTest › LoiMoiCuaToi</t>
        </is>
      </c>
      <c r="F1870" s="17" t="inlineStr">
        <is>
          <t>lời mời của tôi</t>
        </is>
      </c>
      <c r="G1870" s="17" t="inlineStr">
        <is>
          <t>chấp nhận theo id trả tóm tắt tổ chức, không trả danh sách thành viên</t>
        </is>
      </c>
      <c r="H1870" s="17" t="inlineStr">
        <is>
          <t>chap_nhan</t>
        </is>
      </c>
      <c r="I1870" s="16" t="inlineStr">
        <is>
          <t>Đạt</t>
        </is>
      </c>
      <c r="J1870" s="16" t="n">
        <v>0.033</v>
      </c>
    </row>
    <row r="1871">
      <c r="A1871" s="16" t="n">
        <v>1867</v>
      </c>
      <c r="B1871" s="16" t="inlineStr">
        <is>
          <t>Backend</t>
        </is>
      </c>
      <c r="C1871" s="17" t="inlineStr">
        <is>
          <t>identity-service</t>
        </is>
      </c>
      <c r="D1871" s="16" t="inlineStr">
        <is>
          <t>API slice</t>
        </is>
      </c>
      <c r="E1871" s="17" t="inlineStr">
        <is>
          <t>MeAndAccessControllerTest</t>
        </is>
      </c>
      <c r="F1871" s="17" t="inlineStr"/>
      <c r="G1871" s="17" t="inlineStr">
        <is>
          <t>đường dẫn không tồn tại trả 404 dạng RFC 7807, không phải 500</t>
        </is>
      </c>
      <c r="H1871" s="17" t="inlineStr">
        <is>
          <t>duong_dan_khong_ton_tai</t>
        </is>
      </c>
      <c r="I1871" s="16" t="inlineStr">
        <is>
          <t>Đạt</t>
        </is>
      </c>
      <c r="J1871" s="16" t="n">
        <v>0.374</v>
      </c>
    </row>
    <row r="1872">
      <c r="A1872" s="16" t="n">
        <v>1868</v>
      </c>
      <c r="B1872" s="16" t="inlineStr">
        <is>
          <t>Backend</t>
        </is>
      </c>
      <c r="C1872" s="17" t="inlineStr">
        <is>
          <t>identity-service</t>
        </is>
      </c>
      <c r="D1872" s="16" t="inlineStr">
        <is>
          <t>API slice</t>
        </is>
      </c>
      <c r="E1872" s="17" t="inlineStr">
        <is>
          <t>MeAndAccessControllerTest › MaTran</t>
        </is>
      </c>
      <c r="F1872" s="17" t="inlineStr">
        <is>
          <t>ma trận phân quyền</t>
        </is>
      </c>
      <c r="G1872" s="17" t="inlineStr">
        <is>
          <t>/v1/me/permissions không nhận tham số chỉ sang người khác</t>
        </is>
      </c>
      <c r="H1872" s="17" t="inlineStr">
        <is>
          <t>khong_do_quyen_nguoi_khac</t>
        </is>
      </c>
      <c r="I1872" s="16" t="inlineStr">
        <is>
          <t>Đạt</t>
        </is>
      </c>
      <c r="J1872" s="16" t="n">
        <v>0.068</v>
      </c>
    </row>
    <row r="1873">
      <c r="A1873" s="16" t="n">
        <v>1869</v>
      </c>
      <c r="B1873" s="16" t="inlineStr">
        <is>
          <t>Backend</t>
        </is>
      </c>
      <c r="C1873" s="17" t="inlineStr">
        <is>
          <t>identity-service</t>
        </is>
      </c>
      <c r="D1873" s="16" t="inlineStr">
        <is>
          <t>API slice</t>
        </is>
      </c>
      <c r="E1873" s="17" t="inlineStr">
        <is>
          <t>MeAndAccessControllerTest › MaTran</t>
        </is>
      </c>
      <c r="F1873" s="17" t="inlineStr">
        <is>
          <t>ma trận phân quyền</t>
        </is>
      </c>
      <c r="G1873" s="17" t="inlineStr">
        <is>
          <t>người đã đăng nhập đọc được ma trận và quyền của chính mình</t>
        </is>
      </c>
      <c r="H1873" s="17" t="inlineStr">
        <is>
          <t>doc_ma_tran</t>
        </is>
      </c>
      <c r="I1873" s="16" t="inlineStr">
        <is>
          <t>Đạt</t>
        </is>
      </c>
      <c r="J1873" s="16" t="n">
        <v>0.066</v>
      </c>
    </row>
    <row r="1874">
      <c r="A1874" s="16" t="n">
        <v>1870</v>
      </c>
      <c r="B1874" s="16" t="inlineStr">
        <is>
          <t>Backend</t>
        </is>
      </c>
      <c r="C1874" s="17" t="inlineStr">
        <is>
          <t>identity-service</t>
        </is>
      </c>
      <c r="D1874" s="16" t="inlineStr">
        <is>
          <t>API slice</t>
        </is>
      </c>
      <c r="E1874" s="17" t="inlineStr">
        <is>
          <t>MeAndAccessControllerTest › SuaHoSo</t>
        </is>
      </c>
      <c r="F1874" s="17" t="inlineStr">
        <is>
          <t>PATCH /v1/me</t>
        </is>
      </c>
      <c r="G1874" s="17" t="inlineStr">
        <is>
          <t>chỉ tên và số điện thoại đi vào handler; email, vai trò, superadmin, tổ chức bị bỏ qua</t>
        </is>
      </c>
      <c r="H1874" s="17" t="inlineStr">
        <is>
          <t>chong_mass_assignment</t>
        </is>
      </c>
      <c r="I1874" s="16" t="inlineStr">
        <is>
          <t>Đạt</t>
        </is>
      </c>
      <c r="J1874" s="16" t="n">
        <v>0.244</v>
      </c>
    </row>
    <row r="1875">
      <c r="A1875" s="16" t="n">
        <v>1871</v>
      </c>
      <c r="B1875" s="16" t="inlineStr">
        <is>
          <t>Backend</t>
        </is>
      </c>
      <c r="C1875" s="17" t="inlineStr">
        <is>
          <t>identity-service</t>
        </is>
      </c>
      <c r="D1875" s="16" t="inlineStr">
        <is>
          <t>API slice</t>
        </is>
      </c>
      <c r="E1875" s="17" t="inlineStr">
        <is>
          <t>MeAndAccessControllerTest › SuaHoSo</t>
        </is>
      </c>
      <c r="F1875" s="17" t="inlineStr">
        <is>
          <t>PATCH /v1/me</t>
        </is>
      </c>
      <c r="G1875" s="17" t="inlineStr">
        <is>
          <t>thân không phải JSON (text/plain) là lỗi của người gọi — 415, không phải 500</t>
        </is>
      </c>
      <c r="H1875" s="17" t="inlineStr">
        <is>
          <t>sai_content_type</t>
        </is>
      </c>
      <c r="I1875" s="16" t="inlineStr">
        <is>
          <t>Đạt</t>
        </is>
      </c>
      <c r="J1875" s="16" t="n">
        <v>0.06</v>
      </c>
    </row>
    <row r="1876">
      <c r="A1876" s="16" t="n">
        <v>1872</v>
      </c>
      <c r="B1876" s="16" t="inlineStr">
        <is>
          <t>Backend</t>
        </is>
      </c>
      <c r="C1876" s="17" t="inlineStr">
        <is>
          <t>identity-service</t>
        </is>
      </c>
      <c r="D1876" s="16" t="inlineStr">
        <is>
          <t>API slice</t>
        </is>
      </c>
      <c r="E1876" s="17" t="inlineStr">
        <is>
          <t>MeAndAccessControllerTest › SuaHoSo</t>
        </is>
      </c>
      <c r="F1876" s="17" t="inlineStr">
        <is>
          <t>PATCH /v1/me</t>
        </is>
      </c>
      <c r="G1876" s="17" t="inlineStr">
        <is>
          <t>JSON hỏng: 400 'Malformed request body', không lộ chi tiết parser</t>
        </is>
      </c>
      <c r="H1876" s="17" t="inlineStr">
        <is>
          <t>json_hong</t>
        </is>
      </c>
      <c r="I1876" s="16" t="inlineStr">
        <is>
          <t>Đạt</t>
        </is>
      </c>
      <c r="J1876" s="16" t="n">
        <v>0.037</v>
      </c>
    </row>
    <row r="1877">
      <c r="A1877" s="16" t="n">
        <v>1873</v>
      </c>
      <c r="B1877" s="16" t="inlineStr">
        <is>
          <t>Backend</t>
        </is>
      </c>
      <c r="C1877" s="17" t="inlineStr">
        <is>
          <t>identity-service</t>
        </is>
      </c>
      <c r="D1877" s="16" t="inlineStr">
        <is>
          <t>API slice</t>
        </is>
      </c>
      <c r="E1877" s="17" t="inlineStr">
        <is>
          <t>MeAndAccessControllerTest › SuaHoSo</t>
        </is>
      </c>
      <c r="F1877" s="17" t="inlineStr">
        <is>
          <t>PATCH /v1/me</t>
        </is>
      </c>
      <c r="G1877" s="17" t="inlineStr">
        <is>
          <t>số điện thoại có chữ cái: 400 VALIDATION_FAILED, lỗi chỉ ra đúng trường</t>
        </is>
      </c>
      <c r="H1877" s="17" t="inlineStr">
        <is>
          <t>so_dien_thoai_sai</t>
        </is>
      </c>
      <c r="I1877" s="16" t="inlineStr">
        <is>
          <t>Đạt</t>
        </is>
      </c>
      <c r="J1877" s="16" t="n">
        <v>0.056</v>
      </c>
    </row>
    <row r="1878">
      <c r="A1878" s="16" t="n">
        <v>1874</v>
      </c>
      <c r="B1878" s="16" t="inlineStr">
        <is>
          <t>Backend</t>
        </is>
      </c>
      <c r="C1878" s="17" t="inlineStr">
        <is>
          <t>identity-service</t>
        </is>
      </c>
      <c r="D1878" s="16" t="inlineStr">
        <is>
          <t>API slice</t>
        </is>
      </c>
      <c r="E1878" s="17" t="inlineStr">
        <is>
          <t>MeAndAccessControllerTest › SuaHoSo</t>
        </is>
      </c>
      <c r="F1878" s="17" t="inlineStr">
        <is>
          <t>PATCH /v1/me</t>
        </is>
      </c>
      <c r="G1878" s="17" t="inlineStr">
        <is>
          <t>tên quá 120 ký tự hay số điện thoại quá 24 ký tự đều bị từ chối</t>
        </is>
      </c>
      <c r="H1878" s="17" t="inlineStr">
        <is>
          <t>qua_dai</t>
        </is>
      </c>
      <c r="I1878" s="16" t="inlineStr">
        <is>
          <t>Đạt</t>
        </is>
      </c>
      <c r="J1878" s="16" t="n">
        <v>0.043</v>
      </c>
    </row>
    <row r="1879">
      <c r="A1879" s="16" t="n">
        <v>1875</v>
      </c>
      <c r="B1879" s="16" t="inlineStr">
        <is>
          <t>Backend</t>
        </is>
      </c>
      <c r="C1879" s="17" t="inlineStr">
        <is>
          <t>identity-service</t>
        </is>
      </c>
      <c r="D1879" s="16" t="inlineStr">
        <is>
          <t>API slice</t>
        </is>
      </c>
      <c r="E1879" s="17" t="inlineStr">
        <is>
          <t>MeAndAccessControllerTest › SuaHoSo</t>
        </is>
      </c>
      <c r="F1879" s="17" t="inlineStr">
        <is>
          <t>PATCH /v1/me</t>
        </is>
      </c>
      <c r="G1879" s="17" t="inlineStr">
        <is>
          <t>phương thức không hỗ trợ (PUT /v1/me) là 405, không phải 500</t>
        </is>
      </c>
      <c r="H1879" s="17" t="inlineStr">
        <is>
          <t>sai_phuong_thuc</t>
        </is>
      </c>
      <c r="I1879" s="16" t="inlineStr">
        <is>
          <t>Đạt</t>
        </is>
      </c>
      <c r="J1879" s="16" t="n">
        <v>0.02</v>
      </c>
    </row>
    <row r="1880">
      <c r="A1880" s="16" t="n">
        <v>1876</v>
      </c>
      <c r="B1880" s="16" t="inlineStr">
        <is>
          <t>Backend</t>
        </is>
      </c>
      <c r="C1880" s="17" t="inlineStr">
        <is>
          <t>identity-service</t>
        </is>
      </c>
      <c r="D1880" s="16" t="inlineStr">
        <is>
          <t>API slice</t>
        </is>
      </c>
      <c r="E1880" s="17" t="inlineStr">
        <is>
          <t>MeAndAccessControllerTest › XacThuc</t>
        </is>
      </c>
      <c r="F1880" s="17" t="inlineStr">
        <is>
          <t>xác thực</t>
        </is>
      </c>
      <c r="G1880" s="17" t="inlineStr">
        <is>
          <t>không có token: 401 kèm WWW-Authenticate Bearer, handler không được gọi</t>
        </is>
      </c>
      <c r="H1880" s="17" t="inlineStr">
        <is>
          <t>khong_co_token</t>
        </is>
      </c>
      <c r="I1880" s="16" t="inlineStr">
        <is>
          <t>Đạt</t>
        </is>
      </c>
      <c r="J1880" s="16" t="n">
        <v>0.026</v>
      </c>
    </row>
    <row r="1881">
      <c r="A1881" s="16" t="n">
        <v>1877</v>
      </c>
      <c r="B1881" s="16" t="inlineStr">
        <is>
          <t>Backend</t>
        </is>
      </c>
      <c r="C1881" s="17" t="inlineStr">
        <is>
          <t>identity-service</t>
        </is>
      </c>
      <c r="D1881" s="16" t="inlineStr">
        <is>
          <t>API slice</t>
        </is>
      </c>
      <c r="E1881" s="17" t="inlineStr">
        <is>
          <t>MeAndAccessControllerTest › XacThuc</t>
        </is>
      </c>
      <c r="F1881" s="17" t="inlineStr">
        <is>
          <t>xác thực</t>
        </is>
      </c>
      <c r="G1881" s="17" t="inlineStr">
        <is>
          <t>header Authorization sai lược đồ (Basic) bị coi như không có token</t>
        </is>
      </c>
      <c r="H1881" s="17" t="inlineStr">
        <is>
          <t>sai_luoc_do</t>
        </is>
      </c>
      <c r="I1881" s="16" t="inlineStr">
        <is>
          <t>Đạt</t>
        </is>
      </c>
      <c r="J1881" s="16" t="n">
        <v>0.013</v>
      </c>
    </row>
    <row r="1882">
      <c r="A1882" s="16" t="n">
        <v>1878</v>
      </c>
      <c r="B1882" s="16" t="inlineStr">
        <is>
          <t>Backend</t>
        </is>
      </c>
      <c r="C1882" s="17" t="inlineStr">
        <is>
          <t>identity-service</t>
        </is>
      </c>
      <c r="D1882" s="16" t="inlineStr">
        <is>
          <t>API slice</t>
        </is>
      </c>
      <c r="E1882" s="17" t="inlineStr">
        <is>
          <t>MeAndAccessControllerTest › XacThuc</t>
        </is>
      </c>
      <c r="F1882" s="17" t="inlineStr">
        <is>
          <t>xác thực</t>
        </is>
      </c>
      <c r="G1882" s="17" t="inlineStr">
        <is>
          <t>token sai chữ ký: 401, không tra membership</t>
        </is>
      </c>
      <c r="H1882" s="17" t="inlineStr">
        <is>
          <t>token_sai</t>
        </is>
      </c>
      <c r="I1882" s="16" t="inlineStr">
        <is>
          <t>Đạt</t>
        </is>
      </c>
      <c r="J1882" s="16" t="n">
        <v>0.024</v>
      </c>
    </row>
    <row r="1883">
      <c r="A1883" s="16" t="n">
        <v>1879</v>
      </c>
      <c r="B1883" s="16" t="inlineStr">
        <is>
          <t>Backend</t>
        </is>
      </c>
      <c r="C1883" s="17" t="inlineStr">
        <is>
          <t>identity-service</t>
        </is>
      </c>
      <c r="D1883" s="16" t="inlineStr">
        <is>
          <t>API slice</t>
        </is>
      </c>
      <c r="E1883" s="17" t="inlineStr">
        <is>
          <t>MeAndAccessControllerTest › XacThuc</t>
        </is>
      </c>
      <c r="F1883" s="17" t="inlineStr">
        <is>
          <t>xác thực</t>
        </is>
      </c>
      <c r="G1883" s="17" t="inlineStr">
        <is>
          <t>/v1/roles cũng đòi đăng nhập — ma trận mô tả bề mặt quản trị</t>
        </is>
      </c>
      <c r="H1883" s="17" t="inlineStr">
        <is>
          <t>ma_tran_doi_dang_nhap</t>
        </is>
      </c>
      <c r="I1883" s="16" t="inlineStr">
        <is>
          <t>Đạt</t>
        </is>
      </c>
      <c r="J1883" s="16" t="n">
        <v>0.065</v>
      </c>
    </row>
    <row r="1884">
      <c r="A1884" s="16" t="n">
        <v>1880</v>
      </c>
      <c r="B1884" s="16" t="inlineStr">
        <is>
          <t>Backend</t>
        </is>
      </c>
      <c r="C1884" s="17" t="inlineStr">
        <is>
          <t>identity-service</t>
        </is>
      </c>
      <c r="D1884" s="16" t="inlineStr">
        <is>
          <t>API slice</t>
        </is>
      </c>
      <c r="E1884" s="17" t="inlineStr">
        <is>
          <t>OrganizationControllerTest › Khac</t>
        </is>
      </c>
      <c r="F1884" s="17" t="inlineStr">
        <is>
          <t>đổi tên, nhật ký, thu hồi phiên</t>
        </is>
      </c>
      <c r="G1884" s="17" t="inlineStr">
        <is>
          <t>thu hồi phiên thành viên: 204, đúng tổ chức và người</t>
        </is>
      </c>
      <c r="H1884" s="17" t="inlineStr">
        <is>
          <t>thu_hoi_phien</t>
        </is>
      </c>
      <c r="I1884" s="16" t="inlineStr">
        <is>
          <t>Đạt</t>
        </is>
      </c>
      <c r="J1884" s="16" t="n">
        <v>0.064</v>
      </c>
    </row>
    <row r="1885">
      <c r="A1885" s="16" t="n">
        <v>1881</v>
      </c>
      <c r="B1885" s="16" t="inlineStr">
        <is>
          <t>Backend</t>
        </is>
      </c>
      <c r="C1885" s="17" t="inlineStr">
        <is>
          <t>identity-service</t>
        </is>
      </c>
      <c r="D1885" s="16" t="inlineStr">
        <is>
          <t>API slice</t>
        </is>
      </c>
      <c r="E1885" s="17" t="inlineStr">
        <is>
          <t>OrganizationControllerTest › Khac</t>
        </is>
      </c>
      <c r="F1885" s="17" t="inlineStr">
        <is>
          <t>đổi tên, nhật ký, thu hồi phiên</t>
        </is>
      </c>
      <c r="G1885" s="17" t="inlineStr">
        <is>
          <t>nhật ký: mặc định trang 50, offset 0; tổ chức lấy từ đường dẫn</t>
        </is>
      </c>
      <c r="H1885" s="17" t="inlineStr">
        <is>
          <t>nhat_ky_mac_dinh</t>
        </is>
      </c>
      <c r="I1885" s="16" t="inlineStr">
        <is>
          <t>Đạt</t>
        </is>
      </c>
      <c r="J1885" s="16" t="n">
        <v>0.067</v>
      </c>
    </row>
    <row r="1886">
      <c r="A1886" s="16" t="n">
        <v>1882</v>
      </c>
      <c r="B1886" s="16" t="inlineStr">
        <is>
          <t>Backend</t>
        </is>
      </c>
      <c r="C1886" s="17" t="inlineStr">
        <is>
          <t>identity-service</t>
        </is>
      </c>
      <c r="D1886" s="16" t="inlineStr">
        <is>
          <t>API slice</t>
        </is>
      </c>
      <c r="E1886" s="17" t="inlineStr">
        <is>
          <t>OrganizationControllerTest › Khac</t>
        </is>
      </c>
      <c r="F1886" s="17" t="inlineStr">
        <is>
          <t>đổi tên, nhật ký, thu hồi phiên</t>
        </is>
      </c>
      <c r="G1886" s="17" t="inlineStr">
        <is>
          <t>tham số nhật ký sai kiểu là 400 của người gọi, không phải 500</t>
        </is>
      </c>
      <c r="H1886" s="17" t="inlineStr">
        <is>
          <t>nhat_ky_tham_so_sai(String)[1]</t>
        </is>
      </c>
      <c r="I1886" s="16" t="inlineStr">
        <is>
          <t>Đạt</t>
        </is>
      </c>
      <c r="J1886" s="16" t="n">
        <v>0.029</v>
      </c>
    </row>
    <row r="1887">
      <c r="A1887" s="16" t="n">
        <v>1883</v>
      </c>
      <c r="B1887" s="16" t="inlineStr">
        <is>
          <t>Backend</t>
        </is>
      </c>
      <c r="C1887" s="17" t="inlineStr">
        <is>
          <t>identity-service</t>
        </is>
      </c>
      <c r="D1887" s="16" t="inlineStr">
        <is>
          <t>API slice</t>
        </is>
      </c>
      <c r="E1887" s="17" t="inlineStr">
        <is>
          <t>OrganizationControllerTest › Khac</t>
        </is>
      </c>
      <c r="F1887" s="17" t="inlineStr">
        <is>
          <t>đổi tên, nhật ký, thu hồi phiên</t>
        </is>
      </c>
      <c r="G1887" s="17" t="inlineStr">
        <is>
          <t>tham số nhật ký sai kiểu là 400 của người gọi, không phải 500</t>
        </is>
      </c>
      <c r="H1887" s="17" t="inlineStr">
        <is>
          <t>nhat_ky_tham_so_sai(String)[2]</t>
        </is>
      </c>
      <c r="I1887" s="16" t="inlineStr">
        <is>
          <t>Đạt</t>
        </is>
      </c>
      <c r="J1887" s="16" t="n">
        <v>0.019</v>
      </c>
    </row>
    <row r="1888">
      <c r="A1888" s="16" t="n">
        <v>1884</v>
      </c>
      <c r="B1888" s="16" t="inlineStr">
        <is>
          <t>Backend</t>
        </is>
      </c>
      <c r="C1888" s="17" t="inlineStr">
        <is>
          <t>identity-service</t>
        </is>
      </c>
      <c r="D1888" s="16" t="inlineStr">
        <is>
          <t>API slice</t>
        </is>
      </c>
      <c r="E1888" s="17" t="inlineStr">
        <is>
          <t>OrganizationControllerTest › Khac</t>
        </is>
      </c>
      <c r="F1888" s="17" t="inlineStr">
        <is>
          <t>đổi tên, nhật ký, thu hồi phiên</t>
        </is>
      </c>
      <c r="G1888" s="17" t="inlineStr">
        <is>
          <t>tham số nhật ký sai kiểu là 400 của người gọi, không phải 500</t>
        </is>
      </c>
      <c r="H1888" s="17" t="inlineStr">
        <is>
          <t>nhat_ky_tham_so_sai(String)[3]</t>
        </is>
      </c>
      <c r="I1888" s="16" t="inlineStr">
        <is>
          <t>Đạt</t>
        </is>
      </c>
      <c r="J1888" s="16" t="n">
        <v>0.021</v>
      </c>
    </row>
    <row r="1889">
      <c r="A1889" s="16" t="n">
        <v>1885</v>
      </c>
      <c r="B1889" s="16" t="inlineStr">
        <is>
          <t>Backend</t>
        </is>
      </c>
      <c r="C1889" s="17" t="inlineStr">
        <is>
          <t>identity-service</t>
        </is>
      </c>
      <c r="D1889" s="16" t="inlineStr">
        <is>
          <t>API slice</t>
        </is>
      </c>
      <c r="E1889" s="17" t="inlineStr">
        <is>
          <t>OrganizationControllerTest › Khac</t>
        </is>
      </c>
      <c r="F1889" s="17" t="inlineStr">
        <is>
          <t>đổi tên, nhật ký, thu hồi phiên</t>
        </is>
      </c>
      <c r="G1889" s="17" t="inlineStr">
        <is>
          <t>lý do thu hồi phiên quá 500 ký tự là 400 với lỗi theo trường</t>
        </is>
      </c>
      <c r="H1889" s="17" t="inlineStr">
        <is>
          <t>ly_do_qua_dai</t>
        </is>
      </c>
      <c r="I1889" s="16" t="inlineStr">
        <is>
          <t>Đạt</t>
        </is>
      </c>
      <c r="J1889" s="16" t="n">
        <v>0.037</v>
      </c>
    </row>
    <row r="1890">
      <c r="A1890" s="16" t="n">
        <v>1886</v>
      </c>
      <c r="B1890" s="16" t="inlineStr">
        <is>
          <t>Backend</t>
        </is>
      </c>
      <c r="C1890" s="17" t="inlineStr">
        <is>
          <t>identity-service</t>
        </is>
      </c>
      <c r="D1890" s="16" t="inlineStr">
        <is>
          <t>API slice</t>
        </is>
      </c>
      <c r="E1890" s="17" t="inlineStr">
        <is>
          <t>OrganizationControllerTest › Khac</t>
        </is>
      </c>
      <c r="F1890" s="17" t="inlineStr">
        <is>
          <t>đổi tên, nhật ký, thu hồi phiên</t>
        </is>
      </c>
      <c r="G1890" s="17" t="inlineStr">
        <is>
          <t>gửi hộ thư đặt lại mật khẩu: 202 — đã nhận việc, không hứa thư đã tới</t>
        </is>
      </c>
      <c r="H1890" s="17" t="inlineStr">
        <is>
          <t>dat_lai_mat_khau</t>
        </is>
      </c>
      <c r="I1890" s="16" t="inlineStr">
        <is>
          <t>Đạt</t>
        </is>
      </c>
      <c r="J1890" s="16" t="n">
        <v>0.02</v>
      </c>
    </row>
    <row r="1891">
      <c r="A1891" s="16" t="n">
        <v>1887</v>
      </c>
      <c r="B1891" s="16" t="inlineStr">
        <is>
          <t>Backend</t>
        </is>
      </c>
      <c r="C1891" s="17" t="inlineStr">
        <is>
          <t>identity-service</t>
        </is>
      </c>
      <c r="D1891" s="16" t="inlineStr">
        <is>
          <t>API slice</t>
        </is>
      </c>
      <c r="E1891" s="17" t="inlineStr">
        <is>
          <t>OrganizationControllerTest › Khac</t>
        </is>
      </c>
      <c r="F1891" s="17" t="inlineStr">
        <is>
          <t>đổi tên, nhật ký, thu hồi phiên</t>
        </is>
      </c>
      <c r="G1891" s="17" t="inlineStr">
        <is>
          <t>đổi tên: tên rỗng hay quá 200 ký tự là 400</t>
        </is>
      </c>
      <c r="H1891" s="17" t="inlineStr">
        <is>
          <t>doi_ten</t>
        </is>
      </c>
      <c r="I1891" s="16" t="inlineStr">
        <is>
          <t>Đạt</t>
        </is>
      </c>
      <c r="J1891" s="16" t="n">
        <v>0.042</v>
      </c>
    </row>
    <row r="1892">
      <c r="A1892" s="16" t="n">
        <v>1888</v>
      </c>
      <c r="B1892" s="16" t="inlineStr">
        <is>
          <t>Backend</t>
        </is>
      </c>
      <c r="C1892" s="17" t="inlineStr">
        <is>
          <t>identity-service</t>
        </is>
      </c>
      <c r="D1892" s="16" t="inlineStr">
        <is>
          <t>API slice</t>
        </is>
      </c>
      <c r="E1892" s="17" t="inlineStr">
        <is>
          <t>OrganizationControllerTest › LoiMoi</t>
        </is>
      </c>
      <c r="F1892" s="17" t="inlineStr">
        <is>
          <t>lời mời</t>
        </is>
      </c>
      <c r="G1892" s="17" t="inlineStr">
        <is>
          <t>thu hồi lời mời trả 204</t>
        </is>
      </c>
      <c r="H1892" s="17" t="inlineStr">
        <is>
          <t>thu_hoi</t>
        </is>
      </c>
      <c r="I1892" s="16" t="inlineStr">
        <is>
          <t>Đạt</t>
        </is>
      </c>
      <c r="J1892" s="16" t="n">
        <v>0.01</v>
      </c>
    </row>
    <row r="1893">
      <c r="A1893" s="16" t="n">
        <v>1889</v>
      </c>
      <c r="B1893" s="16" t="inlineStr">
        <is>
          <t>Backend</t>
        </is>
      </c>
      <c r="C1893" s="17" t="inlineStr">
        <is>
          <t>identity-service</t>
        </is>
      </c>
      <c r="D1893" s="16" t="inlineStr">
        <is>
          <t>API slice</t>
        </is>
      </c>
      <c r="E1893" s="17" t="inlineStr">
        <is>
          <t>OrganizationControllerTest › LoiMoi</t>
        </is>
      </c>
      <c r="F1893" s="17" t="inlineStr">
        <is>
          <t>lời mời</t>
        </is>
      </c>
      <c r="G1893" s="17" t="inlineStr">
        <is>
          <t>nhận lời mời bằng token cần đăng nhập</t>
        </is>
      </c>
      <c r="H1893" s="17" t="inlineStr">
        <is>
          <t>nhan_loi_moi</t>
        </is>
      </c>
      <c r="I1893" s="16" t="inlineStr">
        <is>
          <t>Đạt</t>
        </is>
      </c>
      <c r="J1893" s="16" t="n">
        <v>0.012</v>
      </c>
    </row>
    <row r="1894">
      <c r="A1894" s="16" t="n">
        <v>1890</v>
      </c>
      <c r="B1894" s="16" t="inlineStr">
        <is>
          <t>Backend</t>
        </is>
      </c>
      <c r="C1894" s="17" t="inlineStr">
        <is>
          <t>identity-service</t>
        </is>
      </c>
      <c r="D1894" s="16" t="inlineStr">
        <is>
          <t>API slice</t>
        </is>
      </c>
      <c r="E1894" s="17" t="inlineStr">
        <is>
          <t>OrganizationControllerTest › LoiMoi</t>
        </is>
      </c>
      <c r="F1894" s="17" t="inlineStr">
        <is>
          <t>lời mời</t>
        </is>
      </c>
      <c r="G1894" s="17" t="inlineStr">
        <is>
          <t>tạo lời mời trả token đúng một lần; tổ chức lấy từ đường dẫn, không từ thân</t>
        </is>
      </c>
      <c r="H1894" s="17" t="inlineStr">
        <is>
          <t>tao_loi_moi</t>
        </is>
      </c>
      <c r="I1894" s="16" t="inlineStr">
        <is>
          <t>Đạt</t>
        </is>
      </c>
      <c r="J1894" s="16" t="n">
        <v>0.046</v>
      </c>
    </row>
    <row r="1895">
      <c r="A1895" s="16" t="n">
        <v>1891</v>
      </c>
      <c r="B1895" s="16" t="inlineStr">
        <is>
          <t>Backend</t>
        </is>
      </c>
      <c r="C1895" s="17" t="inlineStr">
        <is>
          <t>identity-service</t>
        </is>
      </c>
      <c r="D1895" s="16" t="inlineStr">
        <is>
          <t>API slice</t>
        </is>
      </c>
      <c r="E1895" s="17" t="inlineStr">
        <is>
          <t>OrganizationControllerTest › LoiMoi</t>
        </is>
      </c>
      <c r="F1895" s="17" t="inlineStr">
        <is>
          <t>lời mời</t>
        </is>
      </c>
      <c r="G1895" s="17" t="inlineStr">
        <is>
          <t>email sai hay thiếu vai trò: 400 trước khi tới handler</t>
        </is>
      </c>
      <c r="H1895" s="17" t="inlineStr">
        <is>
          <t>dau_vao_sai(String)[1]</t>
        </is>
      </c>
      <c r="I1895" s="16" t="inlineStr">
        <is>
          <t>Đạt</t>
        </is>
      </c>
      <c r="J1895" s="16" t="n">
        <v>0.012</v>
      </c>
    </row>
    <row r="1896">
      <c r="A1896" s="16" t="n">
        <v>1892</v>
      </c>
      <c r="B1896" s="16" t="inlineStr">
        <is>
          <t>Backend</t>
        </is>
      </c>
      <c r="C1896" s="17" t="inlineStr">
        <is>
          <t>identity-service</t>
        </is>
      </c>
      <c r="D1896" s="16" t="inlineStr">
        <is>
          <t>API slice</t>
        </is>
      </c>
      <c r="E1896" s="17" t="inlineStr">
        <is>
          <t>OrganizationControllerTest › LoiMoi</t>
        </is>
      </c>
      <c r="F1896" s="17" t="inlineStr">
        <is>
          <t>lời mời</t>
        </is>
      </c>
      <c r="G1896" s="17" t="inlineStr">
        <is>
          <t>email sai hay thiếu vai trò: 400 trước khi tới handler</t>
        </is>
      </c>
      <c r="H1896" s="17" t="inlineStr">
        <is>
          <t>dau_vao_sai(String)[2]</t>
        </is>
      </c>
      <c r="I1896" s="16" t="inlineStr">
        <is>
          <t>Đạt</t>
        </is>
      </c>
      <c r="J1896" s="16" t="n">
        <v>0.01</v>
      </c>
    </row>
    <row r="1897">
      <c r="A1897" s="16" t="n">
        <v>1893</v>
      </c>
      <c r="B1897" s="16" t="inlineStr">
        <is>
          <t>Backend</t>
        </is>
      </c>
      <c r="C1897" s="17" t="inlineStr">
        <is>
          <t>identity-service</t>
        </is>
      </c>
      <c r="D1897" s="16" t="inlineStr">
        <is>
          <t>API slice</t>
        </is>
      </c>
      <c r="E1897" s="17" t="inlineStr">
        <is>
          <t>OrganizationControllerTest › LoiMoi</t>
        </is>
      </c>
      <c r="F1897" s="17" t="inlineStr">
        <is>
          <t>lời mời</t>
        </is>
      </c>
      <c r="G1897" s="17" t="inlineStr">
        <is>
          <t>email sai hay thiếu vai trò: 400 trước khi tới handler</t>
        </is>
      </c>
      <c r="H1897" s="17" t="inlineStr">
        <is>
          <t>dau_vao_sai(String)[3]</t>
        </is>
      </c>
      <c r="I1897" s="16" t="inlineStr">
        <is>
          <t>Đạt</t>
        </is>
      </c>
      <c r="J1897" s="16" t="n">
        <v>0.016</v>
      </c>
    </row>
    <row r="1898">
      <c r="A1898" s="16" t="n">
        <v>1894</v>
      </c>
      <c r="B1898" s="16" t="inlineStr">
        <is>
          <t>Backend</t>
        </is>
      </c>
      <c r="C1898" s="17" t="inlineStr">
        <is>
          <t>identity-service</t>
        </is>
      </c>
      <c r="D1898" s="16" t="inlineStr">
        <is>
          <t>API slice</t>
        </is>
      </c>
      <c r="E1898" s="17" t="inlineStr">
        <is>
          <t>OrganizationControllerTest › RanhGioi</t>
        </is>
      </c>
      <c r="F1898" s="17" t="inlineStr">
        <is>
          <t>ranh giới tổ chức</t>
        </is>
      </c>
      <c r="G1898" s="17" t="inlineStr">
        <is>
          <t>đoạn tổ chức không phải UUID chuẩn bị chặn ở filter với 404 — kể cả khi người gọi chỉ thuộc một tổ chức</t>
        </is>
      </c>
      <c r="H1898" s="17" t="inlineStr">
        <is>
          <t>duong_dan_la(String)[1]</t>
        </is>
      </c>
      <c r="I1898" s="16" t="inlineStr">
        <is>
          <t>Đạt</t>
        </is>
      </c>
      <c r="J1898" s="16" t="n">
        <v>0.005</v>
      </c>
    </row>
    <row r="1899">
      <c r="A1899" s="16" t="n">
        <v>1895</v>
      </c>
      <c r="B1899" s="16" t="inlineStr">
        <is>
          <t>Backend</t>
        </is>
      </c>
      <c r="C1899" s="17" t="inlineStr">
        <is>
          <t>identity-service</t>
        </is>
      </c>
      <c r="D1899" s="16" t="inlineStr">
        <is>
          <t>API slice</t>
        </is>
      </c>
      <c r="E1899" s="17" t="inlineStr">
        <is>
          <t>OrganizationControllerTest › RanhGioi</t>
        </is>
      </c>
      <c r="F1899" s="17" t="inlineStr">
        <is>
          <t>ranh giới tổ chức</t>
        </is>
      </c>
      <c r="G1899" s="17" t="inlineStr">
        <is>
          <t>đoạn tổ chức không phải UUID chuẩn bị chặn ở filter với 404 — kể cả khi người gọi chỉ thuộc một tổ chức</t>
        </is>
      </c>
      <c r="H1899" s="17" t="inlineStr">
        <is>
          <t>duong_dan_la(String)[2]</t>
        </is>
      </c>
      <c r="I1899" s="16" t="inlineStr">
        <is>
          <t>Đạt</t>
        </is>
      </c>
      <c r="J1899" s="16" t="n">
        <v>0.006</v>
      </c>
    </row>
    <row r="1900">
      <c r="A1900" s="16" t="n">
        <v>1896</v>
      </c>
      <c r="B1900" s="16" t="inlineStr">
        <is>
          <t>Backend</t>
        </is>
      </c>
      <c r="C1900" s="17" t="inlineStr">
        <is>
          <t>identity-service</t>
        </is>
      </c>
      <c r="D1900" s="16" t="inlineStr">
        <is>
          <t>API slice</t>
        </is>
      </c>
      <c r="E1900" s="17" t="inlineStr">
        <is>
          <t>OrganizationControllerTest › RanhGioi</t>
        </is>
      </c>
      <c r="F1900" s="17" t="inlineStr">
        <is>
          <t>ranh giới tổ chức</t>
        </is>
      </c>
      <c r="G1900" s="17" t="inlineStr">
        <is>
          <t>đoạn tổ chức không phải UUID chuẩn bị chặn ở filter với 404 — kể cả khi người gọi chỉ thuộc một tổ chức</t>
        </is>
      </c>
      <c r="H1900" s="17" t="inlineStr">
        <is>
          <t>duong_dan_la(String)[3]</t>
        </is>
      </c>
      <c r="I1900" s="16" t="inlineStr">
        <is>
          <t>Đạt</t>
        </is>
      </c>
      <c r="J1900" s="16" t="n">
        <v>0.007</v>
      </c>
    </row>
    <row r="1901">
      <c r="A1901" s="16" t="n">
        <v>1897</v>
      </c>
      <c r="B1901" s="16" t="inlineStr">
        <is>
          <t>Backend</t>
        </is>
      </c>
      <c r="C1901" s="17" t="inlineStr">
        <is>
          <t>identity-service</t>
        </is>
      </c>
      <c r="D1901" s="16" t="inlineStr">
        <is>
          <t>API slice</t>
        </is>
      </c>
      <c r="E1901" s="17" t="inlineStr">
        <is>
          <t>OrganizationControllerTest › RanhGioi</t>
        </is>
      </c>
      <c r="F1901" s="17" t="inlineStr">
        <is>
          <t>ranh giới tổ chức</t>
        </is>
      </c>
      <c r="G1901" s="17" t="inlineStr">
        <is>
          <t>đoạn tổ chức không phải UUID chuẩn bị chặn ở filter với 404 — kể cả khi người gọi chỉ thuộc một tổ chức</t>
        </is>
      </c>
      <c r="H1901" s="17" t="inlineStr">
        <is>
          <t>duong_dan_la(String)[4]</t>
        </is>
      </c>
      <c r="I1901" s="16" t="inlineStr">
        <is>
          <t>Đạt</t>
        </is>
      </c>
      <c r="J1901" s="16" t="n">
        <v>0.008</v>
      </c>
    </row>
    <row r="1902">
      <c r="A1902" s="16" t="n">
        <v>1898</v>
      </c>
      <c r="B1902" s="16" t="inlineStr">
        <is>
          <t>Backend</t>
        </is>
      </c>
      <c r="C1902" s="17" t="inlineStr">
        <is>
          <t>identity-service</t>
        </is>
      </c>
      <c r="D1902" s="16" t="inlineStr">
        <is>
          <t>API slice</t>
        </is>
      </c>
      <c r="E1902" s="17" t="inlineStr">
        <is>
          <t>OrganizationControllerTest › RanhGioi</t>
        </is>
      </c>
      <c r="F1902" s="17" t="inlineStr">
        <is>
          <t>ranh giới tổ chức</t>
        </is>
      </c>
      <c r="G1902" s="17" t="inlineStr">
        <is>
          <t>thành viên bình thường đọc được bảng thành viên của tổ chức mình</t>
        </is>
      </c>
      <c r="H1902" s="17" t="inlineStr">
        <is>
          <t>thanh_vien_doc_duoc</t>
        </is>
      </c>
      <c r="I1902" s="16" t="inlineStr">
        <is>
          <t>Đạt</t>
        </is>
      </c>
      <c r="J1902" s="16" t="n">
        <v>0.012</v>
      </c>
    </row>
    <row r="1903">
      <c r="A1903" s="16" t="n">
        <v>1899</v>
      </c>
      <c r="B1903" s="16" t="inlineStr">
        <is>
          <t>Backend</t>
        </is>
      </c>
      <c r="C1903" s="17" t="inlineStr">
        <is>
          <t>identity-service</t>
        </is>
      </c>
      <c r="D1903" s="16" t="inlineStr">
        <is>
          <t>API slice</t>
        </is>
      </c>
      <c r="E1903" s="17" t="inlineStr">
        <is>
          <t>OrganizationControllerTest › RanhGioi</t>
        </is>
      </c>
      <c r="F1903" s="17" t="inlineStr">
        <is>
          <t>ranh giới tổ chức</t>
        </is>
      </c>
      <c r="G1903" s="17" t="inlineStr">
        <is>
          <t>superadmin vào route /v1/organizations của tổ chức mình không thuộc: 404 — đường của họ là /v1/platform</t>
        </is>
      </c>
      <c r="H1903" s="17" t="inlineStr">
        <is>
          <t>superadmin_khong_di_route_to_chuc</t>
        </is>
      </c>
      <c r="I1903" s="16" t="inlineStr">
        <is>
          <t>Đạt</t>
        </is>
      </c>
      <c r="J1903" s="16" t="n">
        <v>0.008999999999999999</v>
      </c>
    </row>
    <row r="1904">
      <c r="A1904" s="16" t="n">
        <v>1900</v>
      </c>
      <c r="B1904" s="16" t="inlineStr">
        <is>
          <t>Backend</t>
        </is>
      </c>
      <c r="C1904" s="17" t="inlineStr">
        <is>
          <t>identity-service</t>
        </is>
      </c>
      <c r="D1904" s="16" t="inlineStr">
        <is>
          <t>API slice</t>
        </is>
      </c>
      <c r="E1904" s="17" t="inlineStr">
        <is>
          <t>OrganizationControllerTest › RanhGioi</t>
        </is>
      </c>
      <c r="F1904" s="17" t="inlineStr">
        <is>
          <t>ranh giới tổ chức</t>
        </is>
      </c>
      <c r="G1904" s="17" t="inlineStr">
        <is>
          <t>JWT hợp lệ nhưng identity từ chối (khoá, phiên thu hồi): 401 UNAUTHENTICATED dạng RFC 7807</t>
        </is>
      </c>
      <c r="H1904" s="17" t="inlineStr">
        <is>
          <t>danh_tinh_bi_tu_choi</t>
        </is>
      </c>
      <c r="I1904" s="16" t="inlineStr">
        <is>
          <t>Đạt</t>
        </is>
      </c>
      <c r="J1904" s="16" t="n">
        <v>0.012</v>
      </c>
    </row>
    <row r="1905">
      <c r="A1905" s="16" t="n">
        <v>1901</v>
      </c>
      <c r="B1905" s="16" t="inlineStr">
        <is>
          <t>Backend</t>
        </is>
      </c>
      <c r="C1905" s="17" t="inlineStr">
        <is>
          <t>identity-service</t>
        </is>
      </c>
      <c r="D1905" s="16" t="inlineStr">
        <is>
          <t>API slice</t>
        </is>
      </c>
      <c r="E1905" s="17" t="inlineStr">
        <is>
          <t>OrganizationControllerTest › RanhGioi</t>
        </is>
      </c>
      <c r="F1905" s="17" t="inlineStr">
        <is>
          <t>ranh giới tổ chức</t>
        </is>
      </c>
      <c r="G1905" s="17" t="inlineStr">
        <is>
          <t>thành viên tổ chức khác nhận 404, không phải 403 — 403 xác nhận tổ chức tồn tại</t>
        </is>
      </c>
      <c r="H1905" s="17" t="inlineStr">
        <is>
          <t>to_chuc_khac_404</t>
        </is>
      </c>
      <c r="I1905" s="16" t="inlineStr">
        <is>
          <t>Đạt</t>
        </is>
      </c>
      <c r="J1905" s="16" t="n">
        <v>0.008</v>
      </c>
    </row>
    <row r="1906">
      <c r="A1906" s="16" t="n">
        <v>1902</v>
      </c>
      <c r="B1906" s="16" t="inlineStr">
        <is>
          <t>Backend</t>
        </is>
      </c>
      <c r="C1906" s="17" t="inlineStr">
        <is>
          <t>identity-service</t>
        </is>
      </c>
      <c r="D1906" s="16" t="inlineStr">
        <is>
          <t>API slice</t>
        </is>
      </c>
      <c r="E1906" s="17" t="inlineStr">
        <is>
          <t>OrganizationControllerTest › ThanhVien</t>
        </is>
      </c>
      <c r="F1906" s="17" t="inlineStr">
        <is>
          <t>quản lý thành viên</t>
        </is>
      </c>
      <c r="G1906" s="17" t="inlineStr">
        <is>
          <t>id người dùng không phải UUID là 400, không phải 500</t>
        </is>
      </c>
      <c r="H1906" s="17" t="inlineStr">
        <is>
          <t>user_id_sai</t>
        </is>
      </c>
      <c r="I1906" s="16" t="inlineStr">
        <is>
          <t>Đạt</t>
        </is>
      </c>
      <c r="J1906" s="16" t="n">
        <v>0.015</v>
      </c>
    </row>
    <row r="1907">
      <c r="A1907" s="16" t="n">
        <v>1903</v>
      </c>
      <c r="B1907" s="16" t="inlineStr">
        <is>
          <t>Backend</t>
        </is>
      </c>
      <c r="C1907" s="17" t="inlineStr">
        <is>
          <t>identity-service</t>
        </is>
      </c>
      <c r="D1907" s="16" t="inlineStr">
        <is>
          <t>API slice</t>
        </is>
      </c>
      <c r="E1907" s="17" t="inlineStr">
        <is>
          <t>OrganizationControllerTest › ThanhVien</t>
        </is>
      </c>
      <c r="F1907" s="17" t="inlineStr">
        <is>
          <t>quản lý thành viên</t>
        </is>
      </c>
      <c r="G1907" s="17" t="inlineStr">
        <is>
          <t>vai trò dưới ORG_ADMIN: 403 FORBIDDEN dạng RFC 7807 ở mọi lệnh quản lý người</t>
        </is>
      </c>
      <c r="H1907" s="17" t="inlineStr">
        <is>
          <t>vai_tro_thap_403(Role)[1]</t>
        </is>
      </c>
      <c r="I1907" s="16" t="inlineStr">
        <is>
          <t>Đạt</t>
        </is>
      </c>
      <c r="J1907" s="16" t="n">
        <v>0.04</v>
      </c>
    </row>
    <row r="1908">
      <c r="A1908" s="16" t="n">
        <v>1904</v>
      </c>
      <c r="B1908" s="16" t="inlineStr">
        <is>
          <t>Backend</t>
        </is>
      </c>
      <c r="C1908" s="17" t="inlineStr">
        <is>
          <t>identity-service</t>
        </is>
      </c>
      <c r="D1908" s="16" t="inlineStr">
        <is>
          <t>API slice</t>
        </is>
      </c>
      <c r="E1908" s="17" t="inlineStr">
        <is>
          <t>OrganizationControllerTest › ThanhVien</t>
        </is>
      </c>
      <c r="F1908" s="17" t="inlineStr">
        <is>
          <t>quản lý thành viên</t>
        </is>
      </c>
      <c r="G1908" s="17" t="inlineStr">
        <is>
          <t>vai trò dưới ORG_ADMIN: 403 FORBIDDEN dạng RFC 7807 ở mọi lệnh quản lý người</t>
        </is>
      </c>
      <c r="H1908" s="17" t="inlineStr">
        <is>
          <t>vai_tro_thap_403(Role)[2]</t>
        </is>
      </c>
      <c r="I1908" s="16" t="inlineStr">
        <is>
          <t>Đạt</t>
        </is>
      </c>
      <c r="J1908" s="16" t="n">
        <v>0.047</v>
      </c>
    </row>
    <row r="1909">
      <c r="A1909" s="16" t="n">
        <v>1905</v>
      </c>
      <c r="B1909" s="16" t="inlineStr">
        <is>
          <t>Backend</t>
        </is>
      </c>
      <c r="C1909" s="17" t="inlineStr">
        <is>
          <t>identity-service</t>
        </is>
      </c>
      <c r="D1909" s="16" t="inlineStr">
        <is>
          <t>API slice</t>
        </is>
      </c>
      <c r="E1909" s="17" t="inlineStr">
        <is>
          <t>OrganizationControllerTest › ThanhVien</t>
        </is>
      </c>
      <c r="F1909" s="17" t="inlineStr">
        <is>
          <t>quản lý thành viên</t>
        </is>
      </c>
      <c r="G1909" s="17" t="inlineStr">
        <is>
          <t>lỗi nghiệp vụ LAST_OWNER đi ra đúng 409 kèm mã ổn định</t>
        </is>
      </c>
      <c r="H1909" s="17" t="inlineStr">
        <is>
          <t>last_owner_409</t>
        </is>
      </c>
      <c r="I1909" s="16" t="inlineStr">
        <is>
          <t>Đạt</t>
        </is>
      </c>
      <c r="J1909" s="16" t="n">
        <v>0.015</v>
      </c>
    </row>
    <row r="1910">
      <c r="A1910" s="16" t="n">
        <v>1906</v>
      </c>
      <c r="B1910" s="16" t="inlineStr">
        <is>
          <t>Backend</t>
        </is>
      </c>
      <c r="C1910" s="17" t="inlineStr">
        <is>
          <t>identity-service</t>
        </is>
      </c>
      <c r="D1910" s="16" t="inlineStr">
        <is>
          <t>API slice</t>
        </is>
      </c>
      <c r="E1910" s="17" t="inlineStr">
        <is>
          <t>OrganizationControllerTest › ThanhVien</t>
        </is>
      </c>
      <c r="F1910" s="17" t="inlineStr">
        <is>
          <t>quản lý thành viên</t>
        </is>
      </c>
      <c r="G1910" s="17" t="inlineStr">
        <is>
          <t>thiếu vai trò: 400 với lỗi ở trường role; vai trò lạ: 400 malformed</t>
        </is>
      </c>
      <c r="H1910" s="17" t="inlineStr">
        <is>
          <t>vai_tro_khong_hop_le</t>
        </is>
      </c>
      <c r="I1910" s="16" t="inlineStr">
        <is>
          <t>Đạt</t>
        </is>
      </c>
      <c r="J1910" s="16" t="n">
        <v>0.023</v>
      </c>
    </row>
    <row r="1911">
      <c r="A1911" s="16" t="n">
        <v>1907</v>
      </c>
      <c r="B1911" s="16" t="inlineStr">
        <is>
          <t>Backend</t>
        </is>
      </c>
      <c r="C1911" s="17" t="inlineStr">
        <is>
          <t>identity-service</t>
        </is>
      </c>
      <c r="D1911" s="16" t="inlineStr">
        <is>
          <t>API slice</t>
        </is>
      </c>
      <c r="E1911" s="17" t="inlineStr">
        <is>
          <t>OrganizationControllerTest › ThanhVien</t>
        </is>
      </c>
      <c r="F1911" s="17" t="inlineStr">
        <is>
          <t>quản lý thành viên</t>
        </is>
      </c>
      <c r="G1911" s="17" t="inlineStr">
        <is>
          <t>ORG_ADMIN đổi vai trò: handler nhận đúng tổ chức trên đường dẫn và người dùng</t>
        </is>
      </c>
      <c r="H1911" s="17" t="inlineStr">
        <is>
          <t>doi_vai_tro</t>
        </is>
      </c>
      <c r="I1911" s="16" t="inlineStr">
        <is>
          <t>Đạt</t>
        </is>
      </c>
      <c r="J1911" s="16" t="n">
        <v>0.019</v>
      </c>
    </row>
    <row r="1912">
      <c r="A1912" s="16" t="n">
        <v>1908</v>
      </c>
      <c r="B1912" s="16" t="inlineStr">
        <is>
          <t>Backend</t>
        </is>
      </c>
      <c r="C1912" s="17" t="inlineStr">
        <is>
          <t>identity-service</t>
        </is>
      </c>
      <c r="D1912" s="16" t="inlineStr">
        <is>
          <t>API slice</t>
        </is>
      </c>
      <c r="E1912" s="17" t="inlineStr">
        <is>
          <t>OrganizationControllerTest › TranMuaVe</t>
        </is>
      </c>
      <c r="F1912" s="17" t="inlineStr">
        <is>
          <t>trần mua vé</t>
        </is>
      </c>
      <c r="G1912" s="17" t="inlineStr">
        <is>
          <t>giá trị 1 (biên dưới) được nhận; số thập phân và chuỗi thì không</t>
        </is>
      </c>
      <c r="H1912" s="17" t="inlineStr">
        <is>
          <t>bien</t>
        </is>
      </c>
      <c r="I1912" s="16" t="inlineStr">
        <is>
          <t>Đạt</t>
        </is>
      </c>
      <c r="J1912" s="16" t="n">
        <v>0.049</v>
      </c>
    </row>
    <row r="1913">
      <c r="A1913" s="16" t="n">
        <v>1909</v>
      </c>
      <c r="B1913" s="16" t="inlineStr">
        <is>
          <t>Backend</t>
        </is>
      </c>
      <c r="C1913" s="17" t="inlineStr">
        <is>
          <t>identity-service</t>
        </is>
      </c>
      <c r="D1913" s="16" t="inlineStr">
        <is>
          <t>API slice</t>
        </is>
      </c>
      <c r="E1913" s="17" t="inlineStr">
        <is>
          <t>OrganizationControllerTest › TranMuaVe</t>
        </is>
      </c>
      <c r="F1913" s="17" t="inlineStr">
        <is>
          <t>trần mua vé</t>
        </is>
      </c>
      <c r="G1913" s="17" t="inlineStr">
        <is>
          <t>EVENT_MANAGER không ghi được trần</t>
        </is>
      </c>
      <c r="H1913" s="17" t="inlineStr">
        <is>
          <t>quan_ly_su_kien</t>
        </is>
      </c>
      <c r="I1913" s="16" t="inlineStr">
        <is>
          <t>Đạt</t>
        </is>
      </c>
      <c r="J1913" s="16" t="n">
        <v>0.011</v>
      </c>
    </row>
    <row r="1914">
      <c r="A1914" s="16" t="n">
        <v>1910</v>
      </c>
      <c r="B1914" s="16" t="inlineStr">
        <is>
          <t>Backend</t>
        </is>
      </c>
      <c r="C1914" s="17" t="inlineStr">
        <is>
          <t>identity-service</t>
        </is>
      </c>
      <c r="D1914" s="16" t="inlineStr">
        <is>
          <t>API slice</t>
        </is>
      </c>
      <c r="E1914" s="17" t="inlineStr">
        <is>
          <t>OrganizationControllerTest › TranMuaVe</t>
        </is>
      </c>
      <c r="F1914" s="17" t="inlineStr">
        <is>
          <t>trần mua vé</t>
        </is>
      </c>
      <c r="G1914" s="17" t="inlineStr">
        <is>
          <t>bỏ trống mọi trường là hợp lệ: kế thừa trần nền tảng, null được trả về tường minh</t>
        </is>
      </c>
      <c r="H1914" s="17" t="inlineStr">
        <is>
          <t>bo_trong</t>
        </is>
      </c>
      <c r="I1914" s="16" t="inlineStr">
        <is>
          <t>Đạt</t>
        </is>
      </c>
      <c r="J1914" s="16" t="n">
        <v>0.016</v>
      </c>
    </row>
    <row r="1915">
      <c r="A1915" s="16" t="n">
        <v>1911</v>
      </c>
      <c r="B1915" s="16" t="inlineStr">
        <is>
          <t>Backend</t>
        </is>
      </c>
      <c r="C1915" s="17" t="inlineStr">
        <is>
          <t>identity-service</t>
        </is>
      </c>
      <c r="D1915" s="16" t="inlineStr">
        <is>
          <t>API slice</t>
        </is>
      </c>
      <c r="E1915" s="17" t="inlineStr">
        <is>
          <t>OrganizationControllerTest › TranMuaVe</t>
        </is>
      </c>
      <c r="F1915" s="17" t="inlineStr">
        <is>
          <t>trần mua vé</t>
        </is>
      </c>
      <c r="G1915" s="17" t="inlineStr">
        <is>
          <t>trần 0 hay âm bị từ chối — 'mua được 0 vé' không phải một trần</t>
        </is>
      </c>
      <c r="H1915" s="17" t="inlineStr">
        <is>
          <t>tran_khong_duong(String)[1]</t>
        </is>
      </c>
      <c r="I1915" s="16" t="inlineStr">
        <is>
          <t>Đạt</t>
        </is>
      </c>
      <c r="J1915" s="16" t="n">
        <v>0.017</v>
      </c>
    </row>
    <row r="1916">
      <c r="A1916" s="16" t="n">
        <v>1912</v>
      </c>
      <c r="B1916" s="16" t="inlineStr">
        <is>
          <t>Backend</t>
        </is>
      </c>
      <c r="C1916" s="17" t="inlineStr">
        <is>
          <t>identity-service</t>
        </is>
      </c>
      <c r="D1916" s="16" t="inlineStr">
        <is>
          <t>API slice</t>
        </is>
      </c>
      <c r="E1916" s="17" t="inlineStr">
        <is>
          <t>OrganizationControllerTest › TranMuaVe</t>
        </is>
      </c>
      <c r="F1916" s="17" t="inlineStr">
        <is>
          <t>trần mua vé</t>
        </is>
      </c>
      <c r="G1916" s="17" t="inlineStr">
        <is>
          <t>trần 0 hay âm bị từ chối — 'mua được 0 vé' không phải một trần</t>
        </is>
      </c>
      <c r="H1916" s="17" t="inlineStr">
        <is>
          <t>tran_khong_duong(String)[2]</t>
        </is>
      </c>
      <c r="I1916" s="16" t="inlineStr">
        <is>
          <t>Đạt</t>
        </is>
      </c>
      <c r="J1916" s="16" t="n">
        <v>0.014</v>
      </c>
    </row>
    <row r="1917">
      <c r="A1917" s="16" t="n">
        <v>1913</v>
      </c>
      <c r="B1917" s="16" t="inlineStr">
        <is>
          <t>Backend</t>
        </is>
      </c>
      <c r="C1917" s="17" t="inlineStr">
        <is>
          <t>identity-service</t>
        </is>
      </c>
      <c r="D1917" s="16" t="inlineStr">
        <is>
          <t>API slice</t>
        </is>
      </c>
      <c r="E1917" s="17" t="inlineStr">
        <is>
          <t>OrganizationControllerTest › TranMuaVe</t>
        </is>
      </c>
      <c r="F1917" s="17" t="inlineStr">
        <is>
          <t>trần mua vé</t>
        </is>
      </c>
      <c r="G1917" s="17" t="inlineStr">
        <is>
          <t>trần 0 hay âm bị từ chối — 'mua được 0 vé' không phải một trần</t>
        </is>
      </c>
      <c r="H1917" s="17" t="inlineStr">
        <is>
          <t>tran_khong_duong(String)[3]</t>
        </is>
      </c>
      <c r="I1917" s="16" t="inlineStr">
        <is>
          <t>Đạt</t>
        </is>
      </c>
      <c r="J1917" s="16" t="n">
        <v>0.012</v>
      </c>
    </row>
    <row r="1918">
      <c r="A1918" s="16" t="n">
        <v>1914</v>
      </c>
      <c r="B1918" s="16" t="inlineStr">
        <is>
          <t>Backend</t>
        </is>
      </c>
      <c r="C1918" s="17" t="inlineStr">
        <is>
          <t>identity-service</t>
        </is>
      </c>
      <c r="D1918" s="16" t="inlineStr">
        <is>
          <t>API slice</t>
        </is>
      </c>
      <c r="E1918" s="17" t="inlineStr">
        <is>
          <t>PlatformControllersTest</t>
        </is>
      </c>
      <c r="F1918" s="17" t="inlineStr"/>
      <c r="G1918" s="17" t="inlineStr">
        <is>
          <t>mọi vai trò của tổ chức nhận 403 ở mọi endpoint nền tảng, handler không được gọi</t>
        </is>
      </c>
      <c r="H1918" s="17" t="inlineStr">
        <is>
          <t>vai_tro_to_chuc_403(Role)[1]</t>
        </is>
      </c>
      <c r="I1918" s="16" t="inlineStr">
        <is>
          <t>Đạt</t>
        </is>
      </c>
      <c r="J1918" s="16" t="n">
        <v>0.068</v>
      </c>
    </row>
    <row r="1919">
      <c r="A1919" s="16" t="n">
        <v>1915</v>
      </c>
      <c r="B1919" s="16" t="inlineStr">
        <is>
          <t>Backend</t>
        </is>
      </c>
      <c r="C1919" s="17" t="inlineStr">
        <is>
          <t>identity-service</t>
        </is>
      </c>
      <c r="D1919" s="16" t="inlineStr">
        <is>
          <t>API slice</t>
        </is>
      </c>
      <c r="E1919" s="17" t="inlineStr">
        <is>
          <t>PlatformControllersTest</t>
        </is>
      </c>
      <c r="F1919" s="17" t="inlineStr"/>
      <c r="G1919" s="17" t="inlineStr">
        <is>
          <t>mọi vai trò của tổ chức nhận 403 ở mọi endpoint nền tảng, handler không được gọi</t>
        </is>
      </c>
      <c r="H1919" s="17" t="inlineStr">
        <is>
          <t>vai_tro_to_chuc_403(Role)[2]</t>
        </is>
      </c>
      <c r="I1919" s="16" t="inlineStr">
        <is>
          <t>Đạt</t>
        </is>
      </c>
      <c r="J1919" s="16" t="n">
        <v>0.038</v>
      </c>
    </row>
    <row r="1920">
      <c r="A1920" s="16" t="n">
        <v>1916</v>
      </c>
      <c r="B1920" s="16" t="inlineStr">
        <is>
          <t>Backend</t>
        </is>
      </c>
      <c r="C1920" s="17" t="inlineStr">
        <is>
          <t>identity-service</t>
        </is>
      </c>
      <c r="D1920" s="16" t="inlineStr">
        <is>
          <t>API slice</t>
        </is>
      </c>
      <c r="E1920" s="17" t="inlineStr">
        <is>
          <t>PlatformControllersTest</t>
        </is>
      </c>
      <c r="F1920" s="17" t="inlineStr"/>
      <c r="G1920" s="17" t="inlineStr">
        <is>
          <t>mọi vai trò của tổ chức nhận 403 ở mọi endpoint nền tảng, handler không được gọi</t>
        </is>
      </c>
      <c r="H1920" s="17" t="inlineStr">
        <is>
          <t>vai_tro_to_chuc_403(Role)[3]</t>
        </is>
      </c>
      <c r="I1920" s="16" t="inlineStr">
        <is>
          <t>Đạt</t>
        </is>
      </c>
      <c r="J1920" s="16" t="n">
        <v>0.031</v>
      </c>
    </row>
    <row r="1921">
      <c r="A1921" s="16" t="n">
        <v>1917</v>
      </c>
      <c r="B1921" s="16" t="inlineStr">
        <is>
          <t>Backend</t>
        </is>
      </c>
      <c r="C1921" s="17" t="inlineStr">
        <is>
          <t>identity-service</t>
        </is>
      </c>
      <c r="D1921" s="16" t="inlineStr">
        <is>
          <t>API slice</t>
        </is>
      </c>
      <c r="E1921" s="17" t="inlineStr">
        <is>
          <t>PlatformControllersTest</t>
        </is>
      </c>
      <c r="F1921" s="17" t="inlineStr"/>
      <c r="G1921" s="17" t="inlineStr">
        <is>
          <t>mọi vai trò của tổ chức nhận 403 ở mọi endpoint nền tảng, handler không được gọi</t>
        </is>
      </c>
      <c r="H1921" s="17" t="inlineStr">
        <is>
          <t>vai_tro_to_chuc_403(Role)[4]</t>
        </is>
      </c>
      <c r="I1921" s="16" t="inlineStr">
        <is>
          <t>Đạt</t>
        </is>
      </c>
      <c r="J1921" s="16" t="n">
        <v>0.034</v>
      </c>
    </row>
    <row r="1922">
      <c r="A1922" s="16" t="n">
        <v>1918</v>
      </c>
      <c r="B1922" s="16" t="inlineStr">
        <is>
          <t>Backend</t>
        </is>
      </c>
      <c r="C1922" s="17" t="inlineStr">
        <is>
          <t>identity-service</t>
        </is>
      </c>
      <c r="D1922" s="16" t="inlineStr">
        <is>
          <t>API slice</t>
        </is>
      </c>
      <c r="E1922" s="17" t="inlineStr">
        <is>
          <t>PlatformControllersTest</t>
        </is>
      </c>
      <c r="F1922" s="17" t="inlineStr"/>
      <c r="G1922" s="17" t="inlineStr">
        <is>
          <t>không có token: 401 ở mọi endpoint nền tảng</t>
        </is>
      </c>
      <c r="H1922" s="17" t="inlineStr">
        <is>
          <t>khong_token_401</t>
        </is>
      </c>
      <c r="I1922" s="16" t="inlineStr">
        <is>
          <t>Đạt</t>
        </is>
      </c>
      <c r="J1922" s="16" t="n">
        <v>0.01</v>
      </c>
    </row>
    <row r="1923">
      <c r="A1923" s="16" t="n">
        <v>1919</v>
      </c>
      <c r="B1923" s="16" t="inlineStr">
        <is>
          <t>Backend</t>
        </is>
      </c>
      <c r="C1923" s="17" t="inlineStr">
        <is>
          <t>identity-service</t>
        </is>
      </c>
      <c r="D1923" s="16" t="inlineStr">
        <is>
          <t>API slice</t>
        </is>
      </c>
      <c r="E1923" s="17" t="inlineStr">
        <is>
          <t>PlatformControllersTest › NguoiDung</t>
        </is>
      </c>
      <c r="F1923" s="17" t="inlineStr">
        <is>
          <t>người dùng</t>
        </is>
      </c>
      <c r="G1923" s="17" t="inlineStr">
        <is>
          <t>id người dùng không phải UUID là 400, không phải 500</t>
        </is>
      </c>
      <c r="H1923" s="17" t="inlineStr">
        <is>
          <t>id_sai</t>
        </is>
      </c>
      <c r="I1923" s="16" t="inlineStr">
        <is>
          <t>Đạt</t>
        </is>
      </c>
      <c r="J1923" s="16" t="n">
        <v>0.008</v>
      </c>
    </row>
    <row r="1924">
      <c r="A1924" s="16" t="n">
        <v>1920</v>
      </c>
      <c r="B1924" s="16" t="inlineStr">
        <is>
          <t>Backend</t>
        </is>
      </c>
      <c r="C1924" s="17" t="inlineStr">
        <is>
          <t>identity-service</t>
        </is>
      </c>
      <c r="D1924" s="16" t="inlineStr">
        <is>
          <t>API slice</t>
        </is>
      </c>
      <c r="E1924" s="17" t="inlineStr">
        <is>
          <t>PlatformControllersTest › NguoiDung</t>
        </is>
      </c>
      <c r="F1924" s="17" t="inlineStr">
        <is>
          <t>người dùng</t>
        </is>
      </c>
      <c r="G1924" s="17" t="inlineStr">
        <is>
          <t>thu hồi toàn bộ phiên ở đường nền tảng truyền tổ chức null</t>
        </is>
      </c>
      <c r="H1924" s="17" t="inlineStr">
        <is>
          <t>thu_hoi_toan_bo</t>
        </is>
      </c>
      <c r="I1924" s="16" t="inlineStr">
        <is>
          <t>Đạt</t>
        </is>
      </c>
      <c r="J1924" s="16" t="n">
        <v>0.015</v>
      </c>
    </row>
    <row r="1925">
      <c r="A1925" s="16" t="n">
        <v>1921</v>
      </c>
      <c r="B1925" s="16" t="inlineStr">
        <is>
          <t>Backend</t>
        </is>
      </c>
      <c r="C1925" s="17" t="inlineStr">
        <is>
          <t>identity-service</t>
        </is>
      </c>
      <c r="D1925" s="16" t="inlineStr">
        <is>
          <t>API slice</t>
        </is>
      </c>
      <c r="E1925" s="17" t="inlineStr">
        <is>
          <t>PlatformControllersTest › NguoiDung</t>
        </is>
      </c>
      <c r="F1925" s="17" t="inlineStr">
        <is>
          <t>người dùng</t>
        </is>
      </c>
      <c r="G1925" s="17" t="inlineStr">
        <is>
          <t>lý do vô hiệu hoá quá 500 ký tự bị từ chối như mọi lý do khác</t>
        </is>
      </c>
      <c r="H1925" s="17" t="inlineStr">
        <is>
          <t>ly_do_vo_hieu_hoa_qua_dai</t>
        </is>
      </c>
      <c r="I1925" s="16" t="inlineStr">
        <is>
          <t>Đạt</t>
        </is>
      </c>
      <c r="J1925" s="16" t="n">
        <v>0.016</v>
      </c>
    </row>
    <row r="1926">
      <c r="A1926" s="16" t="n">
        <v>1922</v>
      </c>
      <c r="B1926" s="16" t="inlineStr">
        <is>
          <t>Backend</t>
        </is>
      </c>
      <c r="C1926" s="17" t="inlineStr">
        <is>
          <t>identity-service</t>
        </is>
      </c>
      <c r="D1926" s="16" t="inlineStr">
        <is>
          <t>API slice</t>
        </is>
      </c>
      <c r="E1926" s="17" t="inlineStr">
        <is>
          <t>PlatformControllersTest › NguoiDung</t>
        </is>
      </c>
      <c r="F1926" s="17" t="inlineStr">
        <is>
          <t>người dùng</t>
        </is>
      </c>
      <c r="G1926" s="17" t="inlineStr">
        <is>
          <t>vô hiệu hoá có lý do: 204 và lý do đi vào handler</t>
        </is>
      </c>
      <c r="H1926" s="17" t="inlineStr">
        <is>
          <t>vo_hieu_hoa</t>
        </is>
      </c>
      <c r="I1926" s="16" t="inlineStr">
        <is>
          <t>Đạt</t>
        </is>
      </c>
      <c r="J1926" s="16" t="n">
        <v>0.011</v>
      </c>
    </row>
    <row r="1927">
      <c r="A1927" s="16" t="n">
        <v>1923</v>
      </c>
      <c r="B1927" s="16" t="inlineStr">
        <is>
          <t>Backend</t>
        </is>
      </c>
      <c r="C1927" s="17" t="inlineStr">
        <is>
          <t>identity-service</t>
        </is>
      </c>
      <c r="D1927" s="16" t="inlineStr">
        <is>
          <t>API slice</t>
        </is>
      </c>
      <c r="E1927" s="17" t="inlineStr">
        <is>
          <t>PlatformControllersTest › NguoiDung</t>
        </is>
      </c>
      <c r="F1927" s="17" t="inlineStr">
        <is>
          <t>người dùng</t>
        </is>
      </c>
      <c r="G1927" s="17" t="inlineStr">
        <is>
          <t>sid chứa ký tự ngoài [A-Za-z0-9._:-] hoặc quá 100 ký tự: 400</t>
        </is>
      </c>
      <c r="H1927" s="17" t="inlineStr">
        <is>
          <t>sid_khong_hop_le</t>
        </is>
      </c>
      <c r="I1927" s="16" t="inlineStr">
        <is>
          <t>Đạt</t>
        </is>
      </c>
      <c r="J1927" s="16" t="n">
        <v>0.02</v>
      </c>
    </row>
    <row r="1928">
      <c r="A1928" s="16" t="n">
        <v>1924</v>
      </c>
      <c r="B1928" s="16" t="inlineStr">
        <is>
          <t>Backend</t>
        </is>
      </c>
      <c r="C1928" s="17" t="inlineStr">
        <is>
          <t>identity-service</t>
        </is>
      </c>
      <c r="D1928" s="16" t="inlineStr">
        <is>
          <t>API slice</t>
        </is>
      </c>
      <c r="E1928" s="17" t="inlineStr">
        <is>
          <t>PlatformControllersTest › NguoiDung</t>
        </is>
      </c>
      <c r="F1928" s="17" t="inlineStr">
        <is>
          <t>người dùng</t>
        </is>
      </c>
      <c r="G1928" s="17" t="inlineStr">
        <is>
          <t>nhật ký nền tảng: tham số lọc đi thẳng vào truy vấn</t>
        </is>
      </c>
      <c r="H1928" s="17" t="inlineStr">
        <is>
          <t>nhat_ky</t>
        </is>
      </c>
      <c r="I1928" s="16" t="inlineStr">
        <is>
          <t>Đạt</t>
        </is>
      </c>
      <c r="J1928" s="16" t="n">
        <v>0.012</v>
      </c>
    </row>
    <row r="1929">
      <c r="A1929" s="16" t="n">
        <v>1925</v>
      </c>
      <c r="B1929" s="16" t="inlineStr">
        <is>
          <t>Backend</t>
        </is>
      </c>
      <c r="C1929" s="17" t="inlineStr">
        <is>
          <t>identity-service</t>
        </is>
      </c>
      <c r="D1929" s="16" t="inlineStr">
        <is>
          <t>API slice</t>
        </is>
      </c>
      <c r="E1929" s="17" t="inlineStr">
        <is>
          <t>PlatformControllersTest › ToChuc</t>
        </is>
      </c>
      <c r="F1929" s="17" t="inlineStr">
        <is>
          <t>tổ chức</t>
        </is>
      </c>
      <c r="G1929" s="17" t="inlineStr">
        <is>
          <t>tạo tổ chức: 201, Location trỏ tới tổ chức mới, token lời mời chủ sở hữu trả về một lần</t>
        </is>
      </c>
      <c r="H1929" s="17" t="inlineStr">
        <is>
          <t>tao_to_chuc</t>
        </is>
      </c>
      <c r="I1929" s="16" t="inlineStr">
        <is>
          <t>Đạt</t>
        </is>
      </c>
      <c r="J1929" s="16" t="n">
        <v>0.019</v>
      </c>
    </row>
    <row r="1930">
      <c r="A1930" s="16" t="n">
        <v>1926</v>
      </c>
      <c r="B1930" s="16" t="inlineStr">
        <is>
          <t>Backend</t>
        </is>
      </c>
      <c r="C1930" s="17" t="inlineStr">
        <is>
          <t>identity-service</t>
        </is>
      </c>
      <c r="D1930" s="16" t="inlineStr">
        <is>
          <t>API slice</t>
        </is>
      </c>
      <c r="E1930" s="17" t="inlineStr">
        <is>
          <t>PlatformControllersTest › ToChuc</t>
        </is>
      </c>
      <c r="F1930" s="17" t="inlineStr">
        <is>
          <t>tổ chức</t>
        </is>
      </c>
      <c r="G1930" s="17" t="inlineStr">
        <is>
          <t>id tổ chức trên route nền tảng không phải UUID là 400, không phải 500</t>
        </is>
      </c>
      <c r="H1930" s="17" t="inlineStr">
        <is>
          <t>id_sai</t>
        </is>
      </c>
      <c r="I1930" s="16" t="inlineStr">
        <is>
          <t>Đạt</t>
        </is>
      </c>
      <c r="J1930" s="16" t="n">
        <v>0.005</v>
      </c>
    </row>
    <row r="1931">
      <c r="A1931" s="16" t="n">
        <v>1927</v>
      </c>
      <c r="B1931" s="16" t="inlineStr">
        <is>
          <t>Backend</t>
        </is>
      </c>
      <c r="C1931" s="17" t="inlineStr">
        <is>
          <t>identity-service</t>
        </is>
      </c>
      <c r="D1931" s="16" t="inlineStr">
        <is>
          <t>API slice</t>
        </is>
      </c>
      <c r="E1931" s="17" t="inlineStr">
        <is>
          <t>PlatformControllersTest › ToChuc</t>
        </is>
      </c>
      <c r="F1931" s="17" t="inlineStr">
        <is>
          <t>tổ chức</t>
        </is>
      </c>
      <c r="G1931" s="17" t="inlineStr">
        <is>
          <t>cấp thành viên: handler nhận tổ chức trên đường dẫn; kết quả INVITED trả kèm token</t>
        </is>
      </c>
      <c r="H1931" s="17" t="inlineStr">
        <is>
          <t>cap_thanh_vien</t>
        </is>
      </c>
      <c r="I1931" s="16" t="inlineStr">
        <is>
          <t>Đạt</t>
        </is>
      </c>
      <c r="J1931" s="16" t="n">
        <v>0.013</v>
      </c>
    </row>
    <row r="1932">
      <c r="A1932" s="16" t="n">
        <v>1928</v>
      </c>
      <c r="B1932" s="16" t="inlineStr">
        <is>
          <t>Backend</t>
        </is>
      </c>
      <c r="C1932" s="17" t="inlineStr">
        <is>
          <t>identity-service</t>
        </is>
      </c>
      <c r="D1932" s="16" t="inlineStr">
        <is>
          <t>API slice</t>
        </is>
      </c>
      <c r="E1932" s="17" t="inlineStr">
        <is>
          <t>PlatformControllersTest › ToChuc</t>
        </is>
      </c>
      <c r="F1932" s="17" t="inlineStr">
        <is>
          <t>tổ chức</t>
        </is>
      </c>
      <c r="G1932" s="17" t="inlineStr">
        <is>
          <t>superadmin khoá tổ chức qua route nền tảng dù không là thành viên</t>
        </is>
      </c>
      <c r="H1932" s="17" t="inlineStr">
        <is>
          <t>khoa_to_chuc</t>
        </is>
      </c>
      <c r="I1932" s="16" t="inlineStr">
        <is>
          <t>Đạt</t>
        </is>
      </c>
      <c r="J1932" s="16" t="n">
        <v>0.006</v>
      </c>
    </row>
    <row r="1933">
      <c r="A1933" s="16" t="n">
        <v>1929</v>
      </c>
      <c r="B1933" s="16" t="inlineStr">
        <is>
          <t>Backend</t>
        </is>
      </c>
      <c r="C1933" s="17" t="inlineStr">
        <is>
          <t>identity-service</t>
        </is>
      </c>
      <c r="D1933" s="16" t="inlineStr">
        <is>
          <t>API slice</t>
        </is>
      </c>
      <c r="E1933" s="17" t="inlineStr">
        <is>
          <t>PlatformControllersTest › ToChuc</t>
        </is>
      </c>
      <c r="F1933" s="17" t="inlineStr">
        <is>
          <t>tổ chức</t>
        </is>
      </c>
      <c r="G1933" s="17" t="inlineStr">
        <is>
          <t>tên trống, thiếu hay sai email chủ sở hữu: 400 trước khi tới handler</t>
        </is>
      </c>
      <c r="H1933" s="17" t="inlineStr">
        <is>
          <t>dau_vao_sai(String)[1]</t>
        </is>
      </c>
      <c r="I1933" s="16" t="inlineStr">
        <is>
          <t>Đạt</t>
        </is>
      </c>
      <c r="J1933" s="16" t="n">
        <v>0.006</v>
      </c>
    </row>
    <row r="1934">
      <c r="A1934" s="16" t="n">
        <v>1930</v>
      </c>
      <c r="B1934" s="16" t="inlineStr">
        <is>
          <t>Backend</t>
        </is>
      </c>
      <c r="C1934" s="17" t="inlineStr">
        <is>
          <t>identity-service</t>
        </is>
      </c>
      <c r="D1934" s="16" t="inlineStr">
        <is>
          <t>API slice</t>
        </is>
      </c>
      <c r="E1934" s="17" t="inlineStr">
        <is>
          <t>PlatformControllersTest › ToChuc</t>
        </is>
      </c>
      <c r="F1934" s="17" t="inlineStr">
        <is>
          <t>tổ chức</t>
        </is>
      </c>
      <c r="G1934" s="17" t="inlineStr">
        <is>
          <t>tên trống, thiếu hay sai email chủ sở hữu: 400 trước khi tới handler</t>
        </is>
      </c>
      <c r="H1934" s="17" t="inlineStr">
        <is>
          <t>dau_vao_sai(String)[2]</t>
        </is>
      </c>
      <c r="I1934" s="16" t="inlineStr">
        <is>
          <t>Đạt</t>
        </is>
      </c>
      <c r="J1934" s="16" t="n">
        <v>0.007</v>
      </c>
    </row>
    <row r="1935">
      <c r="A1935" s="16" t="n">
        <v>1931</v>
      </c>
      <c r="B1935" s="16" t="inlineStr">
        <is>
          <t>Backend</t>
        </is>
      </c>
      <c r="C1935" s="17" t="inlineStr">
        <is>
          <t>identity-service</t>
        </is>
      </c>
      <c r="D1935" s="16" t="inlineStr">
        <is>
          <t>API slice</t>
        </is>
      </c>
      <c r="E1935" s="17" t="inlineStr">
        <is>
          <t>PlatformControllersTest › ToChuc</t>
        </is>
      </c>
      <c r="F1935" s="17" t="inlineStr">
        <is>
          <t>tổ chức</t>
        </is>
      </c>
      <c r="G1935" s="17" t="inlineStr">
        <is>
          <t>tên trống, thiếu hay sai email chủ sở hữu: 400 trước khi tới handler</t>
        </is>
      </c>
      <c r="H1935" s="17" t="inlineStr">
        <is>
          <t>dau_vao_sai(String)[3]</t>
        </is>
      </c>
      <c r="I1935" s="16" t="inlineStr">
        <is>
          <t>Đạt</t>
        </is>
      </c>
      <c r="J1935" s="16" t="n">
        <v>0.008</v>
      </c>
    </row>
    <row r="1936">
      <c r="A1936" s="16" t="n">
        <v>1932</v>
      </c>
      <c r="B1936" s="16" t="inlineStr">
        <is>
          <t>Backend</t>
        </is>
      </c>
      <c r="C1936" s="17" t="inlineStr">
        <is>
          <t>identity-service</t>
        </is>
      </c>
      <c r="D1936" s="16" t="inlineStr">
        <is>
          <t>API slice</t>
        </is>
      </c>
      <c r="E1936" s="17" t="inlineStr">
        <is>
          <t>PlatformControllersTest › ToChuc</t>
        </is>
      </c>
      <c r="F1936" s="17" t="inlineStr">
        <is>
          <t>tổ chức</t>
        </is>
      </c>
      <c r="G1936" s="17" t="inlineStr">
        <is>
          <t>tên trống, thiếu hay sai email chủ sở hữu: 400 trước khi tới handler</t>
        </is>
      </c>
      <c r="H1936" s="17" t="inlineStr">
        <is>
          <t>dau_vao_sai(String)[4]</t>
        </is>
      </c>
      <c r="I1936" s="16" t="inlineStr">
        <is>
          <t>Đạt</t>
        </is>
      </c>
      <c r="J1936" s="16" t="n">
        <v>0.007</v>
      </c>
    </row>
    <row r="1937">
      <c r="A1937" s="16" t="n">
        <v>1933</v>
      </c>
      <c r="B1937" s="16" t="inlineStr">
        <is>
          <t>Backend</t>
        </is>
      </c>
      <c r="C1937" s="17" t="inlineStr">
        <is>
          <t>identity-service</t>
        </is>
      </c>
      <c r="D1937" s="16" t="inlineStr">
        <is>
          <t>API slice</t>
        </is>
      </c>
      <c r="E1937" s="17" t="inlineStr">
        <is>
          <t>PlatformControllersTest › ToChuc</t>
        </is>
      </c>
      <c r="F1937" s="17" t="inlineStr">
        <is>
          <t>tổ chức</t>
        </is>
      </c>
      <c r="G1937" s="17" t="inlineStr">
        <is>
          <t>tên quá 200 ký tự hay slug quá 64 ký tự: 400</t>
        </is>
      </c>
      <c r="H1937" s="17" t="inlineStr">
        <is>
          <t>qua_dai</t>
        </is>
      </c>
      <c r="I1937" s="16" t="inlineStr">
        <is>
          <t>Đạt</t>
        </is>
      </c>
      <c r="J1937" s="16" t="n">
        <v>0.012</v>
      </c>
    </row>
    <row r="1938">
      <c r="A1938" s="16" t="n">
        <v>1934</v>
      </c>
      <c r="B1938" s="16" t="inlineStr">
        <is>
          <t>Backend</t>
        </is>
      </c>
      <c r="C1938" s="17" t="inlineStr">
        <is>
          <t>identity-service</t>
        </is>
      </c>
      <c r="D1938" s="16" t="inlineStr">
        <is>
          <t>API slice</t>
        </is>
      </c>
      <c r="E1938" s="17" t="inlineStr">
        <is>
          <t>StaffAccountStatusControllerTest</t>
        </is>
      </c>
      <c r="F1938" s="17" t="inlineStr"/>
      <c r="G1938" s="17" t="inlineStr">
        <is>
          <t>Thiếu tham số username: vẫn 200 (handler trả UNKNOWN), không phải 400/500</t>
        </is>
      </c>
      <c r="H1938" s="17" t="inlineStr">
        <is>
          <t>thieu_username</t>
        </is>
      </c>
      <c r="I1938" s="16" t="inlineStr">
        <is>
          <t>Đạt</t>
        </is>
      </c>
      <c r="J1938" s="16" t="n">
        <v>0.007</v>
      </c>
    </row>
    <row r="1939">
      <c r="A1939" s="16" t="n">
        <v>1935</v>
      </c>
      <c r="B1939" s="16" t="inlineStr">
        <is>
          <t>Backend</t>
        </is>
      </c>
      <c r="C1939" s="17" t="inlineStr">
        <is>
          <t>identity-service</t>
        </is>
      </c>
      <c r="D1939" s="16" t="inlineStr">
        <is>
          <t>API slice</t>
        </is>
      </c>
      <c r="E1939" s="17" t="inlineStr">
        <is>
          <t>StaffAccountStatusControllerTest</t>
        </is>
      </c>
      <c r="F1939" s="17" t="inlineStr"/>
      <c r="G1939" s="17" t="inlineStr">
        <is>
          <t>Không token vẫn hỏi được: 200 và đúng giá trị handler trả về</t>
        </is>
      </c>
      <c r="H1939" s="17" t="inlineStr">
        <is>
          <t>khong_can_dang_nhap</t>
        </is>
      </c>
      <c r="I1939" s="16" t="inlineStr">
        <is>
          <t>Đạt</t>
        </is>
      </c>
      <c r="J1939" s="16" t="n">
        <v>0.011</v>
      </c>
    </row>
    <row r="1940">
      <c r="A1940" s="16" t="n">
        <v>1936</v>
      </c>
      <c r="B1940" s="16" t="inlineStr">
        <is>
          <t>Backend</t>
        </is>
      </c>
      <c r="C1940" s="17" t="inlineStr">
        <is>
          <t>identity-service</t>
        </is>
      </c>
      <c r="D1940" s="16" t="inlineStr">
        <is>
          <t>API slice</t>
        </is>
      </c>
      <c r="E1940" s="17" t="inlineStr">
        <is>
          <t>StaffAndInternalControllersTest › NhanSu</t>
        </is>
      </c>
      <c r="F1940" s="17" t="inlineStr">
        <is>
          <t>mục Nhân sự</t>
        </is>
      </c>
      <c r="G1940" s="17" t="inlineStr">
        <is>
          <t>gửi lại và huỷ trả 204; huỷ lời mời đã kích hoạt trả 409 với mã ổn định</t>
        </is>
      </c>
      <c r="H1940" s="17" t="inlineStr">
        <is>
          <t>gui_lai_va_huy</t>
        </is>
      </c>
      <c r="I1940" s="16" t="inlineStr">
        <is>
          <t>Đạt</t>
        </is>
      </c>
      <c r="J1940" s="16" t="n">
        <v>0.015</v>
      </c>
    </row>
    <row r="1941">
      <c r="A1941" s="16" t="n">
        <v>1937</v>
      </c>
      <c r="B1941" s="16" t="inlineStr">
        <is>
          <t>Backend</t>
        </is>
      </c>
      <c r="C1941" s="17" t="inlineStr">
        <is>
          <t>identity-service</t>
        </is>
      </c>
      <c r="D1941" s="16" t="inlineStr">
        <is>
          <t>API slice</t>
        </is>
      </c>
      <c r="E1941" s="17" t="inlineStr">
        <is>
          <t>StaffAndInternalControllersTest › NhanSu</t>
        </is>
      </c>
      <c r="F1941" s="17" t="inlineStr">
        <is>
          <t>mục Nhân sự</t>
        </is>
      </c>
      <c r="G1941" s="17" t="inlineStr">
        <is>
          <t>mời nhân viên: 200 với kết quả và id; tổ chức lấy từ đường dẫn</t>
        </is>
      </c>
      <c r="H1941" s="17" t="inlineStr">
        <is>
          <t>moi</t>
        </is>
      </c>
      <c r="I1941" s="16" t="inlineStr">
        <is>
          <t>Đạt</t>
        </is>
      </c>
      <c r="J1941" s="16" t="n">
        <v>0.023</v>
      </c>
    </row>
    <row r="1942">
      <c r="A1942" s="16" t="n">
        <v>1938</v>
      </c>
      <c r="B1942" s="16" t="inlineStr">
        <is>
          <t>Backend</t>
        </is>
      </c>
      <c r="C1942" s="17" t="inlineStr">
        <is>
          <t>identity-service</t>
        </is>
      </c>
      <c r="D1942" s="16" t="inlineStr">
        <is>
          <t>API slice</t>
        </is>
      </c>
      <c r="E1942" s="17" t="inlineStr">
        <is>
          <t>StaffAndInternalControllersTest › NhanSu</t>
        </is>
      </c>
      <c r="F1942" s="17" t="inlineStr">
        <is>
          <t>mục Nhân sự</t>
        </is>
      </c>
      <c r="G1942" s="17" t="inlineStr">
        <is>
          <t>thiếu tên, email sai, thiếu danh sách sự kiện hay id sự kiện hỏng: 400</t>
        </is>
      </c>
      <c r="H1942" s="17" t="inlineStr">
        <is>
          <t>dau_vao_sai(String)[1]</t>
        </is>
      </c>
      <c r="I1942" s="16" t="inlineStr">
        <is>
          <t>Đạt</t>
        </is>
      </c>
      <c r="J1942" s="16" t="n">
        <v>0.007</v>
      </c>
    </row>
    <row r="1943">
      <c r="A1943" s="16" t="n">
        <v>1939</v>
      </c>
      <c r="B1943" s="16" t="inlineStr">
        <is>
          <t>Backend</t>
        </is>
      </c>
      <c r="C1943" s="17" t="inlineStr">
        <is>
          <t>identity-service</t>
        </is>
      </c>
      <c r="D1943" s="16" t="inlineStr">
        <is>
          <t>API slice</t>
        </is>
      </c>
      <c r="E1943" s="17" t="inlineStr">
        <is>
          <t>StaffAndInternalControllersTest › NhanSu</t>
        </is>
      </c>
      <c r="F1943" s="17" t="inlineStr">
        <is>
          <t>mục Nhân sự</t>
        </is>
      </c>
      <c r="G1943" s="17" t="inlineStr">
        <is>
          <t>thiếu tên, email sai, thiếu danh sách sự kiện hay id sự kiện hỏng: 400</t>
        </is>
      </c>
      <c r="H1943" s="17" t="inlineStr">
        <is>
          <t>dau_vao_sai(String)[2]</t>
        </is>
      </c>
      <c r="I1943" s="16" t="inlineStr">
        <is>
          <t>Đạt</t>
        </is>
      </c>
      <c r="J1943" s="16" t="n">
        <v>0.006</v>
      </c>
    </row>
    <row r="1944">
      <c r="A1944" s="16" t="n">
        <v>1940</v>
      </c>
      <c r="B1944" s="16" t="inlineStr">
        <is>
          <t>Backend</t>
        </is>
      </c>
      <c r="C1944" s="17" t="inlineStr">
        <is>
          <t>identity-service</t>
        </is>
      </c>
      <c r="D1944" s="16" t="inlineStr">
        <is>
          <t>API slice</t>
        </is>
      </c>
      <c r="E1944" s="17" t="inlineStr">
        <is>
          <t>StaffAndInternalControllersTest › NhanSu</t>
        </is>
      </c>
      <c r="F1944" s="17" t="inlineStr">
        <is>
          <t>mục Nhân sự</t>
        </is>
      </c>
      <c r="G1944" s="17" t="inlineStr">
        <is>
          <t>thiếu tên, email sai, thiếu danh sách sự kiện hay id sự kiện hỏng: 400</t>
        </is>
      </c>
      <c r="H1944" s="17" t="inlineStr">
        <is>
          <t>dau_vao_sai(String)[3]</t>
        </is>
      </c>
      <c r="I1944" s="16" t="inlineStr">
        <is>
          <t>Đạt</t>
        </is>
      </c>
      <c r="J1944" s="16" t="n">
        <v>0.008</v>
      </c>
    </row>
    <row r="1945">
      <c r="A1945" s="16" t="n">
        <v>1941</v>
      </c>
      <c r="B1945" s="16" t="inlineStr">
        <is>
          <t>Backend</t>
        </is>
      </c>
      <c r="C1945" s="17" t="inlineStr">
        <is>
          <t>identity-service</t>
        </is>
      </c>
      <c r="D1945" s="16" t="inlineStr">
        <is>
          <t>API slice</t>
        </is>
      </c>
      <c r="E1945" s="17" t="inlineStr">
        <is>
          <t>StaffAndInternalControllersTest › NhanSu</t>
        </is>
      </c>
      <c r="F1945" s="17" t="inlineStr">
        <is>
          <t>mục Nhân sự</t>
        </is>
      </c>
      <c r="G1945" s="17" t="inlineStr">
        <is>
          <t>thiếu tên, email sai, thiếu danh sách sự kiện hay id sự kiện hỏng: 400</t>
        </is>
      </c>
      <c r="H1945" s="17" t="inlineStr">
        <is>
          <t>dau_vao_sai(String)[4]</t>
        </is>
      </c>
      <c r="I1945" s="16" t="inlineStr">
        <is>
          <t>Đạt</t>
        </is>
      </c>
      <c r="J1945" s="16" t="n">
        <v>0.007</v>
      </c>
    </row>
    <row r="1946">
      <c r="A1946" s="16" t="n">
        <v>1942</v>
      </c>
      <c r="B1946" s="16" t="inlineStr">
        <is>
          <t>Backend</t>
        </is>
      </c>
      <c r="C1946" s="17" t="inlineStr">
        <is>
          <t>identity-service</t>
        </is>
      </c>
      <c r="D1946" s="16" t="inlineStr">
        <is>
          <t>API slice</t>
        </is>
      </c>
      <c r="E1946" s="17" t="inlineStr">
        <is>
          <t>StaffAndInternalControllersTest › NhanSu</t>
        </is>
      </c>
      <c r="F1946" s="17" t="inlineStr">
        <is>
          <t>mục Nhân sự</t>
        </is>
      </c>
      <c r="G1946" s="17" t="inlineStr">
        <is>
          <t>nhân viên soát vé của tổ chức khác: 404 ở cả đường sự kiện của chính mình</t>
        </is>
      </c>
      <c r="H1946" s="17" t="inlineStr">
        <is>
          <t>to_chuc_khac</t>
        </is>
      </c>
      <c r="I1946" s="16" t="inlineStr">
        <is>
          <t>Đạt</t>
        </is>
      </c>
      <c r="J1946" s="16" t="n">
        <v>0.005</v>
      </c>
    </row>
    <row r="1947">
      <c r="A1947" s="16" t="n">
        <v>1943</v>
      </c>
      <c r="B1947" s="16" t="inlineStr">
        <is>
          <t>Backend</t>
        </is>
      </c>
      <c r="C1947" s="17" t="inlineStr">
        <is>
          <t>identity-service</t>
        </is>
      </c>
      <c r="D1947" s="16" t="inlineStr">
        <is>
          <t>API slice</t>
        </is>
      </c>
      <c r="E1947" s="17" t="inlineStr">
        <is>
          <t>StaffAndInternalControllersTest › NhanSu</t>
        </is>
      </c>
      <c r="F1947" s="17" t="inlineStr">
        <is>
          <t>mục Nhân sự</t>
        </is>
      </c>
      <c r="G1947" s="17" t="inlineStr">
        <is>
          <t>nhân viên soát vé không xem được bảng Nhân sự, không mời, không gửi lại, không huỷ</t>
        </is>
      </c>
      <c r="H1947" s="17" t="inlineStr">
        <is>
          <t>staff_khong_quan_ly</t>
        </is>
      </c>
      <c r="I1947" s="16" t="inlineStr">
        <is>
          <t>Đạt</t>
        </is>
      </c>
      <c r="J1947" s="16" t="n">
        <v>0.016</v>
      </c>
    </row>
    <row r="1948">
      <c r="A1948" s="16" t="n">
        <v>1944</v>
      </c>
      <c r="B1948" s="16" t="inlineStr">
        <is>
          <t>Backend</t>
        </is>
      </c>
      <c r="C1948" s="17" t="inlineStr">
        <is>
          <t>identity-service</t>
        </is>
      </c>
      <c r="D1948" s="16" t="inlineStr">
        <is>
          <t>API slice</t>
        </is>
      </c>
      <c r="E1948" s="17" t="inlineStr">
        <is>
          <t>StaffAndInternalControllersTest › NhanSu</t>
        </is>
      </c>
      <c r="F1948" s="17" t="inlineStr">
        <is>
          <t>mục Nhân sự</t>
        </is>
      </c>
      <c r="G1948" s="17" t="inlineStr">
        <is>
          <t>nhân viên soát vé đọc được sự kiện được gán của chính mình</t>
        </is>
      </c>
      <c r="H1948" s="17" t="inlineStr">
        <is>
          <t>su_kien_cua_toi</t>
        </is>
      </c>
      <c r="I1948" s="16" t="inlineStr">
        <is>
          <t>Đạt</t>
        </is>
      </c>
      <c r="J1948" s="16" t="n">
        <v>0.01</v>
      </c>
    </row>
    <row r="1949">
      <c r="A1949" s="16" t="n">
        <v>1945</v>
      </c>
      <c r="B1949" s="16" t="inlineStr">
        <is>
          <t>Backend</t>
        </is>
      </c>
      <c r="C1949" s="17" t="inlineStr">
        <is>
          <t>identity-service</t>
        </is>
      </c>
      <c r="D1949" s="16" t="inlineStr">
        <is>
          <t>API slice</t>
        </is>
      </c>
      <c r="E1949" s="17" t="inlineStr">
        <is>
          <t>StaffAndInternalControllersTest › NhanSu</t>
        </is>
      </c>
      <c r="F1949" s="17" t="inlineStr">
        <is>
          <t>mục Nhân sự</t>
        </is>
      </c>
      <c r="G1949" s="17" t="inlineStr">
        <is>
          <t>quá 200 sự kiện trong một lần gán: 400</t>
        </is>
      </c>
      <c r="H1949" s="17" t="inlineStr">
        <is>
          <t>qua_nhieu_su_kien</t>
        </is>
      </c>
      <c r="I1949" s="16" t="inlineStr">
        <is>
          <t>Đạt</t>
        </is>
      </c>
      <c r="J1949" s="16" t="n">
        <v>0.015</v>
      </c>
    </row>
    <row r="1950">
      <c r="A1950" s="16" t="n">
        <v>1946</v>
      </c>
      <c r="B1950" s="16" t="inlineStr">
        <is>
          <t>Backend</t>
        </is>
      </c>
      <c r="C1950" s="17" t="inlineStr">
        <is>
          <t>identity-service</t>
        </is>
      </c>
      <c r="D1950" s="16" t="inlineStr">
        <is>
          <t>API slice</t>
        </is>
      </c>
      <c r="E1950" s="17" t="inlineStr">
        <is>
          <t>StaffAndInternalControllersTest › NoiBo</t>
        </is>
      </c>
      <c r="F1950" s="17" t="inlineStr">
        <is>
          <t>Open Host Service /internal/**</t>
        </is>
      </c>
      <c r="G1950" s="17" t="inlineStr">
        <is>
          <t>không xác thực được thì trả principal rỗng (200), không phải lỗi</t>
        </is>
      </c>
      <c r="H1950" s="17" t="inlineStr">
        <is>
          <t>principal_rong</t>
        </is>
      </c>
      <c r="I1950" s="16" t="inlineStr">
        <is>
          <t>Đạt</t>
        </is>
      </c>
      <c r="J1950" s="16" t="n">
        <v>0.008</v>
      </c>
    </row>
    <row r="1951">
      <c r="A1951" s="16" t="n">
        <v>1947</v>
      </c>
      <c r="B1951" s="16" t="inlineStr">
        <is>
          <t>Backend</t>
        </is>
      </c>
      <c r="C1951" s="17" t="inlineStr">
        <is>
          <t>identity-service</t>
        </is>
      </c>
      <c r="D1951" s="16" t="inlineStr">
        <is>
          <t>API slice</t>
        </is>
      </c>
      <c r="E1951" s="17" t="inlineStr">
        <is>
          <t>StaffAndInternalControllersTest › NoiBo</t>
        </is>
      </c>
      <c r="F1951" s="17" t="inlineStr">
        <is>
          <t>Open Host Service /internal/**</t>
        </is>
      </c>
      <c r="G1951" s="17" t="inlineStr">
        <is>
          <t>hành động ngoài danh sách: 400 VALIDATION_FAILED dạng RFC 7807</t>
        </is>
      </c>
      <c r="H1951" s="17" t="inlineStr">
        <is>
          <t>hanh_dong_ngoai_danh_sach</t>
        </is>
      </c>
      <c r="I1951" s="16" t="inlineStr">
        <is>
          <t>Đạt</t>
        </is>
      </c>
      <c r="J1951" s="16" t="n">
        <v>0.013</v>
      </c>
    </row>
    <row r="1952">
      <c r="A1952" s="16" t="n">
        <v>1948</v>
      </c>
      <c r="B1952" s="16" t="inlineStr">
        <is>
          <t>Backend</t>
        </is>
      </c>
      <c r="C1952" s="17" t="inlineStr">
        <is>
          <t>identity-service</t>
        </is>
      </c>
      <c r="D1952" s="16" t="inlineStr">
        <is>
          <t>API slice</t>
        </is>
      </c>
      <c r="E1952" s="17" t="inlineStr">
        <is>
          <t>StaffAndInternalControllersTest › NoiBo</t>
        </is>
      </c>
      <c r="F1952" s="17" t="inlineStr">
        <is>
          <t>Open Host Service /internal/**</t>
        </is>
      </c>
      <c r="G1952" s="17" t="inlineStr">
        <is>
          <t>ghi nhật ký hộ: 204, các trường đi nguyên vẹn vào lệnh</t>
        </is>
      </c>
      <c r="H1952" s="17" t="inlineStr">
        <is>
          <t>ghi_nhat_ky</t>
        </is>
      </c>
      <c r="I1952" s="16" t="inlineStr">
        <is>
          <t>Đạt</t>
        </is>
      </c>
      <c r="J1952" s="16" t="n">
        <v>0.004</v>
      </c>
    </row>
    <row r="1953">
      <c r="A1953" s="16" t="n">
        <v>1949</v>
      </c>
      <c r="B1953" s="16" t="inlineStr">
        <is>
          <t>Backend</t>
        </is>
      </c>
      <c r="C1953" s="17" t="inlineStr">
        <is>
          <t>identity-service</t>
        </is>
      </c>
      <c r="D1953" s="16" t="inlineStr">
        <is>
          <t>API slice</t>
        </is>
      </c>
      <c r="E1953" s="17" t="inlineStr">
        <is>
          <t>StaffAndInternalControllersTest › NoiBo</t>
        </is>
      </c>
      <c r="F1953" s="17" t="inlineStr">
        <is>
          <t>Open Host Service /internal/**</t>
        </is>
      </c>
      <c r="G1953" s="17" t="inlineStr">
        <is>
          <t>địa chỉ liên hệ chỉ ba trường, không lộ idpSubject hay cờ superadmin</t>
        </is>
      </c>
      <c r="H1953" s="17" t="inlineStr">
        <is>
          <t>lien_he</t>
        </is>
      </c>
      <c r="I1953" s="16" t="inlineStr">
        <is>
          <t>Đạt</t>
        </is>
      </c>
      <c r="J1953" s="16" t="n">
        <v>0.007</v>
      </c>
    </row>
    <row r="1954">
      <c r="A1954" s="16" t="n">
        <v>1950</v>
      </c>
      <c r="B1954" s="16" t="inlineStr">
        <is>
          <t>Backend</t>
        </is>
      </c>
      <c r="C1954" s="17" t="inlineStr">
        <is>
          <t>identity-service</t>
        </is>
      </c>
      <c r="D1954" s="16" t="inlineStr">
        <is>
          <t>API slice</t>
        </is>
      </c>
      <c r="E1954" s="17" t="inlineStr">
        <is>
          <t>StaffAndInternalControllersTest › NoiBo</t>
        </is>
      </c>
      <c r="F1954" s="17" t="inlineStr">
        <is>
          <t>Open Host Service /internal/**</t>
        </is>
      </c>
      <c r="G1954" s="17" t="inlineStr">
        <is>
          <t>thân hỏng hay id sai định dạng: 400</t>
        </is>
      </c>
      <c r="H1954" s="17" t="inlineStr">
        <is>
          <t>than_hong</t>
        </is>
      </c>
      <c r="I1954" s="16" t="inlineStr">
        <is>
          <t>Đạt</t>
        </is>
      </c>
      <c r="J1954" s="16" t="n">
        <v>0.008</v>
      </c>
    </row>
    <row r="1955">
      <c r="A1955" s="16" t="n">
        <v>1951</v>
      </c>
      <c r="B1955" s="16" t="inlineStr">
        <is>
          <t>Backend</t>
        </is>
      </c>
      <c r="C1955" s="17" t="inlineStr">
        <is>
          <t>identity-service</t>
        </is>
      </c>
      <c r="D1955" s="16" t="inlineStr">
        <is>
          <t>API slice</t>
        </is>
      </c>
      <c r="E1955" s="17" t="inlineStr">
        <is>
          <t>StaffAndInternalControllersTest › NoiBo</t>
        </is>
      </c>
      <c r="F1955" s="17" t="inlineStr">
        <is>
          <t>Open Host Service /internal/**</t>
        </is>
      </c>
      <c r="G1955" s="17" t="inlineStr">
        <is>
          <t>issuedAt sai định dạng là 400, không phải 500</t>
        </is>
      </c>
      <c r="H1955" s="17" t="inlineStr">
        <is>
          <t>issued_at_sai</t>
        </is>
      </c>
      <c r="I1955" s="16" t="inlineStr">
        <is>
          <t>Đạt</t>
        </is>
      </c>
      <c r="J1955" s="16" t="n">
        <v>0.006</v>
      </c>
    </row>
    <row r="1956">
      <c r="A1956" s="16" t="n">
        <v>1952</v>
      </c>
      <c r="B1956" s="16" t="inlineStr">
        <is>
          <t>Backend</t>
        </is>
      </c>
      <c r="C1956" s="17" t="inlineStr">
        <is>
          <t>identity-service</t>
        </is>
      </c>
      <c r="D1956" s="16" t="inlineStr">
        <is>
          <t>API slice</t>
        </is>
      </c>
      <c r="E1956" s="17" t="inlineStr">
        <is>
          <t>StaffAndInternalControllersTest › NoiBo</t>
        </is>
      </c>
      <c r="F1956" s="17" t="inlineStr">
        <is>
          <t>Open Host Service /internal/**</t>
        </is>
      </c>
      <c r="G1956" s="17" t="inlineStr">
        <is>
          <t>tra membership không cần JWT (bí mật dùng chung chưa cấu hình ở môi trường này)</t>
        </is>
      </c>
      <c r="H1956" s="17" t="inlineStr">
        <is>
          <t>tra_membership</t>
        </is>
      </c>
      <c r="I1956" s="16" t="inlineStr">
        <is>
          <t>Đạt</t>
        </is>
      </c>
      <c r="J1956" s="16" t="n">
        <v>0.008</v>
      </c>
    </row>
    <row r="1957">
      <c r="A1957" s="16" t="n">
        <v>1953</v>
      </c>
      <c r="B1957" s="16" t="inlineStr">
        <is>
          <t>Backend</t>
        </is>
      </c>
      <c r="C1957" s="17" t="inlineStr">
        <is>
          <t>identity-service</t>
        </is>
      </c>
      <c r="D1957" s="16" t="inlineStr">
        <is>
          <t>API slice</t>
        </is>
      </c>
      <c r="E1957" s="17" t="inlineStr">
        <is>
          <t>StaffAndInternalControllersTest › NoiBo</t>
        </is>
      </c>
      <c r="F1957" s="17" t="inlineStr">
        <is>
          <t>Open Host Service /internal/**</t>
        </is>
      </c>
      <c r="G1957" s="17" t="inlineStr">
        <is>
          <t>thiếu idpSubject là 400 của người gọi, không phải 500</t>
        </is>
      </c>
      <c r="H1957" s="17" t="inlineStr">
        <is>
          <t>thieu_idp_subject</t>
        </is>
      </c>
      <c r="I1957" s="16" t="inlineStr">
        <is>
          <t>Đạt</t>
        </is>
      </c>
      <c r="J1957" s="16" t="n">
        <v>0.005</v>
      </c>
    </row>
    <row r="1958">
      <c r="A1958" s="16" t="n">
        <v>1954</v>
      </c>
      <c r="B1958" s="16" t="inlineStr">
        <is>
          <t>Backend</t>
        </is>
      </c>
      <c r="C1958" s="17" t="inlineStr">
        <is>
          <t>inventory-service</t>
        </is>
      </c>
      <c r="D1958" s="16" t="inlineStr">
        <is>
          <t>Unit</t>
        </is>
      </c>
      <c r="E1958" s="17" t="inlineStr">
        <is>
          <t>ExpireHoldsJobTest</t>
        </is>
      </c>
      <c r="F1958" s="17" t="inlineStr"/>
      <c r="G1958" s="17" t="inlineStr">
        <is>
          <t>Quét theo đồng hồ được tiêm và lô 200 — không dùng giờ máy</t>
        </is>
      </c>
      <c r="H1958" s="17" t="inlineStr">
        <is>
          <t>quet_theo_dong_ho_tiem</t>
        </is>
      </c>
      <c r="I1958" s="16" t="inlineStr">
        <is>
          <t>Đạt</t>
        </is>
      </c>
      <c r="J1958" s="16" t="n">
        <v>0.097</v>
      </c>
    </row>
    <row r="1959">
      <c r="A1959" s="16" t="n">
        <v>1955</v>
      </c>
      <c r="B1959" s="16" t="inlineStr">
        <is>
          <t>Backend</t>
        </is>
      </c>
      <c r="C1959" s="17" t="inlineStr">
        <is>
          <t>inventory-service</t>
        </is>
      </c>
      <c r="D1959" s="16" t="inlineStr">
        <is>
          <t>Unit</t>
        </is>
      </c>
      <c r="E1959" s="17" t="inlineStr">
        <is>
          <t>ExpireHoldsJobTest</t>
        </is>
      </c>
      <c r="F1959" s="17" t="inlineStr"/>
      <c r="G1959" s="17" t="inlineStr">
        <is>
          <t>Mỗi giữ chỗ hết hạn: ghi EXPIRED, nhả chỗ, xoá khoá Redis, bump version của đúng suất</t>
        </is>
      </c>
      <c r="H1959" s="17" t="inlineStr">
        <is>
          <t>nha_tung_giu_cho</t>
        </is>
      </c>
      <c r="I1959" s="16" t="inlineStr">
        <is>
          <t>Đạt</t>
        </is>
      </c>
      <c r="J1959" s="16" t="n">
        <v>0.16</v>
      </c>
    </row>
    <row r="1960">
      <c r="A1960" s="16" t="n">
        <v>1956</v>
      </c>
      <c r="B1960" s="16" t="inlineStr">
        <is>
          <t>Backend</t>
        </is>
      </c>
      <c r="C1960" s="17" t="inlineStr">
        <is>
          <t>inventory-service</t>
        </is>
      </c>
      <c r="D1960" s="16" t="inlineStr">
        <is>
          <t>Unit</t>
        </is>
      </c>
      <c r="E1960" s="17" t="inlineStr">
        <is>
          <t>ExpireHoldsJobTest</t>
        </is>
      </c>
      <c r="F1960" s="17" t="inlineStr"/>
      <c r="G1960" s="17" t="inlineStr">
        <is>
          <t>Không có gì hết hạn: trả 0 và không chạm cổng nào khác</t>
        </is>
      </c>
      <c r="H1960" s="17" t="inlineStr">
        <is>
          <t>khong_co_gi_het_han</t>
        </is>
      </c>
      <c r="I1960" s="16" t="inlineStr">
        <is>
          <t>Đạt</t>
        </is>
      </c>
      <c r="J1960" s="16" t="n">
        <v>0.004</v>
      </c>
    </row>
    <row r="1961">
      <c r="A1961" s="16" t="n">
        <v>1957</v>
      </c>
      <c r="B1961" s="16" t="inlineStr">
        <is>
          <t>Backend</t>
        </is>
      </c>
      <c r="C1961" s="17" t="inlineStr">
        <is>
          <t>inventory-service</t>
        </is>
      </c>
      <c r="D1961" s="16" t="inlineStr">
        <is>
          <t>Unit</t>
        </is>
      </c>
      <c r="E1961" s="17" t="inlineStr">
        <is>
          <t>PlaceHoldHandlerTest › ChotChanDatabase</t>
        </is>
      </c>
      <c r="F1961" s="17" t="inlineStr">
        <is>
          <t>Database là chốt chặn, và khoá Redis được trả khi rollback</t>
        </is>
      </c>
      <c r="G1961" s="17" t="inlineStr">
        <is>
          <t>Unique index nổ lúc lưu giữ chỗ: lỗi lan ra để rollback, và khoá Redis được trả</t>
        </is>
      </c>
      <c r="H1961" s="17" t="inlineStr">
        <is>
          <t>unique_index_no</t>
        </is>
      </c>
      <c r="I1961" s="16" t="inlineStr">
        <is>
          <t>Đạt</t>
        </is>
      </c>
      <c r="J1961" s="16" t="n">
        <v>0.052</v>
      </c>
    </row>
    <row r="1962">
      <c r="A1962" s="16" t="n">
        <v>1958</v>
      </c>
      <c r="B1962" s="16" t="inlineStr">
        <is>
          <t>Backend</t>
        </is>
      </c>
      <c r="C1962" s="17" t="inlineStr">
        <is>
          <t>inventory-service</t>
        </is>
      </c>
      <c r="D1962" s="16" t="inlineStr">
        <is>
          <t>Unit</t>
        </is>
      </c>
      <c r="E1962" s="17" t="inlineStr">
        <is>
          <t>PlaceHoldHandlerTest › ChotChanDatabase</t>
        </is>
      </c>
      <c r="F1962" s="17" t="inlineStr">
        <is>
          <t>Database là chốt chặn, và khoá Redis được trả khi rollback</t>
        </is>
      </c>
      <c r="G1962" s="17" t="inlineStr">
        <is>
          <t>Redis cho qua nhưng database giữ được ít hơn: SEAT_UNAVAILABLE, rollback trả khoá</t>
        </is>
      </c>
      <c r="H1962" s="17" t="inlineStr">
        <is>
          <t>database_tu_choi_sau_cong</t>
        </is>
      </c>
      <c r="I1962" s="16" t="inlineStr">
        <is>
          <t>Đạt</t>
        </is>
      </c>
      <c r="J1962" s="16" t="n">
        <v>0.008</v>
      </c>
    </row>
    <row r="1963">
      <c r="A1963" s="16" t="n">
        <v>1959</v>
      </c>
      <c r="B1963" s="16" t="inlineStr">
        <is>
          <t>Backend</t>
        </is>
      </c>
      <c r="C1963" s="17" t="inlineStr">
        <is>
          <t>inventory-service</t>
        </is>
      </c>
      <c r="D1963" s="16" t="inlineStr">
        <is>
          <t>Unit</t>
        </is>
      </c>
      <c r="E1963" s="17" t="inlineStr">
        <is>
          <t>PlaceHoldHandlerTest › ChotChanDatabase</t>
        </is>
      </c>
      <c r="F1963" s="17" t="inlineStr">
        <is>
          <t>Database là chốt chặn, và khoá Redis được trả khi rollback</t>
        </is>
      </c>
      <c r="G1963" s="17" t="inlineStr">
        <is>
          <t>Ghế đích danh giữ được nhưng zone vé đứng hết: ZONE_SOLD_OUT, khoá Redis trả lại</t>
        </is>
      </c>
      <c r="H1963" s="17" t="inlineStr">
        <is>
          <t>ve_dung_het_thi_tra_khoa_ghe</t>
        </is>
      </c>
      <c r="I1963" s="16" t="inlineStr">
        <is>
          <t>Đạt</t>
        </is>
      </c>
      <c r="J1963" s="16" t="n">
        <v>0.022</v>
      </c>
    </row>
    <row r="1964">
      <c r="A1964" s="16" t="n">
        <v>1960</v>
      </c>
      <c r="B1964" s="16" t="inlineStr">
        <is>
          <t>Backend</t>
        </is>
      </c>
      <c r="C1964" s="17" t="inlineStr">
        <is>
          <t>inventory-service</t>
        </is>
      </c>
      <c r="D1964" s="16" t="inlineStr">
        <is>
          <t>Unit</t>
        </is>
      </c>
      <c r="E1964" s="17" t="inlineStr">
        <is>
          <t>PlaceHoldHandlerTest › ChotChanDatabase</t>
        </is>
      </c>
      <c r="F1964" s="17" t="inlineStr">
        <is>
          <t>Database là chốt chặn, và khoá Redis được trả khi rollback</t>
        </is>
      </c>
      <c r="G1964" s="17" t="inlineStr">
        <is>
          <t>Khu vé ngồi không đủ: ZONE_SOLD_OUT, và vé đứng phía sau không bị cấp phát công cốc</t>
        </is>
      </c>
      <c r="H1964" s="17" t="inlineStr">
        <is>
          <t>khu_ngoi_khong_du</t>
        </is>
      </c>
      <c r="I1964" s="16" t="inlineStr">
        <is>
          <t>Đạt</t>
        </is>
      </c>
      <c r="J1964" s="16" t="n">
        <v>0.008</v>
      </c>
    </row>
    <row r="1965">
      <c r="A1965" s="16" t="n">
        <v>1961</v>
      </c>
      <c r="B1965" s="16" t="inlineStr">
        <is>
          <t>Backend</t>
        </is>
      </c>
      <c r="C1965" s="17" t="inlineStr">
        <is>
          <t>inventory-service</t>
        </is>
      </c>
      <c r="D1965" s="16" t="inlineStr">
        <is>
          <t>Unit</t>
        </is>
      </c>
      <c r="E1965" s="17" t="inlineStr">
        <is>
          <t>PlaceHoldHandlerTest › CongRedis</t>
        </is>
      </c>
      <c r="F1965" s="17" t="inlineStr">
        <is>
          <t>Cổng Redis</t>
        </is>
      </c>
      <c r="G1965" s="17" t="inlineStr">
        <is>
          <t>Cổng báo ghế đã bị chiếm: SEAT_UNAVAILABLE kèm đúng ghế mất, không ghi database</t>
        </is>
      </c>
      <c r="H1965" s="17" t="inlineStr">
        <is>
          <t>cong_bao_ghe_bi_chiem</t>
        </is>
      </c>
      <c r="I1965" s="16" t="inlineStr">
        <is>
          <t>Đạt</t>
        </is>
      </c>
      <c r="J1965" s="16" t="n">
        <v>0.006</v>
      </c>
    </row>
    <row r="1966">
      <c r="A1966" s="16" t="n">
        <v>1962</v>
      </c>
      <c r="B1966" s="16" t="inlineStr">
        <is>
          <t>Backend</t>
        </is>
      </c>
      <c r="C1966" s="17" t="inlineStr">
        <is>
          <t>inventory-service</t>
        </is>
      </c>
      <c r="D1966" s="16" t="inlineStr">
        <is>
          <t>Unit</t>
        </is>
      </c>
      <c r="E1966" s="17" t="inlineStr">
        <is>
          <t>PlaceHoldHandlerTest › CongRedis</t>
        </is>
      </c>
      <c r="F1966" s="17" t="inlineStr">
        <is>
          <t>Cổng Redis</t>
        </is>
      </c>
      <c r="G1966" s="17" t="inlineStr">
        <is>
          <t>Redis chết: INVENTORY_UNAVAILABLE (503), không fallback xuống database</t>
        </is>
      </c>
      <c r="H1966" s="17" t="inlineStr">
        <is>
          <t>redis_chet_khong_fallback</t>
        </is>
      </c>
      <c r="I1966" s="16" t="inlineStr">
        <is>
          <t>Đạt</t>
        </is>
      </c>
      <c r="J1966" s="16" t="n">
        <v>0.012</v>
      </c>
    </row>
    <row r="1967">
      <c r="A1967" s="16" t="n">
        <v>1963</v>
      </c>
      <c r="B1967" s="16" t="inlineStr">
        <is>
          <t>Backend</t>
        </is>
      </c>
      <c r="C1967" s="17" t="inlineStr">
        <is>
          <t>inventory-service</t>
        </is>
      </c>
      <c r="D1967" s="16" t="inlineStr">
        <is>
          <t>Unit</t>
        </is>
      </c>
      <c r="E1967" s="17" t="inlineStr">
        <is>
          <t>PlaceHoldHandlerTest › CongRedis</t>
        </is>
      </c>
      <c r="F1967" s="17" t="inlineStr">
        <is>
          <t>Cổng Redis</t>
        </is>
      </c>
      <c r="G1967" s="17" t="inlineStr">
        <is>
          <t>Cổng từ chối thì rollback KHÔNG xoá khoá — khoá đó là của người khác</t>
        </is>
      </c>
      <c r="H1967" s="17" t="inlineStr">
        <is>
          <t>cong_tu_choi_khong_xoa_khoa_nguoi_khac</t>
        </is>
      </c>
      <c r="I1967" s="16" t="inlineStr">
        <is>
          <t>Đạt</t>
        </is>
      </c>
      <c r="J1967" s="16" t="n">
        <v>0.004</v>
      </c>
    </row>
    <row r="1968">
      <c r="A1968" s="16" t="n">
        <v>1964</v>
      </c>
      <c r="B1968" s="16" t="inlineStr">
        <is>
          <t>Backend</t>
        </is>
      </c>
      <c r="C1968" s="17" t="inlineStr">
        <is>
          <t>inventory-service</t>
        </is>
      </c>
      <c r="D1968" s="16" t="inlineStr">
        <is>
          <t>Unit</t>
        </is>
      </c>
      <c r="E1968" s="17" t="inlineStr">
        <is>
          <t>PlaceHoldHandlerTest › CongRedis</t>
        </is>
      </c>
      <c r="F1968" s="17" t="inlineStr">
        <is>
          <t>Cổng Redis</t>
        </is>
      </c>
      <c r="G1968" s="17" t="inlineStr">
        <is>
          <t>Redis chết nhưng chỉ mua vé đứng: vẫn bán được vì vé đứng không qua cổng</t>
        </is>
      </c>
      <c r="H1968" s="17" t="inlineStr">
        <is>
          <t>redis_chet_ve_dung_van_ban</t>
        </is>
      </c>
      <c r="I1968" s="16" t="inlineStr">
        <is>
          <t>Đạt</t>
        </is>
      </c>
      <c r="J1968" s="16" t="n">
        <v>0.028</v>
      </c>
    </row>
    <row r="1969">
      <c r="A1969" s="16" t="n">
        <v>1965</v>
      </c>
      <c r="B1969" s="16" t="inlineStr">
        <is>
          <t>Backend</t>
        </is>
      </c>
      <c r="C1969" s="17" t="inlineStr">
        <is>
          <t>inventory-service</t>
        </is>
      </c>
      <c r="D1969" s="16" t="inlineStr">
        <is>
          <t>Unit</t>
        </is>
      </c>
      <c r="E1969" s="17" t="inlineStr">
        <is>
          <t>PlaceHoldHandlerTest › DuongThanhCong</t>
        </is>
      </c>
      <c r="F1969" s="17" t="inlineStr">
        <is>
          <t>Đường thành công</t>
        </is>
      </c>
      <c r="G1969" s="17" t="inlineStr">
        <is>
          <t>Hỗn hợp: ghế đích danh, rồi vé theo khu, rồi vé đứng; bump version ở bước cuối</t>
        </is>
      </c>
      <c r="H1969" s="17" t="inlineStr">
        <is>
          <t>hon_hop_dung_thu_tu</t>
        </is>
      </c>
      <c r="I1969" s="16" t="inlineStr">
        <is>
          <t>Đạt</t>
        </is>
      </c>
      <c r="J1969" s="16" t="n">
        <v>0.006</v>
      </c>
    </row>
    <row r="1970">
      <c r="A1970" s="16" t="n">
        <v>1966</v>
      </c>
      <c r="B1970" s="16" t="inlineStr">
        <is>
          <t>Backend</t>
        </is>
      </c>
      <c r="C1970" s="17" t="inlineStr">
        <is>
          <t>inventory-service</t>
        </is>
      </c>
      <c r="D1970" s="16" t="inlineStr">
        <is>
          <t>Unit</t>
        </is>
      </c>
      <c r="E1970" s="17" t="inlineStr">
        <is>
          <t>PlaceHoldHandlerTest › DuongThanhCong</t>
        </is>
      </c>
      <c r="F1970" s="17" t="inlineStr">
        <is>
          <t>Đường thành công</t>
        </is>
      </c>
      <c r="G1970" s="17" t="inlineStr">
        <is>
          <t>AvailabilityChanged chỉ bắn SAU commit, và commit không trả khoá Redis</t>
        </is>
      </c>
      <c r="H1970" s="17" t="inlineStr">
        <is>
          <t>ban_su_kien_sau_commit</t>
        </is>
      </c>
      <c r="I1970" s="16" t="inlineStr">
        <is>
          <t>Đạt</t>
        </is>
      </c>
      <c r="J1970" s="16" t="n">
        <v>0.004</v>
      </c>
    </row>
    <row r="1971">
      <c r="A1971" s="16" t="n">
        <v>1967</v>
      </c>
      <c r="B1971" s="16" t="inlineStr">
        <is>
          <t>Backend</t>
        </is>
      </c>
      <c r="C1971" s="17" t="inlineStr">
        <is>
          <t>inventory-service</t>
        </is>
      </c>
      <c r="D1971" s="16" t="inlineStr">
        <is>
          <t>Unit</t>
        </is>
      </c>
      <c r="E1971" s="17" t="inlineStr">
        <is>
          <t>PlaceHoldHandlerTest › DuongThanhCong</t>
        </is>
      </c>
      <c r="F1971" s="17" t="inlineStr">
        <is>
          <t>Đường thành công</t>
        </is>
      </c>
      <c r="G1971" s="17" t="inlineStr">
        <is>
          <t>Chỉ vé ngồi theo khu: không chạm cổng Redis — chưa có mã ghế nào để từ chối</t>
        </is>
      </c>
      <c r="H1971" s="17" t="inlineStr">
        <is>
          <t>ve_ngoi_theo_khu</t>
        </is>
      </c>
      <c r="I1971" s="16" t="inlineStr">
        <is>
          <t>Đạt</t>
        </is>
      </c>
      <c r="J1971" s="16" t="n">
        <v>0.003</v>
      </c>
    </row>
    <row r="1972">
      <c r="A1972" s="16" t="n">
        <v>1968</v>
      </c>
      <c r="B1972" s="16" t="inlineStr">
        <is>
          <t>Backend</t>
        </is>
      </c>
      <c r="C1972" s="17" t="inlineStr">
        <is>
          <t>inventory-service</t>
        </is>
      </c>
      <c r="D1972" s="16" t="inlineStr">
        <is>
          <t>Unit</t>
        </is>
      </c>
      <c r="E1972" s="17" t="inlineStr">
        <is>
          <t>PlaceHoldHandlerTest › DuongThanhCong</t>
        </is>
      </c>
      <c r="F1972" s="17" t="inlineStr">
        <is>
          <t>Đường thành công</t>
        </is>
      </c>
      <c r="G1972" s="17" t="inlineStr">
        <is>
          <t>Hồi quy: 2 ghế đích danh + 1 vé theo khu — so số hàng database với số ghế ĐÍCH DANH</t>
        </is>
      </c>
      <c r="H1972" s="17" t="inlineStr">
        <is>
          <t>so_voi_so_ghe_dich_danh</t>
        </is>
      </c>
      <c r="I1972" s="16" t="inlineStr">
        <is>
          <t>Đạt</t>
        </is>
      </c>
      <c r="J1972" s="16" t="n">
        <v>0.003</v>
      </c>
    </row>
    <row r="1973">
      <c r="A1973" s="16" t="n">
        <v>1969</v>
      </c>
      <c r="B1973" s="16" t="inlineStr">
        <is>
          <t>Backend</t>
        </is>
      </c>
      <c r="C1973" s="17" t="inlineStr">
        <is>
          <t>inventory-service</t>
        </is>
      </c>
      <c r="D1973" s="16" t="inlineStr">
        <is>
          <t>Unit</t>
        </is>
      </c>
      <c r="E1973" s="17" t="inlineStr">
        <is>
          <t>PlaceHoldHandlerTest › DuongThanhCong</t>
        </is>
      </c>
      <c r="F1973" s="17" t="inlineStr">
        <is>
          <t>Đường thành công</t>
        </is>
      </c>
      <c r="G1973" s="17" t="inlineStr">
        <is>
          <t>Ghế đích danh: qua cổng Redis với TTL của suất, ghi database, lưu giữ chỗ ACTIVE</t>
        </is>
      </c>
      <c r="H1973" s="17" t="inlineStr">
        <is>
          <t>ghe_dich_danh</t>
        </is>
      </c>
      <c r="I1973" s="16" t="inlineStr">
        <is>
          <t>Đạt</t>
        </is>
      </c>
      <c r="J1973" s="16" t="n">
        <v>0.007</v>
      </c>
    </row>
    <row r="1974">
      <c r="A1974" s="16" t="n">
        <v>1970</v>
      </c>
      <c r="B1974" s="16" t="inlineStr">
        <is>
          <t>Backend</t>
        </is>
      </c>
      <c r="C1974" s="17" t="inlineStr">
        <is>
          <t>inventory-service</t>
        </is>
      </c>
      <c r="D1974" s="16" t="inlineStr">
        <is>
          <t>Unit</t>
        </is>
      </c>
      <c r="E1974" s="17" t="inlineStr">
        <is>
          <t>PlaceHoldHandlerTest › DuongThanhCong</t>
        </is>
      </c>
      <c r="F1974" s="17" t="inlineStr">
        <is>
          <t>Đường thành công</t>
        </is>
      </c>
      <c r="G1974" s="17" t="inlineStr">
        <is>
          <t>Chỉ vé đứng: không chạm cổng Redis, cấp phát theo số lượng đã gộp</t>
        </is>
      </c>
      <c r="H1974" s="17" t="inlineStr">
        <is>
          <t>chi_ve_dung</t>
        </is>
      </c>
      <c r="I1974" s="16" t="inlineStr">
        <is>
          <t>Đạt</t>
        </is>
      </c>
      <c r="J1974" s="16" t="n">
        <v>0.002</v>
      </c>
    </row>
    <row r="1975">
      <c r="A1975" s="16" t="n">
        <v>1971</v>
      </c>
      <c r="B1975" s="16" t="inlineStr">
        <is>
          <t>Backend</t>
        </is>
      </c>
      <c r="C1975" s="17" t="inlineStr">
        <is>
          <t>inventory-service</t>
        </is>
      </c>
      <c r="D1975" s="16" t="inlineStr">
        <is>
          <t>Unit</t>
        </is>
      </c>
      <c r="E1975" s="17" t="inlineStr">
        <is>
          <t>PlaceHoldHandlerTest › DuongThanhCong</t>
        </is>
      </c>
      <c r="F1975" s="17" t="inlineStr">
        <is>
          <t>Đường thành công</t>
        </is>
      </c>
      <c r="G1975" s="17" t="inlineStr">
        <is>
          <t>Ghế gửi trùng ba lần chỉ xin cổng và database một lần</t>
        </is>
      </c>
      <c r="H1975" s="17" t="inlineStr">
        <is>
          <t>ghe_trung_lap_xin_mot_lan</t>
        </is>
      </c>
      <c r="I1975" s="16" t="inlineStr">
        <is>
          <t>Đạt</t>
        </is>
      </c>
      <c r="J1975" s="16" t="n">
        <v>0.002</v>
      </c>
    </row>
    <row r="1976">
      <c r="A1976" s="16" t="n">
        <v>1972</v>
      </c>
      <c r="B1976" s="16" t="inlineStr">
        <is>
          <t>Backend</t>
        </is>
      </c>
      <c r="C1976" s="17" t="inlineStr">
        <is>
          <t>inventory-service</t>
        </is>
      </c>
      <c r="D1976" s="16" t="inlineStr">
        <is>
          <t>Unit</t>
        </is>
      </c>
      <c r="E1976" s="17" t="inlineStr">
        <is>
          <t>PlaceHoldHandlerTest › TranCongDon</t>
        </is>
      </c>
      <c r="F1976" s="17" t="inlineStr">
        <is>
          <t>Trần cộng dồn mỗi tài khoản</t>
        </is>
      </c>
      <c r="G1976" s="17" t="inlineStr">
        <is>
          <t>Đã có 8, xin thêm 3 trên trần 10: CUSTOMER_LIMIT_EXCEEDED kèm limit/used/remaining</t>
        </is>
      </c>
      <c r="H1976" s="17" t="inlineStr">
        <is>
          <t>vuot_tran_cong_don</t>
        </is>
      </c>
      <c r="I1976" s="16" t="inlineStr">
        <is>
          <t>Đạt</t>
        </is>
      </c>
      <c r="J1976" s="16" t="n">
        <v>0.007</v>
      </c>
    </row>
    <row r="1977">
      <c r="A1977" s="16" t="n">
        <v>1973</v>
      </c>
      <c r="B1977" s="16" t="inlineStr">
        <is>
          <t>Backend</t>
        </is>
      </c>
      <c r="C1977" s="17" t="inlineStr">
        <is>
          <t>inventory-service</t>
        </is>
      </c>
      <c r="D1977" s="16" t="inlineStr">
        <is>
          <t>Unit</t>
        </is>
      </c>
      <c r="E1977" s="17" t="inlineStr">
        <is>
          <t>PlaceHoldHandlerTest › TranCongDon</t>
        </is>
      </c>
      <c r="F1977" s="17" t="inlineStr">
        <is>
          <t>Trần cộng dồn mỗi tài khoản</t>
        </is>
      </c>
      <c r="G1977" s="17" t="inlineStr">
        <is>
          <t>Khoá (người dùng, suất) được lấy TRƯỚC khi đếm — nếu không, hai tab cùng đếm ra số cũ</t>
        </is>
      </c>
      <c r="H1977" s="17" t="inlineStr">
        <is>
          <t>khoa_truoc_khi_dem</t>
        </is>
      </c>
      <c r="I1977" s="16" t="inlineStr">
        <is>
          <t>Đạt</t>
        </is>
      </c>
      <c r="J1977" s="16" t="n">
        <v>0.003</v>
      </c>
    </row>
    <row r="1978">
      <c r="A1978" s="16" t="n">
        <v>1974</v>
      </c>
      <c r="B1978" s="16" t="inlineStr">
        <is>
          <t>Backend</t>
        </is>
      </c>
      <c r="C1978" s="17" t="inlineStr">
        <is>
          <t>inventory-service</t>
        </is>
      </c>
      <c r="D1978" s="16" t="inlineStr">
        <is>
          <t>Unit</t>
        </is>
      </c>
      <c r="E1978" s="17" t="inlineStr">
        <is>
          <t>PlaceHoldHandlerTest › TranCongDon</t>
        </is>
      </c>
      <c r="F1978" s="17" t="inlineStr">
        <is>
          <t>Trần cộng dồn mỗi tài khoản</t>
        </is>
      </c>
      <c r="G1978" s="17" t="inlineStr">
        <is>
          <t>Đã có 9, xin đúng 1 chỗ còn lại: được — biên trần cộng dồn là bao gồm</t>
        </is>
      </c>
      <c r="H1978" s="17" t="inlineStr">
        <is>
          <t>dung_bang_tran_cong_don</t>
        </is>
      </c>
      <c r="I1978" s="16" t="inlineStr">
        <is>
          <t>Đạt</t>
        </is>
      </c>
      <c r="J1978" s="16" t="n">
        <v>0.007</v>
      </c>
    </row>
    <row r="1979">
      <c r="A1979" s="16" t="n">
        <v>1975</v>
      </c>
      <c r="B1979" s="16" t="inlineStr">
        <is>
          <t>Backend</t>
        </is>
      </c>
      <c r="C1979" s="17" t="inlineStr">
        <is>
          <t>inventory-service</t>
        </is>
      </c>
      <c r="D1979" s="16" t="inlineStr">
        <is>
          <t>Unit</t>
        </is>
      </c>
      <c r="E1979" s="17" t="inlineStr">
        <is>
          <t>PlaceHoldHandlerTest › TuChoiSom</t>
        </is>
      </c>
      <c r="F1979" s="17" t="inlineStr">
        <is>
          <t>Từ chối trước khi chạm khoá</t>
        </is>
      </c>
      <c r="G1979" s="17" t="inlineStr">
        <is>
          <t>Vượt trần vé đứng mỗi lần giữ: từ chối trước khi cấp phát</t>
        </is>
      </c>
      <c r="H1979" s="17" t="inlineStr">
        <is>
          <t>vuot_tran_ve_dung</t>
        </is>
      </c>
      <c r="I1979" s="16" t="inlineStr">
        <is>
          <t>Đạt</t>
        </is>
      </c>
      <c r="J1979" s="16" t="n">
        <v>0.018</v>
      </c>
    </row>
    <row r="1980">
      <c r="A1980" s="16" t="n">
        <v>1976</v>
      </c>
      <c r="B1980" s="16" t="inlineStr">
        <is>
          <t>Backend</t>
        </is>
      </c>
      <c r="C1980" s="17" t="inlineStr">
        <is>
          <t>inventory-service</t>
        </is>
      </c>
      <c r="D1980" s="16" t="inlineStr">
        <is>
          <t>Unit</t>
        </is>
      </c>
      <c r="E1980" s="17" t="inlineStr">
        <is>
          <t>PlaceHoldHandlerTest › TuChoiSom</t>
        </is>
      </c>
      <c r="F1980" s="17" t="inlineStr">
        <is>
          <t>Từ chối trước khi chạm khoá</t>
        </is>
      </c>
      <c r="G1980" s="17" t="inlineStr">
        <is>
          <t>Vượt trần vé ngồi mỗi lần giữ: từ chối kèm cả ba trần để giao diện hiện đúng</t>
        </is>
      </c>
      <c r="H1980" s="17" t="inlineStr">
        <is>
          <t>vuot_tran_ve_ngoi</t>
        </is>
      </c>
      <c r="I1980" s="16" t="inlineStr">
        <is>
          <t>Đạt</t>
        </is>
      </c>
      <c r="J1980" s="16" t="n">
        <v>0.003</v>
      </c>
    </row>
    <row r="1981">
      <c r="A1981" s="16" t="n">
        <v>1977</v>
      </c>
      <c r="B1981" s="16" t="inlineStr">
        <is>
          <t>Backend</t>
        </is>
      </c>
      <c r="C1981" s="17" t="inlineStr">
        <is>
          <t>inventory-service</t>
        </is>
      </c>
      <c r="D1981" s="16" t="inlineStr">
        <is>
          <t>Unit</t>
        </is>
      </c>
      <c r="E1981" s="17" t="inlineStr">
        <is>
          <t>PlaceHoldHandlerTest › TuChoiSom</t>
        </is>
      </c>
      <c r="F1981" s="17" t="inlineStr">
        <is>
          <t>Từ chối trước khi chạm khoá</t>
        </is>
      </c>
      <c r="G1981" s="17" t="inlineStr">
        <is>
          <t>Đúng giờ đóng bán: đã đóng</t>
        </is>
      </c>
      <c r="H1981" s="17" t="inlineStr">
        <is>
          <t>dung_gio_dong_ban</t>
        </is>
      </c>
      <c r="I1981" s="16" t="inlineStr">
        <is>
          <t>Đạt</t>
        </is>
      </c>
      <c r="J1981" s="16" t="n">
        <v>0.004</v>
      </c>
    </row>
    <row r="1982">
      <c r="A1982" s="16" t="n">
        <v>1978</v>
      </c>
      <c r="B1982" s="16" t="inlineStr">
        <is>
          <t>Backend</t>
        </is>
      </c>
      <c r="C1982" s="17" t="inlineStr">
        <is>
          <t>inventory-service</t>
        </is>
      </c>
      <c r="D1982" s="16" t="inlineStr">
        <is>
          <t>Unit</t>
        </is>
      </c>
      <c r="E1982" s="17" t="inlineStr">
        <is>
          <t>PlaceHoldHandlerTest › TuChoiSom</t>
        </is>
      </c>
      <c r="F1982" s="17" t="inlineStr">
        <is>
          <t>Từ chối trước khi chạm khoá</t>
        </is>
      </c>
      <c r="G1982" s="17" t="inlineStr">
        <is>
          <t>Riêng từng loại đạt nhưng tổng vượt: Too many tickets</t>
        </is>
      </c>
      <c r="H1982" s="17" t="inlineStr">
        <is>
          <t>tong_vuot_tran</t>
        </is>
      </c>
      <c r="I1982" s="16" t="inlineStr">
        <is>
          <t>Đạt</t>
        </is>
      </c>
      <c r="J1982" s="16" t="n">
        <v>0.003</v>
      </c>
    </row>
    <row r="1983">
      <c r="A1983" s="16" t="n">
        <v>1979</v>
      </c>
      <c r="B1983" s="16" t="inlineStr">
        <is>
          <t>Backend</t>
        </is>
      </c>
      <c r="C1983" s="17" t="inlineStr">
        <is>
          <t>inventory-service</t>
        </is>
      </c>
      <c r="D1983" s="16" t="inlineStr">
        <is>
          <t>Unit</t>
        </is>
      </c>
      <c r="E1983" s="17" t="inlineStr">
        <is>
          <t>PlaceHoldHandlerTest › TuChoiSom</t>
        </is>
      </c>
      <c r="F1983" s="17" t="inlineStr">
        <is>
          <t>Từ chối trước khi chạm khoá</t>
        </is>
      </c>
      <c r="G1983" s="17" t="inlineStr">
        <is>
          <t>Giữ chỗ rỗng: HOLD_LIMIT_EXCEEDED (400), không khoá gì</t>
        </is>
      </c>
      <c r="H1983" s="17" t="inlineStr">
        <is>
          <t>giu_cho_rong</t>
        </is>
      </c>
      <c r="I1983" s="16" t="inlineStr">
        <is>
          <t>Đạt</t>
        </is>
      </c>
      <c r="J1983" s="16" t="n">
        <v>0.002</v>
      </c>
    </row>
    <row r="1984">
      <c r="A1984" s="16" t="n">
        <v>1980</v>
      </c>
      <c r="B1984" s="16" t="inlineStr">
        <is>
          <t>Backend</t>
        </is>
      </c>
      <c r="C1984" s="17" t="inlineStr">
        <is>
          <t>inventory-service</t>
        </is>
      </c>
      <c r="D1984" s="16" t="inlineStr">
        <is>
          <t>Unit</t>
        </is>
      </c>
      <c r="E1984" s="17" t="inlineStr">
        <is>
          <t>PlaceHoldHandlerTest › TuChoiSom</t>
        </is>
      </c>
      <c r="F1984" s="17" t="inlineStr">
        <is>
          <t>Từ chối trước khi chạm khoá</t>
        </is>
      </c>
      <c r="G1984" s="17" t="inlineStr">
        <is>
          <t>Chưa tới giờ mở bán: SALES_CLOSED kèm giờ mở và giờ đóng</t>
        </is>
      </c>
      <c r="H1984" s="17" t="inlineStr">
        <is>
          <t>chua_mo_ban</t>
        </is>
      </c>
      <c r="I1984" s="16" t="inlineStr">
        <is>
          <t>Đạt</t>
        </is>
      </c>
      <c r="J1984" s="16" t="n">
        <v>0.002</v>
      </c>
    </row>
    <row r="1985">
      <c r="A1985" s="16" t="n">
        <v>1981</v>
      </c>
      <c r="B1985" s="16" t="inlineStr">
        <is>
          <t>Backend</t>
        </is>
      </c>
      <c r="C1985" s="17" t="inlineStr">
        <is>
          <t>inventory-service</t>
        </is>
      </c>
      <c r="D1985" s="16" t="inlineStr">
        <is>
          <t>Unit</t>
        </is>
      </c>
      <c r="E1985" s="17" t="inlineStr">
        <is>
          <t>PlaceHoldHandlerTest › TuChoiSom</t>
        </is>
      </c>
      <c r="F1985" s="17" t="inlineStr">
        <is>
          <t>Từ chối trước khi chạm khoá</t>
        </is>
      </c>
      <c r="G1985" s="17" t="inlineStr">
        <is>
          <t>Dòng theo khu số lượng 0: dừng ở bước dựng domain, không chạm cổng nào</t>
        </is>
      </c>
      <c r="H1985" s="17" t="inlineStr">
        <is>
          <t>dong_so_luong_khong</t>
        </is>
      </c>
      <c r="I1985" s="16" t="inlineStr">
        <is>
          <t>Đạt</t>
        </is>
      </c>
      <c r="J1985" s="16" t="n">
        <v>0.006</v>
      </c>
    </row>
    <row r="1986">
      <c r="A1986" s="16" t="n">
        <v>1982</v>
      </c>
      <c r="B1986" s="16" t="inlineStr">
        <is>
          <t>Backend</t>
        </is>
      </c>
      <c r="C1986" s="17" t="inlineStr">
        <is>
          <t>inventory-service</t>
        </is>
      </c>
      <c r="D1986" s="16" t="inlineStr">
        <is>
          <t>Unit</t>
        </is>
      </c>
      <c r="E1986" s="17" t="inlineStr">
        <is>
          <t>PlaceHoldHandlerTest › TuChoiSom</t>
        </is>
      </c>
      <c r="F1986" s="17" t="inlineStr">
        <is>
          <t>Từ chối trước khi chạm khoá</t>
        </is>
      </c>
      <c r="G1986" s="17" t="inlineStr">
        <is>
          <t>Suất chưa dựng tồn kho: SESSION_NOT_FOUND, không khoá gì</t>
        </is>
      </c>
      <c r="H1986" s="17" t="inlineStr">
        <is>
          <t>suat_khong_ton_tai</t>
        </is>
      </c>
      <c r="I1986" s="16" t="inlineStr">
        <is>
          <t>Đạt</t>
        </is>
      </c>
      <c r="J1986" s="16" t="n">
        <v>0.002</v>
      </c>
    </row>
    <row r="1987">
      <c r="A1987" s="16" t="n">
        <v>1983</v>
      </c>
      <c r="B1987" s="16" t="inlineStr">
        <is>
          <t>Backend</t>
        </is>
      </c>
      <c r="C1987" s="17" t="inlineStr">
        <is>
          <t>inventory-service</t>
        </is>
      </c>
      <c r="D1987" s="16" t="inlineStr">
        <is>
          <t>Unit</t>
        </is>
      </c>
      <c r="E1987" s="17" t="inlineStr">
        <is>
          <t>ReleaseHoldHandlerTest › DuongThanhCong</t>
        </is>
      </c>
      <c r="F1987" s="17" t="inlineStr">
        <is>
          <t>Đường thành công</t>
        </is>
      </c>
      <c r="G1987" s="17" t="inlineStr">
        <is>
          <t>Rollback thì không trả khoá Redis — database vẫn coi chỗ là đang giữ</t>
        </is>
      </c>
      <c r="H1987" s="17" t="inlineStr">
        <is>
          <t>rollback_khong_tra_khoa</t>
        </is>
      </c>
      <c r="I1987" s="16" t="inlineStr">
        <is>
          <t>Đạt</t>
        </is>
      </c>
      <c r="J1987" s="16" t="n">
        <v>0.013</v>
      </c>
    </row>
    <row r="1988">
      <c r="A1988" s="16" t="n">
        <v>1984</v>
      </c>
      <c r="B1988" s="16" t="inlineStr">
        <is>
          <t>Backend</t>
        </is>
      </c>
      <c r="C1988" s="17" t="inlineStr">
        <is>
          <t>inventory-service</t>
        </is>
      </c>
      <c r="D1988" s="16" t="inlineStr">
        <is>
          <t>Unit</t>
        </is>
      </c>
      <c r="E1988" s="17" t="inlineStr">
        <is>
          <t>ReleaseHoldHandlerTest › DuongThanhCong</t>
        </is>
      </c>
      <c r="F1988" s="17" t="inlineStr">
        <is>
          <t>Đường thành công</t>
        </is>
      </c>
      <c r="G1988" s="17" t="inlineStr">
        <is>
          <t>Chủ sở hữu bỏ giữ chỗ ACTIVE: ghi RELEASED, nhả chỗ, bump version</t>
        </is>
      </c>
      <c r="H1988" s="17" t="inlineStr">
        <is>
          <t>chu_so_huu_bo_giu_cho</t>
        </is>
      </c>
      <c r="I1988" s="16" t="inlineStr">
        <is>
          <t>Đạt</t>
        </is>
      </c>
      <c r="J1988" s="16" t="n">
        <v>0.002</v>
      </c>
    </row>
    <row r="1989">
      <c r="A1989" s="16" t="n">
        <v>1985</v>
      </c>
      <c r="B1989" s="16" t="inlineStr">
        <is>
          <t>Backend</t>
        </is>
      </c>
      <c r="C1989" s="17" t="inlineStr">
        <is>
          <t>inventory-service</t>
        </is>
      </c>
      <c r="D1989" s="16" t="inlineStr">
        <is>
          <t>Unit</t>
        </is>
      </c>
      <c r="E1989" s="17" t="inlineStr">
        <is>
          <t>ReleaseHoldHandlerTest › DuongThanhCong</t>
        </is>
      </c>
      <c r="F1989" s="17" t="inlineStr">
        <is>
          <t>Đường thành công</t>
        </is>
      </c>
      <c r="G1989" s="17" t="inlineStr">
        <is>
          <t>Giữ chỗ ACTIVE đã quá hạn nhưng worker chưa quét: khách vẫn tự bỏ được</t>
        </is>
      </c>
      <c r="H1989" s="17" t="inlineStr">
        <is>
          <t>qua_han_chua_quet_van_bo_duoc</t>
        </is>
      </c>
      <c r="I1989" s="16" t="inlineStr">
        <is>
          <t>Đạt</t>
        </is>
      </c>
      <c r="J1989" s="16" t="n">
        <v>0.001</v>
      </c>
    </row>
    <row r="1990">
      <c r="A1990" s="16" t="n">
        <v>1986</v>
      </c>
      <c r="B1990" s="16" t="inlineStr">
        <is>
          <t>Backend</t>
        </is>
      </c>
      <c r="C1990" s="17" t="inlineStr">
        <is>
          <t>inventory-service</t>
        </is>
      </c>
      <c r="D1990" s="16" t="inlineStr">
        <is>
          <t>Unit</t>
        </is>
      </c>
      <c r="E1990" s="17" t="inlineStr">
        <is>
          <t>ReleaseHoldHandlerTest › DuongThanhCong</t>
        </is>
      </c>
      <c r="F1990" s="17" t="inlineStr">
        <is>
          <t>Đường thành công</t>
        </is>
      </c>
      <c r="G1990" s="17" t="inlineStr">
        <is>
          <t>Khoá Redis và AvailabilityChanged chỉ xảy ra sau commit</t>
        </is>
      </c>
      <c r="H1990" s="17" t="inlineStr">
        <is>
          <t>sau_commit_moi_tra_khoa</t>
        </is>
      </c>
      <c r="I1990" s="16" t="inlineStr">
        <is>
          <t>Đạt</t>
        </is>
      </c>
      <c r="J1990" s="16" t="n">
        <v>0.002</v>
      </c>
    </row>
    <row r="1991">
      <c r="A1991" s="16" t="n">
        <v>1987</v>
      </c>
      <c r="B1991" s="16" t="inlineStr">
        <is>
          <t>Backend</t>
        </is>
      </c>
      <c r="C1991" s="17" t="inlineStr">
        <is>
          <t>inventory-service</t>
        </is>
      </c>
      <c r="D1991" s="16" t="inlineStr">
        <is>
          <t>Unit</t>
        </is>
      </c>
      <c r="E1991" s="17" t="inlineStr">
        <is>
          <t>ReleaseHoldHandlerTest › Idempotent</t>
        </is>
      </c>
      <c r="F1991" s="17" t="inlineStr">
        <is>
          <t>Idempotent</t>
        </is>
      </c>
      <c r="G1991" s="17" t="inlineStr">
        <is>
          <t>Giữ chỗ không còn ACTIVE: không làm gì, không ném — kể cả đã thành đơn</t>
        </is>
      </c>
      <c r="H1991" s="17" t="inlineStr">
        <is>
          <t>khong_active_thi_bo_qua(HoldStatus)[1]</t>
        </is>
      </c>
      <c r="I1991" s="16" t="inlineStr">
        <is>
          <t>Đạt</t>
        </is>
      </c>
      <c r="J1991" s="16" t="n">
        <v>0.015</v>
      </c>
    </row>
    <row r="1992">
      <c r="A1992" s="16" t="n">
        <v>1988</v>
      </c>
      <c r="B1992" s="16" t="inlineStr">
        <is>
          <t>Backend</t>
        </is>
      </c>
      <c r="C1992" s="17" t="inlineStr">
        <is>
          <t>inventory-service</t>
        </is>
      </c>
      <c r="D1992" s="16" t="inlineStr">
        <is>
          <t>Unit</t>
        </is>
      </c>
      <c r="E1992" s="17" t="inlineStr">
        <is>
          <t>ReleaseHoldHandlerTest › Idempotent</t>
        </is>
      </c>
      <c r="F1992" s="17" t="inlineStr">
        <is>
          <t>Idempotent</t>
        </is>
      </c>
      <c r="G1992" s="17" t="inlineStr">
        <is>
          <t>Giữ chỗ không còn ACTIVE: không làm gì, không ném — kể cả đã thành đơn</t>
        </is>
      </c>
      <c r="H1992" s="17" t="inlineStr">
        <is>
          <t>khong_active_thi_bo_qua(HoldStatus)[2]</t>
        </is>
      </c>
      <c r="I1992" s="16" t="inlineStr">
        <is>
          <t>Đạt</t>
        </is>
      </c>
      <c r="J1992" s="16" t="n">
        <v>0.002</v>
      </c>
    </row>
    <row r="1993">
      <c r="A1993" s="16" t="n">
        <v>1989</v>
      </c>
      <c r="B1993" s="16" t="inlineStr">
        <is>
          <t>Backend</t>
        </is>
      </c>
      <c r="C1993" s="17" t="inlineStr">
        <is>
          <t>inventory-service</t>
        </is>
      </c>
      <c r="D1993" s="16" t="inlineStr">
        <is>
          <t>Unit</t>
        </is>
      </c>
      <c r="E1993" s="17" t="inlineStr">
        <is>
          <t>ReleaseHoldHandlerTest › Idempotent</t>
        </is>
      </c>
      <c r="F1993" s="17" t="inlineStr">
        <is>
          <t>Idempotent</t>
        </is>
      </c>
      <c r="G1993" s="17" t="inlineStr">
        <is>
          <t>Giữ chỗ không còn ACTIVE: không làm gì, không ném — kể cả đã thành đơn</t>
        </is>
      </c>
      <c r="H1993" s="17" t="inlineStr">
        <is>
          <t>khong_active_thi_bo_qua(HoldStatus)[3]</t>
        </is>
      </c>
      <c r="I1993" s="16" t="inlineStr">
        <is>
          <t>Đạt</t>
        </is>
      </c>
      <c r="J1993" s="16" t="n">
        <v>0.002</v>
      </c>
    </row>
    <row r="1994">
      <c r="A1994" s="16" t="n">
        <v>1990</v>
      </c>
      <c r="B1994" s="16" t="inlineStr">
        <is>
          <t>Backend</t>
        </is>
      </c>
      <c r="C1994" s="17" t="inlineStr">
        <is>
          <t>inventory-service</t>
        </is>
      </c>
      <c r="D1994" s="16" t="inlineStr">
        <is>
          <t>Unit</t>
        </is>
      </c>
      <c r="E1994" s="17" t="inlineStr">
        <is>
          <t>ReleaseHoldHandlerTest › Idempotent</t>
        </is>
      </c>
      <c r="F1994" s="17" t="inlineStr">
        <is>
          <t>Idempotent</t>
        </is>
      </c>
      <c r="G1994" s="17" t="inlineStr">
        <is>
          <t>Hồi quy: đọc thấy ACTIVE nhưng đặt chỗ đã chuyển nó đi trước khi ghi — không nhả ghế</t>
        </is>
      </c>
      <c r="H1994" s="17" t="inlineStr">
        <is>
          <t>thua_cuoc_dua_voi_dat_cho</t>
        </is>
      </c>
      <c r="I1994" s="16" t="inlineStr">
        <is>
          <t>Đạt</t>
        </is>
      </c>
      <c r="J1994" s="16" t="n">
        <v>0.002</v>
      </c>
    </row>
    <row r="1995">
      <c r="A1995" s="16" t="n">
        <v>1991</v>
      </c>
      <c r="B1995" s="16" t="inlineStr">
        <is>
          <t>Backend</t>
        </is>
      </c>
      <c r="C1995" s="17" t="inlineStr">
        <is>
          <t>inventory-service</t>
        </is>
      </c>
      <c r="D1995" s="16" t="inlineStr">
        <is>
          <t>Unit</t>
        </is>
      </c>
      <c r="E1995" s="17" t="inlineStr">
        <is>
          <t>ReleaseHoldHandlerTest › PhanQuyen</t>
        </is>
      </c>
      <c r="F1995" s="17" t="inlineStr">
        <is>
          <t>Phân quyền</t>
        </is>
      </c>
      <c r="G1995" s="17" t="inlineStr">
        <is>
          <t>Không có giữ chỗ: HOLD_NOT_FOUND, cùng thông điệp với trường hợp của người khác</t>
        </is>
      </c>
      <c r="H1995" s="17" t="inlineStr">
        <is>
          <t>khong_ton_tai</t>
        </is>
      </c>
      <c r="I1995" s="16" t="inlineStr">
        <is>
          <t>Đạt</t>
        </is>
      </c>
      <c r="J1995" s="16" t="n">
        <v>0.003</v>
      </c>
    </row>
    <row r="1996">
      <c r="A1996" s="16" t="n">
        <v>1992</v>
      </c>
      <c r="B1996" s="16" t="inlineStr">
        <is>
          <t>Backend</t>
        </is>
      </c>
      <c r="C1996" s="17" t="inlineStr">
        <is>
          <t>inventory-service</t>
        </is>
      </c>
      <c r="D1996" s="16" t="inlineStr">
        <is>
          <t>Unit</t>
        </is>
      </c>
      <c r="E1996" s="17" t="inlineStr">
        <is>
          <t>ReleaseHoldHandlerTest › PhanQuyen</t>
        </is>
      </c>
      <c r="F1996" s="17" t="inlineStr">
        <is>
          <t>Phân quyền</t>
        </is>
      </c>
      <c r="G1996" s="17" t="inlineStr">
        <is>
          <t>Giữ chỗ của người khác: HOLD_NOT_FOUND chứ không phải 403 — không xác nhận holdId có thật</t>
        </is>
      </c>
      <c r="H1996" s="17" t="inlineStr">
        <is>
          <t>nguoi_khac_nhan_404</t>
        </is>
      </c>
      <c r="I1996" s="16" t="inlineStr">
        <is>
          <t>Đạt</t>
        </is>
      </c>
      <c r="J1996" s="16" t="n">
        <v>0.003</v>
      </c>
    </row>
    <row r="1997">
      <c r="A1997" s="16" t="n">
        <v>1993</v>
      </c>
      <c r="B1997" s="16" t="inlineStr">
        <is>
          <t>Backend</t>
        </is>
      </c>
      <c r="C1997" s="17" t="inlineStr">
        <is>
          <t>inventory-service</t>
        </is>
      </c>
      <c r="D1997" s="16" t="inlineStr">
        <is>
          <t>Unit</t>
        </is>
      </c>
      <c r="E1997" s="17" t="inlineStr">
        <is>
          <t>ReserveSeatsHandlerTest › DuongThanhCong</t>
        </is>
      </c>
      <c r="F1997" s="17" t="inlineStr">
        <is>
          <t>Đường thành công</t>
        </is>
      </c>
      <c r="G1997" s="17" t="inlineStr">
        <is>
          <t>Khoá Redis chỉ được xoá sau commit — rollback thì giữ nguyên</t>
        </is>
      </c>
      <c r="H1997" s="17" t="inlineStr">
        <is>
          <t>tra_khoa_sau_commit</t>
        </is>
      </c>
      <c r="I1997" s="16" t="inlineStr">
        <is>
          <t>Đạt</t>
        </is>
      </c>
      <c r="J1997" s="16" t="n">
        <v>0.004</v>
      </c>
    </row>
    <row r="1998">
      <c r="A1998" s="16" t="n">
        <v>1994</v>
      </c>
      <c r="B1998" s="16" t="inlineStr">
        <is>
          <t>Backend</t>
        </is>
      </c>
      <c r="C1998" s="17" t="inlineStr">
        <is>
          <t>inventory-service</t>
        </is>
      </c>
      <c r="D1998" s="16" t="inlineStr">
        <is>
          <t>Unit</t>
        </is>
      </c>
      <c r="E1998" s="17" t="inlineStr">
        <is>
          <t>ReserveSeatsHandlerTest › DuongThanhCong</t>
        </is>
      </c>
      <c r="F1998" s="17" t="inlineStr">
        <is>
          <t>Đường thành công</t>
        </is>
      </c>
      <c r="G1998" s="17" t="inlineStr">
        <is>
          <t>Giữ chỗ còn hạn: CONVERTED, chỗ sang RESERVED, ghi đặt chỗ, trả giá và nhãn từ tồn kho</t>
        </is>
      </c>
      <c r="H1998" s="17" t="inlineStr">
        <is>
          <t>dat_cho_thanh_cong</t>
        </is>
      </c>
      <c r="I1998" s="16" t="inlineStr">
        <is>
          <t>Đạt</t>
        </is>
      </c>
      <c r="J1998" s="16" t="n">
        <v>0.018</v>
      </c>
    </row>
    <row r="1999">
      <c r="A1999" s="16" t="n">
        <v>1995</v>
      </c>
      <c r="B1999" s="16" t="inlineStr">
        <is>
          <t>Backend</t>
        </is>
      </c>
      <c r="C1999" s="17" t="inlineStr">
        <is>
          <t>inventory-service</t>
        </is>
      </c>
      <c r="D1999" s="16" t="inlineStr">
        <is>
          <t>Unit</t>
        </is>
      </c>
      <c r="E1999" s="17" t="inlineStr">
        <is>
          <t>ReserveSeatsHandlerTest › IdempotentTheoOrder</t>
        </is>
      </c>
      <c r="F1999" s="17" t="inlineStr">
        <is>
          <t>Idempotent theo orderId</t>
        </is>
      </c>
      <c r="G1999" s="17" t="inlineStr">
        <is>
          <t>Saga gọi lại cùng orderId: trả lại kết quả cũ, không đổi trạng thái gì</t>
        </is>
      </c>
      <c r="H1999" s="17" t="inlineStr">
        <is>
          <t>goi_lai_tra_ket_qua_cu</t>
        </is>
      </c>
      <c r="I1999" s="16" t="inlineStr">
        <is>
          <t>Đạt</t>
        </is>
      </c>
      <c r="J1999" s="16" t="n">
        <v>0.026</v>
      </c>
    </row>
    <row r="2000">
      <c r="A2000" s="16" t="n">
        <v>1996</v>
      </c>
      <c r="B2000" s="16" t="inlineStr">
        <is>
          <t>Backend</t>
        </is>
      </c>
      <c r="C2000" s="17" t="inlineStr">
        <is>
          <t>inventory-service</t>
        </is>
      </c>
      <c r="D2000" s="16" t="inlineStr">
        <is>
          <t>Unit</t>
        </is>
      </c>
      <c r="E2000" s="17" t="inlineStr">
        <is>
          <t>ReserveSeatsHandlerTest › TuChoi</t>
        </is>
      </c>
      <c r="F2000" s="17" t="inlineStr">
        <is>
          <t>Từ chối</t>
        </is>
      </c>
      <c r="G2000" s="17" t="inlineStr">
        <is>
          <t>Đúng thời điểm hết hạn: HOLD_EXPIRED, chỗ không bị đụng tới</t>
        </is>
      </c>
      <c r="H2000" s="17" t="inlineStr">
        <is>
          <t>dung_han</t>
        </is>
      </c>
      <c r="I2000" s="16" t="inlineStr">
        <is>
          <t>Đạt</t>
        </is>
      </c>
      <c r="J2000" s="16" t="n">
        <v>0.006</v>
      </c>
    </row>
    <row r="2001">
      <c r="A2001" s="16" t="n">
        <v>1997</v>
      </c>
      <c r="B2001" s="16" t="inlineStr">
        <is>
          <t>Backend</t>
        </is>
      </c>
      <c r="C2001" s="17" t="inlineStr">
        <is>
          <t>inventory-service</t>
        </is>
      </c>
      <c r="D2001" s="16" t="inlineStr">
        <is>
          <t>Unit</t>
        </is>
      </c>
      <c r="E2001" s="17" t="inlineStr">
        <is>
          <t>ReserveSeatsHandlerTest › TuChoi</t>
        </is>
      </c>
      <c r="F2001" s="17" t="inlineStr">
        <is>
          <t>Từ chối</t>
        </is>
      </c>
      <c r="G2001" s="17" t="inlineStr">
        <is>
          <t>Tồn kho của suất biến mất giữa chừng: SESSION_NOT_FOUND thay vì trả kết quả thiếu tổ chức</t>
        </is>
      </c>
      <c r="H2001" s="17" t="inlineStr">
        <is>
          <t>ton_kho_bien_mat</t>
        </is>
      </c>
      <c r="I2001" s="16" t="inlineStr">
        <is>
          <t>Đạt</t>
        </is>
      </c>
      <c r="J2001" s="16" t="n">
        <v>0.006</v>
      </c>
    </row>
    <row r="2002">
      <c r="A2002" s="16" t="n">
        <v>1998</v>
      </c>
      <c r="B2002" s="16" t="inlineStr">
        <is>
          <t>Backend</t>
        </is>
      </c>
      <c r="C2002" s="17" t="inlineStr">
        <is>
          <t>inventory-service</t>
        </is>
      </c>
      <c r="D2002" s="16" t="inlineStr">
        <is>
          <t>Unit</t>
        </is>
      </c>
      <c r="E2002" s="17" t="inlineStr">
        <is>
          <t>ReserveSeatsHandlerTest › TuChoi</t>
        </is>
      </c>
      <c r="F2002" s="17" t="inlineStr">
        <is>
          <t>Từ chối</t>
        </is>
      </c>
      <c r="G2002" s="17" t="inlineStr">
        <is>
          <t>Hồi quy: khách bỏ chỗ giữa lúc đọc và lúc ghi — HOLD_EXPIRED, không đặt ghế nào</t>
        </is>
      </c>
      <c r="H2002" s="17" t="inlineStr">
        <is>
          <t>thua_cuoc_dua_voi_bo_cho</t>
        </is>
      </c>
      <c r="I2002" s="16" t="inlineStr">
        <is>
          <t>Đạt</t>
        </is>
      </c>
      <c r="J2002" s="16" t="n">
        <v>0.002</v>
      </c>
    </row>
    <row r="2003">
      <c r="A2003" s="16" t="n">
        <v>1999</v>
      </c>
      <c r="B2003" s="16" t="inlineStr">
        <is>
          <t>Backend</t>
        </is>
      </c>
      <c r="C2003" s="17" t="inlineStr">
        <is>
          <t>inventory-service</t>
        </is>
      </c>
      <c r="D2003" s="16" t="inlineStr">
        <is>
          <t>Unit</t>
        </is>
      </c>
      <c r="E2003" s="17" t="inlineStr">
        <is>
          <t>ReserveSeatsHandlerTest › TuChoi</t>
        </is>
      </c>
      <c r="F2003" s="17" t="inlineStr">
        <is>
          <t>Từ chối</t>
        </is>
      </c>
      <c r="G2003" s="17" t="inlineStr">
        <is>
          <t>Chỗ không còn HELD hết (worker đã nhả một phần): SEAT_UNAVAILABLE, không ghi đặt chỗ</t>
        </is>
      </c>
      <c r="H2003" s="17" t="inlineStr">
        <is>
          <t>cho_khong_con_held</t>
        </is>
      </c>
      <c r="I2003" s="16" t="inlineStr">
        <is>
          <t>Đạt</t>
        </is>
      </c>
      <c r="J2003" s="16" t="n">
        <v>0.002</v>
      </c>
    </row>
    <row r="2004">
      <c r="A2004" s="16" t="n">
        <v>2000</v>
      </c>
      <c r="B2004" s="16" t="inlineStr">
        <is>
          <t>Backend</t>
        </is>
      </c>
      <c r="C2004" s="17" t="inlineStr">
        <is>
          <t>inventory-service</t>
        </is>
      </c>
      <c r="D2004" s="16" t="inlineStr">
        <is>
          <t>Unit</t>
        </is>
      </c>
      <c r="E2004" s="17" t="inlineStr">
        <is>
          <t>ReserveSeatsHandlerTest › TuChoi</t>
        </is>
      </c>
      <c r="F2004" s="17" t="inlineStr">
        <is>
          <t>Từ chối</t>
        </is>
      </c>
      <c r="G2004" s="17" t="inlineStr">
        <is>
          <t>Không có giữ chỗ: HOLD_NOT_FOUND</t>
        </is>
      </c>
      <c r="H2004" s="17" t="inlineStr">
        <is>
          <t>khong_co_giu_cho</t>
        </is>
      </c>
      <c r="I2004" s="16" t="inlineStr">
        <is>
          <t>Đạt</t>
        </is>
      </c>
      <c r="J2004" s="16" t="n">
        <v>0.001</v>
      </c>
    </row>
    <row r="2005">
      <c r="A2005" s="16" t="n">
        <v>2001</v>
      </c>
      <c r="B2005" s="16" t="inlineStr">
        <is>
          <t>Backend</t>
        </is>
      </c>
      <c r="C2005" s="17" t="inlineStr">
        <is>
          <t>inventory-service</t>
        </is>
      </c>
      <c r="D2005" s="16" t="inlineStr">
        <is>
          <t>Unit</t>
        </is>
      </c>
      <c r="E2005" s="17" t="inlineStr">
        <is>
          <t>ReserveSeatsHandlerTest › TuChoi</t>
        </is>
      </c>
      <c r="F2005" s="17" t="inlineStr">
        <is>
          <t>Từ chối</t>
        </is>
      </c>
      <c r="G2005" s="17" t="inlineStr">
        <is>
          <t>Giữ chỗ của người khác: HOLD_NOT_OWNED (403) ở đường nội bộ, không đổi trạng thái</t>
        </is>
      </c>
      <c r="H2005" s="17" t="inlineStr">
        <is>
          <t>giu_cho_nguoi_khac</t>
        </is>
      </c>
      <c r="I2005" s="16" t="inlineStr">
        <is>
          <t>Đạt</t>
        </is>
      </c>
      <c r="J2005" s="16" t="n">
        <v>0.002</v>
      </c>
    </row>
    <row r="2006">
      <c r="A2006" s="16" t="n">
        <v>2002</v>
      </c>
      <c r="B2006" s="16" t="inlineStr">
        <is>
          <t>Backend</t>
        </is>
      </c>
      <c r="C2006" s="17" t="inlineStr">
        <is>
          <t>inventory-service</t>
        </is>
      </c>
      <c r="D2006" s="16" t="inlineStr">
        <is>
          <t>Unit</t>
        </is>
      </c>
      <c r="E2006" s="17" t="inlineStr">
        <is>
          <t>ReserveSeatsHandlerTest › TuChoi</t>
        </is>
      </c>
      <c r="F2006" s="17" t="inlineStr">
        <is>
          <t>Từ chối</t>
        </is>
      </c>
      <c r="G2006" s="17" t="inlineStr">
        <is>
          <t>Giữ chỗ đã bị khách bỏ: HOLD_EXPIRED dù còn hạn</t>
        </is>
      </c>
      <c r="H2006" s="17" t="inlineStr">
        <is>
          <t>da_bi_bo</t>
        </is>
      </c>
      <c r="I2006" s="16" t="inlineStr">
        <is>
          <t>Đạt</t>
        </is>
      </c>
      <c r="J2006" s="16" t="n">
        <v>0.001</v>
      </c>
    </row>
    <row r="2007">
      <c r="A2007" s="16" t="n">
        <v>2003</v>
      </c>
      <c r="B2007" s="16" t="inlineStr">
        <is>
          <t>Backend</t>
        </is>
      </c>
      <c r="C2007" s="17" t="inlineStr">
        <is>
          <t>inventory-service</t>
        </is>
      </c>
      <c r="D2007" s="16" t="inlineStr">
        <is>
          <t>Unit</t>
        </is>
      </c>
      <c r="E2007" s="17" t="inlineStr">
        <is>
          <t>SettleReservationHandlerTest › BuTru</t>
        </is>
      </c>
      <c r="F2007" s="17" t="inlineStr">
        <is>
          <t>Bù trừ</t>
        </is>
      </c>
      <c r="G2007" s="17" t="inlineStr">
        <is>
          <t>Huỷ đặt chỗ RESERVED: chỗ về AVAILABLE, bump version, bắn sự kiện sau commit</t>
        </is>
      </c>
      <c r="H2007" s="17" t="inlineStr">
        <is>
          <t>huy_lan_dau</t>
        </is>
      </c>
      <c r="I2007" s="16" t="inlineStr">
        <is>
          <t>Đạt</t>
        </is>
      </c>
      <c r="J2007" s="16" t="n">
        <v>0.008</v>
      </c>
    </row>
    <row r="2008">
      <c r="A2008" s="16" t="n">
        <v>2004</v>
      </c>
      <c r="B2008" s="16" t="inlineStr">
        <is>
          <t>Backend</t>
        </is>
      </c>
      <c r="C2008" s="17" t="inlineStr">
        <is>
          <t>inventory-service</t>
        </is>
      </c>
      <c r="D2008" s="16" t="inlineStr">
        <is>
          <t>Unit</t>
        </is>
      </c>
      <c r="E2008" s="17" t="inlineStr">
        <is>
          <t>SettleReservationHandlerTest › BuTru</t>
        </is>
      </c>
      <c r="F2008" s="17" t="inlineStr">
        <is>
          <t>Bù trừ</t>
        </is>
      </c>
      <c r="G2008" s="17" t="inlineStr">
        <is>
          <t>Saga bù trừ một việc chưa từng xảy ra: false, không ném</t>
        </is>
      </c>
      <c r="H2008" s="17" t="inlineStr">
        <is>
          <t>bu_tru_viec_chua_xay_ra</t>
        </is>
      </c>
      <c r="I2008" s="16" t="inlineStr">
        <is>
          <t>Đạt</t>
        </is>
      </c>
      <c r="J2008" s="16" t="n">
        <v>0.001</v>
      </c>
    </row>
    <row r="2009">
      <c r="A2009" s="16" t="n">
        <v>2005</v>
      </c>
      <c r="B2009" s="16" t="inlineStr">
        <is>
          <t>Backend</t>
        </is>
      </c>
      <c r="C2009" s="17" t="inlineStr">
        <is>
          <t>inventory-service</t>
        </is>
      </c>
      <c r="D2009" s="16" t="inlineStr">
        <is>
          <t>Unit</t>
        </is>
      </c>
      <c r="E2009" s="17" t="inlineStr">
        <is>
          <t>SettleReservationHandlerTest › BuTru</t>
        </is>
      </c>
      <c r="F2009" s="17" t="inlineStr">
        <is>
          <t>Bù trừ</t>
        </is>
      </c>
      <c r="G2009" s="17" t="inlineStr">
        <is>
          <t>Huỷ lần hai, hoặc huỷ sau khi đã bán: false, chỗ không bị nhả</t>
        </is>
      </c>
      <c r="H2009" s="17" t="inlineStr">
        <is>
          <t>huy_lan_hai_hoac_sau_khi_ban</t>
        </is>
      </c>
      <c r="I2009" s="16" t="inlineStr">
        <is>
          <t>Đạt</t>
        </is>
      </c>
      <c r="J2009" s="16" t="n">
        <v>0.001</v>
      </c>
    </row>
    <row r="2010">
      <c r="A2010" s="16" t="n">
        <v>2006</v>
      </c>
      <c r="B2010" s="16" t="inlineStr">
        <is>
          <t>Backend</t>
        </is>
      </c>
      <c r="C2010" s="17" t="inlineStr">
        <is>
          <t>inventory-service</t>
        </is>
      </c>
      <c r="D2010" s="16" t="inlineStr">
        <is>
          <t>Unit</t>
        </is>
      </c>
      <c r="E2010" s="17" t="inlineStr">
        <is>
          <t>SettleReservationHandlerTest › ChotBan</t>
        </is>
      </c>
      <c r="F2010" s="17" t="inlineStr">
        <is>
          <t>Chốt bán</t>
        </is>
      </c>
      <c r="G2010" s="17" t="inlineStr">
        <is>
          <t>Có bản ghi đặt chỗ nhưng giữ chỗ trỏ tới đã mất: false thay vì NullPointerException</t>
        </is>
      </c>
      <c r="H2010" s="17" t="inlineStr">
        <is>
          <t>giu_cho_mat</t>
        </is>
      </c>
      <c r="I2010" s="16" t="inlineStr">
        <is>
          <t>Đạt</t>
        </is>
      </c>
      <c r="J2010" s="16" t="n">
        <v>0.002</v>
      </c>
    </row>
    <row r="2011">
      <c r="A2011" s="16" t="n">
        <v>2007</v>
      </c>
      <c r="B2011" s="16" t="inlineStr">
        <is>
          <t>Backend</t>
        </is>
      </c>
      <c r="C2011" s="17" t="inlineStr">
        <is>
          <t>inventory-service</t>
        </is>
      </c>
      <c r="D2011" s="16" t="inlineStr">
        <is>
          <t>Unit</t>
        </is>
      </c>
      <c r="E2011" s="17" t="inlineStr">
        <is>
          <t>SettleReservationHandlerTest › ChotBan</t>
        </is>
      </c>
      <c r="F2011" s="17" t="inlineStr">
        <is>
          <t>Chốt bán</t>
        </is>
      </c>
      <c r="G2011" s="17" t="inlineStr">
        <is>
          <t>Đơn không có đặt chỗ ở Inventory: false, không ném, không ghi gì</t>
        </is>
      </c>
      <c r="H2011" s="17" t="inlineStr">
        <is>
          <t>khong_co_dat_cho</t>
        </is>
      </c>
      <c r="I2011" s="16" t="inlineStr">
        <is>
          <t>Đạt</t>
        </is>
      </c>
      <c r="J2011" s="16" t="n">
        <v>0.001</v>
      </c>
    </row>
    <row r="2012">
      <c r="A2012" s="16" t="n">
        <v>2008</v>
      </c>
      <c r="B2012" s="16" t="inlineStr">
        <is>
          <t>Backend</t>
        </is>
      </c>
      <c r="C2012" s="17" t="inlineStr">
        <is>
          <t>inventory-service</t>
        </is>
      </c>
      <c r="D2012" s="16" t="inlineStr">
        <is>
          <t>Unit</t>
        </is>
      </c>
      <c r="E2012" s="17" t="inlineStr">
        <is>
          <t>SettleReservationHandlerTest › ChotBan</t>
        </is>
      </c>
      <c r="F2012" s="17" t="inlineStr">
        <is>
          <t>Chốt bán</t>
        </is>
      </c>
      <c r="G2012" s="17" t="inlineStr">
        <is>
          <t>Đặt chỗ đang RESERVED: chuyển SETTLED, chỗ sang SOLD, không bump version</t>
        </is>
      </c>
      <c r="H2012" s="17" t="inlineStr">
        <is>
          <t>chot_ban_lan_dau</t>
        </is>
      </c>
      <c r="I2012" s="16" t="inlineStr">
        <is>
          <t>Đạt</t>
        </is>
      </c>
      <c r="J2012" s="16" t="n">
        <v>0.002</v>
      </c>
    </row>
    <row r="2013">
      <c r="A2013" s="16" t="n">
        <v>2009</v>
      </c>
      <c r="B2013" s="16" t="inlineStr">
        <is>
          <t>Backend</t>
        </is>
      </c>
      <c r="C2013" s="17" t="inlineStr">
        <is>
          <t>inventory-service</t>
        </is>
      </c>
      <c r="D2013" s="16" t="inlineStr">
        <is>
          <t>Unit</t>
        </is>
      </c>
      <c r="E2013" s="17" t="inlineStr">
        <is>
          <t>SettleReservationHandlerTest › ChotBan</t>
        </is>
      </c>
      <c r="F2013" s="17" t="inlineStr">
        <is>
          <t>Chốt bán</t>
        </is>
      </c>
      <c r="G2013" s="17" t="inlineStr">
        <is>
          <t>Webhook đến lần hai: đặt chỗ đã SETTLED nên trả false và không bán lại</t>
        </is>
      </c>
      <c r="H2013" s="17" t="inlineStr">
        <is>
          <t>chot_ban_lan_hai</t>
        </is>
      </c>
      <c r="I2013" s="16" t="inlineStr">
        <is>
          <t>Đạt</t>
        </is>
      </c>
      <c r="J2013" s="16" t="n">
        <v>0.001</v>
      </c>
    </row>
    <row r="2014">
      <c r="A2014" s="16" t="n">
        <v>2010</v>
      </c>
      <c r="B2014" s="16" t="inlineStr">
        <is>
          <t>Backend</t>
        </is>
      </c>
      <c r="C2014" s="17" t="inlineStr">
        <is>
          <t>inventory-service</t>
        </is>
      </c>
      <c r="D2014" s="16" t="inlineStr">
        <is>
          <t>Unit</t>
        </is>
      </c>
      <c r="E2014" s="17" t="inlineStr">
        <is>
          <t>InventoryErrorCodeTest</t>
        </is>
      </c>
      <c r="F2014" s="17" t="inlineStr"/>
      <c r="G2014" s="17" t="inlineStr">
        <is>
          <t>code() trùng tên hằng — frontend so chuỗi theo đúng tên này</t>
        </is>
      </c>
      <c r="H2014" s="17" t="inlineStr">
        <is>
          <t>code_trung_ten</t>
        </is>
      </c>
      <c r="I2014" s="16" t="inlineStr">
        <is>
          <t>Đạt</t>
        </is>
      </c>
      <c r="J2014" s="16" t="n">
        <v>0.004</v>
      </c>
    </row>
    <row r="2015">
      <c r="A2015" s="16" t="n">
        <v>2011</v>
      </c>
      <c r="B2015" s="16" t="inlineStr">
        <is>
          <t>Backend</t>
        </is>
      </c>
      <c r="C2015" s="17" t="inlineStr">
        <is>
          <t>inventory-service</t>
        </is>
      </c>
      <c r="D2015" s="16" t="inlineStr">
        <is>
          <t>Unit</t>
        </is>
      </c>
      <c r="E2015" s="17" t="inlineStr">
        <is>
          <t>InventoryErrorCodeTest</t>
        </is>
      </c>
      <c r="F2015" s="17" t="inlineStr"/>
      <c r="G2015" s="17" t="inlineStr">
        <is>
          <t>Vượt trần cộng dồn thành CUSTOMER_LIMIT_EXCEEDED — giao diện hiện số vé còn mua được</t>
        </is>
      </c>
      <c r="H2015" s="17" t="inlineStr">
        <is>
          <t>tran_cong_don</t>
        </is>
      </c>
      <c r="I2015" s="16" t="inlineStr">
        <is>
          <t>Đạt</t>
        </is>
      </c>
      <c r="J2015" s="16" t="n">
        <v>0.001</v>
      </c>
    </row>
    <row r="2016">
      <c r="A2016" s="16" t="n">
        <v>2012</v>
      </c>
      <c r="B2016" s="16" t="inlineStr">
        <is>
          <t>Backend</t>
        </is>
      </c>
      <c r="C2016" s="17" t="inlineStr">
        <is>
          <t>inventory-service</t>
        </is>
      </c>
      <c r="D2016" s="16" t="inlineStr">
        <is>
          <t>Unit</t>
        </is>
      </c>
      <c r="E2016" s="17" t="inlineStr">
        <is>
          <t>InventoryErrorCodeTest</t>
        </is>
      </c>
      <c r="F2016" s="17" t="inlineStr"/>
      <c r="G2016" s="17" t="inlineStr">
        <is>
          <t>Vi phạm trần mỗi lần giữ chỗ đều thành HOLD_LIMIT_EXCEEDED</t>
        </is>
      </c>
      <c r="H2016" s="17" t="inlineStr">
        <is>
          <t>tran_moi_lan_giu(LimitViolation)[1]</t>
        </is>
      </c>
      <c r="I2016" s="16" t="inlineStr">
        <is>
          <t>Đạt</t>
        </is>
      </c>
      <c r="J2016" s="16" t="n">
        <v>0</v>
      </c>
    </row>
    <row r="2017">
      <c r="A2017" s="16" t="n">
        <v>2013</v>
      </c>
      <c r="B2017" s="16" t="inlineStr">
        <is>
          <t>Backend</t>
        </is>
      </c>
      <c r="C2017" s="17" t="inlineStr">
        <is>
          <t>inventory-service</t>
        </is>
      </c>
      <c r="D2017" s="16" t="inlineStr">
        <is>
          <t>Unit</t>
        </is>
      </c>
      <c r="E2017" s="17" t="inlineStr">
        <is>
          <t>InventoryErrorCodeTest</t>
        </is>
      </c>
      <c r="F2017" s="17" t="inlineStr"/>
      <c r="G2017" s="17" t="inlineStr">
        <is>
          <t>Vi phạm trần mỗi lần giữ chỗ đều thành HOLD_LIMIT_EXCEEDED</t>
        </is>
      </c>
      <c r="H2017" s="17" t="inlineStr">
        <is>
          <t>tran_moi_lan_giu(LimitViolation)[2]</t>
        </is>
      </c>
      <c r="I2017" s="16" t="inlineStr">
        <is>
          <t>Đạt</t>
        </is>
      </c>
      <c r="J2017" s="16" t="n">
        <v>0</v>
      </c>
    </row>
    <row r="2018">
      <c r="A2018" s="16" t="n">
        <v>2014</v>
      </c>
      <c r="B2018" s="16" t="inlineStr">
        <is>
          <t>Backend</t>
        </is>
      </c>
      <c r="C2018" s="17" t="inlineStr">
        <is>
          <t>inventory-service</t>
        </is>
      </c>
      <c r="D2018" s="16" t="inlineStr">
        <is>
          <t>Unit</t>
        </is>
      </c>
      <c r="E2018" s="17" t="inlineStr">
        <is>
          <t>InventoryErrorCodeTest</t>
        </is>
      </c>
      <c r="F2018" s="17" t="inlineStr"/>
      <c r="G2018" s="17" t="inlineStr">
        <is>
          <t>Vi phạm trần mỗi lần giữ chỗ đều thành HOLD_LIMIT_EXCEEDED</t>
        </is>
      </c>
      <c r="H2018" s="17" t="inlineStr">
        <is>
          <t>tran_moi_lan_giu(LimitViolation)[3]</t>
        </is>
      </c>
      <c r="I2018" s="16" t="inlineStr">
        <is>
          <t>Đạt</t>
        </is>
      </c>
      <c r="J2018" s="16" t="n">
        <v>0.001</v>
      </c>
    </row>
    <row r="2019">
      <c r="A2019" s="16" t="n">
        <v>2015</v>
      </c>
      <c r="B2019" s="16" t="inlineStr">
        <is>
          <t>Backend</t>
        </is>
      </c>
      <c r="C2019" s="17" t="inlineStr">
        <is>
          <t>inventory-service</t>
        </is>
      </c>
      <c r="D2019" s="16" t="inlineStr">
        <is>
          <t>Unit</t>
        </is>
      </c>
      <c r="E2019" s="17" t="inlineStr">
        <is>
          <t>InventoryErrorCodeTest</t>
        </is>
      </c>
      <c r="F2019" s="17" t="inlineStr"/>
      <c r="G2019" s="17" t="inlineStr">
        <is>
          <t>Vi phạm trần mỗi lần giữ chỗ đều thành HOLD_LIMIT_EXCEEDED</t>
        </is>
      </c>
      <c r="H2019" s="17" t="inlineStr">
        <is>
          <t>tran_moi_lan_giu(LimitViolation)[4]</t>
        </is>
      </c>
      <c r="I2019" s="16" t="inlineStr">
        <is>
          <t>Đạt</t>
        </is>
      </c>
      <c r="J2019" s="16" t="n">
        <v>0</v>
      </c>
    </row>
    <row r="2020">
      <c r="A2020" s="16" t="n">
        <v>2016</v>
      </c>
      <c r="B2020" s="16" t="inlineStr">
        <is>
          <t>Backend</t>
        </is>
      </c>
      <c r="C2020" s="17" t="inlineStr">
        <is>
          <t>inventory-service</t>
        </is>
      </c>
      <c r="D2020" s="16" t="inlineStr">
        <is>
          <t>Unit</t>
        </is>
      </c>
      <c r="E2020" s="17" t="inlineStr">
        <is>
          <t>InventoryErrorCodeTest</t>
        </is>
      </c>
      <c r="F2020" s="17" t="inlineStr"/>
      <c r="G2020" s="17" t="inlineStr">
        <is>
          <t>Mã trạng thái HTTP của từng mã lỗi đúng như đã phát hành</t>
        </is>
      </c>
      <c r="H2020" s="17" t="inlineStr">
        <is>
          <t>ma_trang_thai_on_dinh</t>
        </is>
      </c>
      <c r="I2020" s="16" t="inlineStr">
        <is>
          <t>Đạt</t>
        </is>
      </c>
      <c r="J2020" s="16" t="n">
        <v>0.007</v>
      </c>
    </row>
    <row r="2021">
      <c r="A2021" s="16" t="n">
        <v>2017</v>
      </c>
      <c r="B2021" s="16" t="inlineStr">
        <is>
          <t>Backend</t>
        </is>
      </c>
      <c r="C2021" s="17" t="inlineStr">
        <is>
          <t>inventory-service</t>
        </is>
      </c>
      <c r="D2021" s="16" t="inlineStr">
        <is>
          <t>Unit</t>
        </is>
      </c>
      <c r="E2021" s="17" t="inlineStr">
        <is>
          <t>SeatQueriesTest › SoDoCho</t>
        </is>
      </c>
      <c r="F2021" s="17" t="inlineStr">
        <is>
          <t>Sơ đồ chỗ</t>
        </is>
      </c>
      <c r="G2021" s="17" t="inlineStr">
        <is>
          <t>Khách ẩn danh: không có hạn mức, và không tốn câu đếm nào</t>
        </is>
      </c>
      <c r="H2021" s="17" t="inlineStr">
        <is>
          <t>an_danh_khong_dem</t>
        </is>
      </c>
      <c r="I2021" s="16" t="inlineStr">
        <is>
          <t>Đạt</t>
        </is>
      </c>
      <c r="J2021" s="16" t="n">
        <v>0.016</v>
      </c>
    </row>
    <row r="2022">
      <c r="A2022" s="16" t="n">
        <v>2018</v>
      </c>
      <c r="B2022" s="16" t="inlineStr">
        <is>
          <t>Backend</t>
        </is>
      </c>
      <c r="C2022" s="17" t="inlineStr">
        <is>
          <t>inventory-service</t>
        </is>
      </c>
      <c r="D2022" s="16" t="inlineStr">
        <is>
          <t>Unit</t>
        </is>
      </c>
      <c r="E2022" s="17" t="inlineStr">
        <is>
          <t>SeatQueriesTest › SoDoCho</t>
        </is>
      </c>
      <c r="F2022" s="17" t="inlineStr">
        <is>
          <t>Sơ đồ chỗ</t>
        </is>
      </c>
      <c r="G2022" s="17" t="inlineStr">
        <is>
          <t>Chép đủ từng trường của ghế và khối vé đứng, kèm version hiện tại</t>
        </is>
      </c>
      <c r="H2022" s="17" t="inlineStr">
        <is>
          <t>chep_du_truong</t>
        </is>
      </c>
      <c r="I2022" s="16" t="inlineStr">
        <is>
          <t>Đạt</t>
        </is>
      </c>
      <c r="J2022" s="16" t="n">
        <v>0.011</v>
      </c>
    </row>
    <row r="2023">
      <c r="A2023" s="16" t="n">
        <v>2019</v>
      </c>
      <c r="B2023" s="16" t="inlineStr">
        <is>
          <t>Backend</t>
        </is>
      </c>
      <c r="C2023" s="17" t="inlineStr">
        <is>
          <t>inventory-service</t>
        </is>
      </c>
      <c r="D2023" s="16" t="inlineStr">
        <is>
          <t>Unit</t>
        </is>
      </c>
      <c r="E2023" s="17" t="inlineStr">
        <is>
          <t>SeatQueriesTest › SoDoCho</t>
        </is>
      </c>
      <c r="F2023" s="17" t="inlineStr">
        <is>
          <t>Sơ đồ chỗ</t>
        </is>
      </c>
      <c r="G2023" s="17" t="inlineStr">
        <is>
          <t>Đã dùng vượt trần (trần bị hạ sau khi mua): còn lại là 0, không âm</t>
        </is>
      </c>
      <c r="H2023" s="17" t="inlineStr">
        <is>
          <t>con_lai_khong_am</t>
        </is>
      </c>
      <c r="I2023" s="16" t="inlineStr">
        <is>
          <t>Đạt</t>
        </is>
      </c>
      <c r="J2023" s="16" t="n">
        <v>0.003</v>
      </c>
    </row>
    <row r="2024">
      <c r="A2024" s="16" t="n">
        <v>2020</v>
      </c>
      <c r="B2024" s="16" t="inlineStr">
        <is>
          <t>Backend</t>
        </is>
      </c>
      <c r="C2024" s="17" t="inlineStr">
        <is>
          <t>inventory-service</t>
        </is>
      </c>
      <c r="D2024" s="16" t="inlineStr">
        <is>
          <t>Unit</t>
        </is>
      </c>
      <c r="E2024" s="17" t="inlineStr">
        <is>
          <t>SeatQueriesTest › SoDoCho</t>
        </is>
      </c>
      <c r="F2024" s="17" t="inlineStr">
        <is>
          <t>Sơ đồ chỗ</t>
        </is>
      </c>
      <c r="G2024" s="17" t="inlineStr">
        <is>
          <t>Suất chưa dựng tồn kho: SESSION_NOT_FOUND</t>
        </is>
      </c>
      <c r="H2024" s="17" t="inlineStr">
        <is>
          <t>suat_khong_ton_tai</t>
        </is>
      </c>
      <c r="I2024" s="16" t="inlineStr">
        <is>
          <t>Đạt</t>
        </is>
      </c>
      <c r="J2024" s="16" t="n">
        <v>0.001</v>
      </c>
    </row>
    <row r="2025">
      <c r="A2025" s="16" t="n">
        <v>2021</v>
      </c>
      <c r="B2025" s="16" t="inlineStr">
        <is>
          <t>Backend</t>
        </is>
      </c>
      <c r="C2025" s="17" t="inlineStr">
        <is>
          <t>inventory-service</t>
        </is>
      </c>
      <c r="D2025" s="16" t="inlineStr">
        <is>
          <t>Unit</t>
        </is>
      </c>
      <c r="E2025" s="17" t="inlineStr">
        <is>
          <t>SeatQueriesTest › SoDoCho</t>
        </is>
      </c>
      <c r="F2025" s="17" t="inlineStr">
        <is>
          <t>Sơ đồ chỗ</t>
        </is>
      </c>
      <c r="G2025" s="17" t="inlineStr">
        <is>
          <t>Khách đã đăng nhập: hạn mức = trần, đã dùng, còn lại</t>
        </is>
      </c>
      <c r="H2025" s="17" t="inlineStr">
        <is>
          <t>da_dang_nhap_co_han_muc</t>
        </is>
      </c>
      <c r="I2025" s="16" t="inlineStr">
        <is>
          <t>Đạt</t>
        </is>
      </c>
      <c r="J2025" s="16" t="n">
        <v>0.001</v>
      </c>
    </row>
    <row r="2026">
      <c r="A2026" s="16" t="n">
        <v>2022</v>
      </c>
      <c r="B2026" s="16" t="inlineStr">
        <is>
          <t>Backend</t>
        </is>
      </c>
      <c r="C2026" s="17" t="inlineStr">
        <is>
          <t>inventory-service</t>
        </is>
      </c>
      <c r="D2026" s="16" t="inlineStr">
        <is>
          <t>Unit</t>
        </is>
      </c>
      <c r="E2026" s="17" t="inlineStr">
        <is>
          <t>SeatQueriesTest › TrangThaiTheoKhu</t>
        </is>
      </c>
      <c r="F2026" s="17" t="inlineStr">
        <is>
          <t>Trạng thái theo khu</t>
        </is>
      </c>
      <c r="G2026" s="17" t="inlineStr">
        <is>
          <t>Chép đủ năm con số của từng khu, giữ thứ tự từ database</t>
        </is>
      </c>
      <c r="H2026" s="17" t="inlineStr">
        <is>
          <t>chep_du_so_dem</t>
        </is>
      </c>
      <c r="I2026" s="16" t="inlineStr">
        <is>
          <t>Đạt</t>
        </is>
      </c>
      <c r="J2026" s="16" t="n">
        <v>0.02</v>
      </c>
    </row>
    <row r="2027">
      <c r="A2027" s="16" t="n">
        <v>2023</v>
      </c>
      <c r="B2027" s="16" t="inlineStr">
        <is>
          <t>Backend</t>
        </is>
      </c>
      <c r="C2027" s="17" t="inlineStr">
        <is>
          <t>inventory-service</t>
        </is>
      </c>
      <c r="D2027" s="16" t="inlineStr">
        <is>
          <t>Unit</t>
        </is>
      </c>
      <c r="E2027" s="17" t="inlineStr">
        <is>
          <t>SeatQueriesTest › TrangThaiTheoKhu</t>
        </is>
      </c>
      <c r="F2027" s="17" t="inlineStr">
        <is>
          <t>Trạng thái theo khu</t>
        </is>
      </c>
      <c r="G2027" s="17" t="inlineStr">
        <is>
          <t>Suất chưa dựng tồn kho: 404, không trả bảng số 0 trông như bán hết</t>
        </is>
      </c>
      <c r="H2027" s="17" t="inlineStr">
        <is>
          <t>suat_chua_dung</t>
        </is>
      </c>
      <c r="I2027" s="16" t="inlineStr">
        <is>
          <t>Đạt</t>
        </is>
      </c>
      <c r="J2027" s="16" t="n">
        <v>0.003</v>
      </c>
    </row>
    <row r="2028">
      <c r="A2028" s="16" t="n">
        <v>2024</v>
      </c>
      <c r="B2028" s="16" t="inlineStr">
        <is>
          <t>Backend</t>
        </is>
      </c>
      <c r="C2028" s="17" t="inlineStr">
        <is>
          <t>inventory-service</t>
        </is>
      </c>
      <c r="D2028" s="16" t="inlineStr">
        <is>
          <t>Unit</t>
        </is>
      </c>
      <c r="E2028" s="17" t="inlineStr">
        <is>
          <t>SeatStatsQueryTest</t>
        </is>
      </c>
      <c r="F2028" s="17" t="inlineStr"/>
      <c r="G2028" s="17" t="inlineStr">
        <is>
          <t>Tổ chức chưa có suất nào: danh sách rỗng, không phải lỗi</t>
        </is>
      </c>
      <c r="H2028" s="17" t="inlineStr">
        <is>
          <t>to_chuc_chua_co_suat</t>
        </is>
      </c>
      <c r="I2028" s="16" t="inlineStr">
        <is>
          <t>Đạt</t>
        </is>
      </c>
      <c r="J2028" s="16" t="n">
        <v>0.002</v>
      </c>
    </row>
    <row r="2029">
      <c r="A2029" s="16" t="n">
        <v>2025</v>
      </c>
      <c r="B2029" s="16" t="inlineStr">
        <is>
          <t>Backend</t>
        </is>
      </c>
      <c r="C2029" s="17" t="inlineStr">
        <is>
          <t>inventory-service</t>
        </is>
      </c>
      <c r="D2029" s="16" t="inlineStr">
        <is>
          <t>Unit</t>
        </is>
      </c>
      <c r="E2029" s="17" t="inlineStr">
        <is>
          <t>SeatStatsQueryTest</t>
        </is>
      </c>
      <c r="F2029" s="17" t="inlineStr"/>
      <c r="G2029" s="17" t="inlineStr">
        <is>
          <t>Ghép tồn kho theo loại vé với các lượt giữ sắp hết hạn trong 5 phút, của đúng tổ chức</t>
        </is>
      </c>
      <c r="H2029" s="17" t="inlineStr">
        <is>
          <t>ghep_ton_kho_va_giu_cho_sap_het_han</t>
        </is>
      </c>
      <c r="I2029" s="16" t="inlineStr">
        <is>
          <t>Đạt</t>
        </is>
      </c>
      <c r="J2029" s="16" t="n">
        <v>0.007</v>
      </c>
    </row>
    <row r="2030">
      <c r="A2030" s="16" t="n">
        <v>2026</v>
      </c>
      <c r="B2030" s="16" t="inlineStr">
        <is>
          <t>Backend</t>
        </is>
      </c>
      <c r="C2030" s="17" t="inlineStr">
        <is>
          <t>inventory-service</t>
        </is>
      </c>
      <c r="D2030" s="16" t="inlineStr">
        <is>
          <t>ArchUnit</t>
        </is>
      </c>
      <c r="E2030" s="17" t="inlineStr">
        <is>
          <t>ArchitectureTest</t>
        </is>
      </c>
      <c r="F2030" s="17" t="inlineStr"/>
      <c r="G2030" s="17" t="inlineStr">
        <is>
          <t>domain thuan nghiep vu</t>
        </is>
      </c>
      <c r="H2030" s="17" t="inlineStr">
        <is>
          <t>domain_thuan_nghiep_vu</t>
        </is>
      </c>
      <c r="I2030" s="16" t="inlineStr">
        <is>
          <t>Đạt</t>
        </is>
      </c>
      <c r="J2030" s="16" t="n">
        <v>2.762</v>
      </c>
    </row>
    <row r="2031">
      <c r="A2031" s="16" t="n">
        <v>2027</v>
      </c>
      <c r="B2031" s="16" t="inlineStr">
        <is>
          <t>Backend</t>
        </is>
      </c>
      <c r="C2031" s="17" t="inlineStr">
        <is>
          <t>inventory-service</t>
        </is>
      </c>
      <c r="D2031" s="16" t="inlineStr">
        <is>
          <t>ArchUnit</t>
        </is>
      </c>
      <c r="E2031" s="17" t="inlineStr">
        <is>
          <t>ArchitectureTest</t>
        </is>
      </c>
      <c r="F2031" s="17" t="inlineStr"/>
      <c r="G2031" s="17" t="inlineStr">
        <is>
          <t>chieu phu thuoc hexagonal</t>
        </is>
      </c>
      <c r="H2031" s="17" t="inlineStr">
        <is>
          <t>chieu_phu_thuoc_hexagonal</t>
        </is>
      </c>
      <c r="I2031" s="16" t="inlineStr">
        <is>
          <t>Đạt</t>
        </is>
      </c>
      <c r="J2031" s="16" t="n">
        <v>0.417</v>
      </c>
    </row>
    <row r="2032">
      <c r="A2032" s="16" t="n">
        <v>2028</v>
      </c>
      <c r="B2032" s="16" t="inlineStr">
        <is>
          <t>Backend</t>
        </is>
      </c>
      <c r="C2032" s="17" t="inlineStr">
        <is>
          <t>inventory-service</t>
        </is>
      </c>
      <c r="D2032" s="16" t="inlineStr">
        <is>
          <t>ArchUnit</t>
        </is>
      </c>
      <c r="E2032" s="17" t="inlineStr">
        <is>
          <t>ArchitectureTest</t>
        </is>
      </c>
      <c r="F2032" s="17" t="inlineStr"/>
      <c r="G2032" s="17" t="inlineStr">
        <is>
          <t>khong import cheo context</t>
        </is>
      </c>
      <c r="H2032" s="17" t="inlineStr">
        <is>
          <t>khong_import_cheo_context</t>
        </is>
      </c>
      <c r="I2032" s="16" t="inlineStr">
        <is>
          <t>Đạt</t>
        </is>
      </c>
      <c r="J2032" s="16" t="n">
        <v>0.024</v>
      </c>
    </row>
    <row r="2033">
      <c r="A2033" s="16" t="n">
        <v>2029</v>
      </c>
      <c r="B2033" s="16" t="inlineStr">
        <is>
          <t>Backend</t>
        </is>
      </c>
      <c r="C2033" s="17" t="inlineStr">
        <is>
          <t>inventory-service</t>
        </is>
      </c>
      <c r="D2033" s="16" t="inlineStr">
        <is>
          <t>Unit</t>
        </is>
      </c>
      <c r="E2033" s="17" t="inlineStr">
        <is>
          <t>HoldRequestTest › DemTheoTran</t>
        </is>
      </c>
      <c r="F2033" s="17" t="inlineStr">
        <is>
          <t>Đếm theo trần</t>
        </is>
      </c>
      <c r="G2033" s="17" t="inlineStr">
        <is>
          <t>Chỉ có vé ngồi theo khu: là vé ngồi nhưng KHÔNG đi qua cổng Redis</t>
        </is>
      </c>
      <c r="H2033" s="17" t="inlineStr">
        <is>
          <t>ve_theo_khu_khong_qua_cong</t>
        </is>
      </c>
      <c r="I2033" s="16" t="inlineStr">
        <is>
          <t>Đạt</t>
        </is>
      </c>
      <c r="J2033" s="16" t="n">
        <v>0.001</v>
      </c>
    </row>
    <row r="2034">
      <c r="A2034" s="16" t="n">
        <v>2030</v>
      </c>
      <c r="B2034" s="16" t="inlineStr">
        <is>
          <t>Backend</t>
        </is>
      </c>
      <c r="C2034" s="17" t="inlineStr">
        <is>
          <t>inventory-service</t>
        </is>
      </c>
      <c r="D2034" s="16" t="inlineStr">
        <is>
          <t>Unit</t>
        </is>
      </c>
      <c r="E2034" s="17" t="inlineStr">
        <is>
          <t>HoldRequestTest › DemTheoTran</t>
        </is>
      </c>
      <c r="F2034" s="17" t="inlineStr">
        <is>
          <t>Đếm theo trần</t>
        </is>
      </c>
      <c r="G2034" s="17" t="inlineStr">
        <is>
          <t>Gộp hai dòng cùng khu mà tổng tràn số nguyên: từ chối, không ra số âm lọt qua trần</t>
        </is>
      </c>
      <c r="H2034" s="17" t="inlineStr">
        <is>
          <t>gop_tran_so_bi_tu_choi</t>
        </is>
      </c>
      <c r="I2034" s="16" t="inlineStr">
        <is>
          <t>Đạt</t>
        </is>
      </c>
      <c r="J2034" s="16" t="n">
        <v>0.001</v>
      </c>
    </row>
    <row r="2035">
      <c r="A2035" s="16" t="n">
        <v>2031</v>
      </c>
      <c r="B2035" s="16" t="inlineStr">
        <is>
          <t>Backend</t>
        </is>
      </c>
      <c r="C2035" s="17" t="inlineStr">
        <is>
          <t>inventory-service</t>
        </is>
      </c>
      <c r="D2035" s="16" t="inlineStr">
        <is>
          <t>Unit</t>
        </is>
      </c>
      <c r="E2035" s="17" t="inlineStr">
        <is>
          <t>HoldRequestTest › DemTheoTran</t>
        </is>
      </c>
      <c r="F2035" s="17" t="inlineStr">
        <is>
          <t>Đếm theo trần</t>
        </is>
      </c>
      <c r="G2035" s="17" t="inlineStr">
        <is>
          <t>seatedCount cộng cả ghế đích danh lẫn vé ngồi theo khu</t>
        </is>
      </c>
      <c r="H2035" s="17" t="inlineStr">
        <is>
          <t>seated_count_gom_hai_duong</t>
        </is>
      </c>
      <c r="I2035" s="16" t="inlineStr">
        <is>
          <t>Đạt</t>
        </is>
      </c>
      <c r="J2035" s="16" t="n">
        <v>0.002</v>
      </c>
    </row>
    <row r="2036">
      <c r="A2036" s="16" t="n">
        <v>2032</v>
      </c>
      <c r="B2036" s="16" t="inlineStr">
        <is>
          <t>Backend</t>
        </is>
      </c>
      <c r="C2036" s="17" t="inlineStr">
        <is>
          <t>inventory-service</t>
        </is>
      </c>
      <c r="D2036" s="16" t="inlineStr">
        <is>
          <t>Unit</t>
        </is>
      </c>
      <c r="E2036" s="17" t="inlineStr">
        <is>
          <t>HoldRequestTest › DungYeuCau</t>
        </is>
      </c>
      <c r="F2036" s="17" t="inlineStr">
        <is>
          <t>Dựng yêu cầu</t>
        </is>
      </c>
      <c r="G2036" s="17" t="inlineStr">
        <is>
          <t>Danh sách null được coi là rỗng, không ném NullPointerException</t>
        </is>
      </c>
      <c r="H2036" s="17" t="inlineStr">
        <is>
          <t>danh_sach_null_la_rong</t>
        </is>
      </c>
      <c r="I2036" s="16" t="inlineStr">
        <is>
          <t>Đạt</t>
        </is>
      </c>
      <c r="J2036" s="16" t="n">
        <v>0.003</v>
      </c>
    </row>
    <row r="2037">
      <c r="A2037" s="16" t="n">
        <v>2033</v>
      </c>
      <c r="B2037" s="16" t="inlineStr">
        <is>
          <t>Backend</t>
        </is>
      </c>
      <c r="C2037" s="17" t="inlineStr">
        <is>
          <t>inventory-service</t>
        </is>
      </c>
      <c r="D2037" s="16" t="inlineStr">
        <is>
          <t>Unit</t>
        </is>
      </c>
      <c r="E2037" s="17" t="inlineStr">
        <is>
          <t>HoldRequestTest › DungYeuCau</t>
        </is>
      </c>
      <c r="F2037" s="17" t="inlineStr">
        <is>
          <t>Dựng yêu cầu</t>
        </is>
      </c>
      <c r="G2037" s="17" t="inlineStr">
        <is>
          <t>Sửa danh sách gốc sau khi dựng không làm đổi yêu cầu</t>
        </is>
      </c>
      <c r="H2037" s="17" t="inlineStr">
        <is>
          <t>sao_chep_phong_thu</t>
        </is>
      </c>
      <c r="I2037" s="16" t="inlineStr">
        <is>
          <t>Đạt</t>
        </is>
      </c>
      <c r="J2037" s="16" t="n">
        <v>0</v>
      </c>
    </row>
    <row r="2038">
      <c r="A2038" s="16" t="n">
        <v>2034</v>
      </c>
      <c r="B2038" s="16" t="inlineStr">
        <is>
          <t>Backend</t>
        </is>
      </c>
      <c r="C2038" s="17" t="inlineStr">
        <is>
          <t>inventory-service</t>
        </is>
      </c>
      <c r="D2038" s="16" t="inlineStr">
        <is>
          <t>Unit</t>
        </is>
      </c>
      <c r="E2038" s="17" t="inlineStr">
        <is>
          <t>HoldRequestTest › DungYeuCau</t>
        </is>
      </c>
      <c r="F2038" s="17" t="inlineStr">
        <is>
          <t>Dựng yêu cầu</t>
        </is>
      </c>
      <c r="G2038" s="17" t="inlineStr">
        <is>
          <t>Hai dòng vé ngồi cùng khu gộp thành một, giữ thứ tự khu xuất hiện đầu tiên</t>
        </is>
      </c>
      <c r="H2038" s="17" t="inlineStr">
        <is>
          <t>gop_ve_ngoi_cung_khu</t>
        </is>
      </c>
      <c r="I2038" s="16" t="inlineStr">
        <is>
          <t>Đạt</t>
        </is>
      </c>
      <c r="J2038" s="16" t="n">
        <v>0</v>
      </c>
    </row>
    <row r="2039">
      <c r="A2039" s="16" t="n">
        <v>2035</v>
      </c>
      <c r="B2039" s="16" t="inlineStr">
        <is>
          <t>Backend</t>
        </is>
      </c>
      <c r="C2039" s="17" t="inlineStr">
        <is>
          <t>inventory-service</t>
        </is>
      </c>
      <c r="D2039" s="16" t="inlineStr">
        <is>
          <t>Unit</t>
        </is>
      </c>
      <c r="E2039" s="17" t="inlineStr">
        <is>
          <t>HoldRequestTest › DungYeuCau</t>
        </is>
      </c>
      <c r="F2039" s="17" t="inlineStr">
        <is>
          <t>Dựng yêu cầu</t>
        </is>
      </c>
      <c r="G2039" s="17" t="inlineStr">
        <is>
          <t>Khử trùng lặp ghế nhưng giữ đúng thứ tự khách bấm</t>
        </is>
      </c>
      <c r="H2039" s="17" t="inlineStr">
        <is>
          <t>khu_trung_lap_giu_thu_tu</t>
        </is>
      </c>
      <c r="I2039" s="16" t="inlineStr">
        <is>
          <t>Đạt</t>
        </is>
      </c>
      <c r="J2039" s="16" t="n">
        <v>0.001</v>
      </c>
    </row>
    <row r="2040">
      <c r="A2040" s="16" t="n">
        <v>2036</v>
      </c>
      <c r="B2040" s="16" t="inlineStr">
        <is>
          <t>Backend</t>
        </is>
      </c>
      <c r="C2040" s="17" t="inlineStr">
        <is>
          <t>inventory-service</t>
        </is>
      </c>
      <c r="D2040" s="16" t="inlineStr">
        <is>
          <t>Unit</t>
        </is>
      </c>
      <c r="E2040" s="17" t="inlineStr">
        <is>
          <t>HoldRequestTest › DungYeuCau</t>
        </is>
      </c>
      <c r="F2040" s="17" t="inlineStr">
        <is>
          <t>Dựng yêu cầu</t>
        </is>
      </c>
      <c r="G2040" s="17" t="inlineStr">
        <is>
          <t>Cùng mã khu ở vé ngồi và vé đứng không bị gộp lẫn sang nhau</t>
        </is>
      </c>
      <c r="H2040" s="17" t="inlineStr">
        <is>
          <t>khong_gop_cheo_ngoi_dung</t>
        </is>
      </c>
      <c r="I2040" s="16" t="inlineStr">
        <is>
          <t>Đạt</t>
        </is>
      </c>
      <c r="J2040" s="16" t="n">
        <v>0</v>
      </c>
    </row>
    <row r="2041">
      <c r="A2041" s="16" t="n">
        <v>2037</v>
      </c>
      <c r="B2041" s="16" t="inlineStr">
        <is>
          <t>Backend</t>
        </is>
      </c>
      <c r="C2041" s="17" t="inlineStr">
        <is>
          <t>inventory-service</t>
        </is>
      </c>
      <c r="D2041" s="16" t="inlineStr">
        <is>
          <t>Unit</t>
        </is>
      </c>
      <c r="E2041" s="17" t="inlineStr">
        <is>
          <t>HoldRequestTest › KiemTraDong</t>
        </is>
      </c>
      <c r="F2041" s="17" t="inlineStr">
        <is>
          <t>Kiểm tra dòng theo khu</t>
        </is>
      </c>
      <c r="G2041" s="17" t="inlineStr">
        <is>
          <t>Một vé là số lượng nhỏ nhất hợp lệ</t>
        </is>
      </c>
      <c r="H2041" s="17" t="inlineStr">
        <is>
          <t>mot_ve_hop_le</t>
        </is>
      </c>
      <c r="I2041" s="16" t="inlineStr">
        <is>
          <t>Đạt</t>
        </is>
      </c>
      <c r="J2041" s="16" t="n">
        <v>0</v>
      </c>
    </row>
    <row r="2042">
      <c r="A2042" s="16" t="n">
        <v>2038</v>
      </c>
      <c r="B2042" s="16" t="inlineStr">
        <is>
          <t>Backend</t>
        </is>
      </c>
      <c r="C2042" s="17" t="inlineStr">
        <is>
          <t>inventory-service</t>
        </is>
      </c>
      <c r="D2042" s="16" t="inlineStr">
        <is>
          <t>Unit</t>
        </is>
      </c>
      <c r="E2042" s="17" t="inlineStr">
        <is>
          <t>HoldRequestTest › KiemTraDong</t>
        </is>
      </c>
      <c r="F2042" s="17" t="inlineStr">
        <is>
          <t>Kiểm tra dòng theo khu</t>
        </is>
      </c>
      <c r="G2042" s="17" t="inlineStr">
        <is>
          <t>Mã khu rỗng hoặc trắng bị từ chối ở cả vé ngồi lẫn vé đứng</t>
        </is>
      </c>
      <c r="H2042" s="17" t="inlineStr">
        <is>
          <t>ma_khu_rong(String)[1]</t>
        </is>
      </c>
      <c r="I2042" s="16" t="inlineStr">
        <is>
          <t>Đạt</t>
        </is>
      </c>
      <c r="J2042" s="16" t="n">
        <v>0.003</v>
      </c>
    </row>
    <row r="2043">
      <c r="A2043" s="16" t="n">
        <v>2039</v>
      </c>
      <c r="B2043" s="16" t="inlineStr">
        <is>
          <t>Backend</t>
        </is>
      </c>
      <c r="C2043" s="17" t="inlineStr">
        <is>
          <t>inventory-service</t>
        </is>
      </c>
      <c r="D2043" s="16" t="inlineStr">
        <is>
          <t>Unit</t>
        </is>
      </c>
      <c r="E2043" s="17" t="inlineStr">
        <is>
          <t>HoldRequestTest › KiemTraDong</t>
        </is>
      </c>
      <c r="F2043" s="17" t="inlineStr">
        <is>
          <t>Kiểm tra dòng theo khu</t>
        </is>
      </c>
      <c r="G2043" s="17" t="inlineStr">
        <is>
          <t>Mã khu rỗng hoặc trắng bị từ chối ở cả vé ngồi lẫn vé đứng</t>
        </is>
      </c>
      <c r="H2043" s="17" t="inlineStr">
        <is>
          <t>ma_khu_rong(String)[2]</t>
        </is>
      </c>
      <c r="I2043" s="16" t="inlineStr">
        <is>
          <t>Đạt</t>
        </is>
      </c>
      <c r="J2043" s="16" t="n">
        <v>0.001</v>
      </c>
    </row>
    <row r="2044">
      <c r="A2044" s="16" t="n">
        <v>2040</v>
      </c>
      <c r="B2044" s="16" t="inlineStr">
        <is>
          <t>Backend</t>
        </is>
      </c>
      <c r="C2044" s="17" t="inlineStr">
        <is>
          <t>inventory-service</t>
        </is>
      </c>
      <c r="D2044" s="16" t="inlineStr">
        <is>
          <t>Unit</t>
        </is>
      </c>
      <c r="E2044" s="17" t="inlineStr">
        <is>
          <t>HoldRequestTest › KiemTraDong</t>
        </is>
      </c>
      <c r="F2044" s="17" t="inlineStr">
        <is>
          <t>Kiểm tra dòng theo khu</t>
        </is>
      </c>
      <c r="G2044" s="17" t="inlineStr">
        <is>
          <t>Mã khu rỗng hoặc trắng bị từ chối ở cả vé ngồi lẫn vé đứng</t>
        </is>
      </c>
      <c r="H2044" s="17" t="inlineStr">
        <is>
          <t>ma_khu_rong(String)[3]</t>
        </is>
      </c>
      <c r="I2044" s="16" t="inlineStr">
        <is>
          <t>Đạt</t>
        </is>
      </c>
      <c r="J2044" s="16" t="n">
        <v>0.001</v>
      </c>
    </row>
    <row r="2045">
      <c r="A2045" s="16" t="n">
        <v>2041</v>
      </c>
      <c r="B2045" s="16" t="inlineStr">
        <is>
          <t>Backend</t>
        </is>
      </c>
      <c r="C2045" s="17" t="inlineStr">
        <is>
          <t>inventory-service</t>
        </is>
      </c>
      <c r="D2045" s="16" t="inlineStr">
        <is>
          <t>Unit</t>
        </is>
      </c>
      <c r="E2045" s="17" t="inlineStr">
        <is>
          <t>HoldRequestTest › KiemTraDong</t>
        </is>
      </c>
      <c r="F2045" s="17" t="inlineStr">
        <is>
          <t>Kiểm tra dòng theo khu</t>
        </is>
      </c>
      <c r="G2045" s="17" t="inlineStr">
        <is>
          <t>Mã khu rỗng hoặc trắng bị từ chối ở cả vé ngồi lẫn vé đứng</t>
        </is>
      </c>
      <c r="H2045" s="17" t="inlineStr">
        <is>
          <t>ma_khu_rong(String)[4]</t>
        </is>
      </c>
      <c r="I2045" s="16" t="inlineStr">
        <is>
          <t>Đạt</t>
        </is>
      </c>
      <c r="J2045" s="16" t="n">
        <v>0.001</v>
      </c>
    </row>
    <row r="2046">
      <c r="A2046" s="16" t="n">
        <v>2042</v>
      </c>
      <c r="B2046" s="16" t="inlineStr">
        <is>
          <t>Backend</t>
        </is>
      </c>
      <c r="C2046" s="17" t="inlineStr">
        <is>
          <t>inventory-service</t>
        </is>
      </c>
      <c r="D2046" s="16" t="inlineStr">
        <is>
          <t>Unit</t>
        </is>
      </c>
      <c r="E2046" s="17" t="inlineStr">
        <is>
          <t>HoldRequestTest › KiemTraDong</t>
        </is>
      </c>
      <c r="F2046" s="17" t="inlineStr">
        <is>
          <t>Kiểm tra dòng theo khu</t>
        </is>
      </c>
      <c r="G2046" s="17" t="inlineStr">
        <is>
          <t>Số lượng không dương bị từ chối ở cả vé ngồi lẫn vé đứng</t>
        </is>
      </c>
      <c r="H2046" s="17" t="inlineStr">
        <is>
          <t>so_luong_khong_duong(int)[1]</t>
        </is>
      </c>
      <c r="I2046" s="16" t="inlineStr">
        <is>
          <t>Đạt</t>
        </is>
      </c>
      <c r="J2046" s="16" t="n">
        <v>0.007</v>
      </c>
    </row>
    <row r="2047">
      <c r="A2047" s="16" t="n">
        <v>2043</v>
      </c>
      <c r="B2047" s="16" t="inlineStr">
        <is>
          <t>Backend</t>
        </is>
      </c>
      <c r="C2047" s="17" t="inlineStr">
        <is>
          <t>inventory-service</t>
        </is>
      </c>
      <c r="D2047" s="16" t="inlineStr">
        <is>
          <t>Unit</t>
        </is>
      </c>
      <c r="E2047" s="17" t="inlineStr">
        <is>
          <t>HoldRequestTest › KiemTraDong</t>
        </is>
      </c>
      <c r="F2047" s="17" t="inlineStr">
        <is>
          <t>Kiểm tra dòng theo khu</t>
        </is>
      </c>
      <c r="G2047" s="17" t="inlineStr">
        <is>
          <t>Số lượng không dương bị từ chối ở cả vé ngồi lẫn vé đứng</t>
        </is>
      </c>
      <c r="H2047" s="17" t="inlineStr">
        <is>
          <t>so_luong_khong_duong(int)[2]</t>
        </is>
      </c>
      <c r="I2047" s="16" t="inlineStr">
        <is>
          <t>Đạt</t>
        </is>
      </c>
      <c r="J2047" s="16" t="n">
        <v>0.001</v>
      </c>
    </row>
    <row r="2048">
      <c r="A2048" s="16" t="n">
        <v>2044</v>
      </c>
      <c r="B2048" s="16" t="inlineStr">
        <is>
          <t>Backend</t>
        </is>
      </c>
      <c r="C2048" s="17" t="inlineStr">
        <is>
          <t>inventory-service</t>
        </is>
      </c>
      <c r="D2048" s="16" t="inlineStr">
        <is>
          <t>Unit</t>
        </is>
      </c>
      <c r="E2048" s="17" t="inlineStr">
        <is>
          <t>HoldRequestTest › KiemTraDong</t>
        </is>
      </c>
      <c r="F2048" s="17" t="inlineStr">
        <is>
          <t>Kiểm tra dòng theo khu</t>
        </is>
      </c>
      <c r="G2048" s="17" t="inlineStr">
        <is>
          <t>Số lượng không dương bị từ chối ở cả vé ngồi lẫn vé đứng</t>
        </is>
      </c>
      <c r="H2048" s="17" t="inlineStr">
        <is>
          <t>so_luong_khong_duong(int)[3]</t>
        </is>
      </c>
      <c r="I2048" s="16" t="inlineStr">
        <is>
          <t>Đạt</t>
        </is>
      </c>
      <c r="J2048" s="16" t="n">
        <v>0.001</v>
      </c>
    </row>
    <row r="2049">
      <c r="A2049" s="16" t="n">
        <v>2045</v>
      </c>
      <c r="B2049" s="16" t="inlineStr">
        <is>
          <t>Backend</t>
        </is>
      </c>
      <c r="C2049" s="17" t="inlineStr">
        <is>
          <t>inventory-service</t>
        </is>
      </c>
      <c r="D2049" s="16" t="inlineStr">
        <is>
          <t>Unit</t>
        </is>
      </c>
      <c r="E2049" s="17" t="inlineStr">
        <is>
          <t>PurchaseLimitsTest</t>
        </is>
      </c>
      <c r="F2049" s="17" t="inlineStr"/>
      <c r="G2049" s="17" t="inlineStr">
        <is>
          <t>Trần cộng dồn tính cả số vé đang có</t>
        </is>
      </c>
      <c r="H2049" s="17" t="inlineStr">
        <is>
          <t>tran_cong_don</t>
        </is>
      </c>
      <c r="I2049" s="16" t="inlineStr">
        <is>
          <t>Đạt</t>
        </is>
      </c>
      <c r="J2049" s="16" t="n">
        <v>0.002</v>
      </c>
    </row>
    <row r="2050">
      <c r="A2050" s="16" t="n">
        <v>2046</v>
      </c>
      <c r="B2050" s="16" t="inlineStr">
        <is>
          <t>Backend</t>
        </is>
      </c>
      <c r="C2050" s="17" t="inlineStr">
        <is>
          <t>inventory-service</t>
        </is>
      </c>
      <c r="D2050" s="16" t="inlineStr">
        <is>
          <t>Unit</t>
        </is>
      </c>
      <c r="E2050" s="17" t="inlineStr">
        <is>
          <t>PurchaseLimitsTest</t>
        </is>
      </c>
      <c r="F2050" s="17" t="inlineStr"/>
      <c r="G2050" s="17" t="inlineStr">
        <is>
          <t>Hai dòng cùng zone được gộp thành một</t>
        </is>
      </c>
      <c r="H2050" s="17" t="inlineStr">
        <is>
          <t>gop_dong_cung_zone</t>
        </is>
      </c>
      <c r="I2050" s="16" t="inlineStr">
        <is>
          <t>Đạt</t>
        </is>
      </c>
      <c r="J2050" s="16" t="n">
        <v>0.001</v>
      </c>
    </row>
    <row r="2051">
      <c r="A2051" s="16" t="n">
        <v>2047</v>
      </c>
      <c r="B2051" s="16" t="inlineStr">
        <is>
          <t>Backend</t>
        </is>
      </c>
      <c r="C2051" s="17" t="inlineStr">
        <is>
          <t>inventory-service</t>
        </is>
      </c>
      <c r="D2051" s="16" t="inlineStr">
        <is>
          <t>Unit</t>
        </is>
      </c>
      <c r="E2051" s="17" t="inlineStr">
        <is>
          <t>PurchaseLimitsTest</t>
        </is>
      </c>
      <c r="F2051" s="17" t="inlineStr"/>
      <c r="G2051" s="17" t="inlineStr">
        <is>
          <t>Trần riêng đạt nhưng tổng vượt: vẫn từ chối</t>
        </is>
      </c>
      <c r="H2051" s="17" t="inlineStr">
        <is>
          <t>tong_vuot_tran_du_tung_loai_deu_dat</t>
        </is>
      </c>
      <c r="I2051" s="16" t="inlineStr">
        <is>
          <t>Đạt</t>
        </is>
      </c>
      <c r="J2051" s="16" t="n">
        <v>0.001</v>
      </c>
    </row>
    <row r="2052">
      <c r="A2052" s="16" t="n">
        <v>2048</v>
      </c>
      <c r="B2052" s="16" t="inlineStr">
        <is>
          <t>Backend</t>
        </is>
      </c>
      <c r="C2052" s="17" t="inlineStr">
        <is>
          <t>inventory-service</t>
        </is>
      </c>
      <c r="D2052" s="16" t="inlineStr">
        <is>
          <t>Unit</t>
        </is>
      </c>
      <c r="E2052" s="17" t="inlineStr">
        <is>
          <t>PurchaseLimitsTest</t>
        </is>
      </c>
      <c r="F2052" s="17" t="inlineStr"/>
      <c r="G2052" s="17" t="inlineStr">
        <is>
          <t>Ghế trùng lặp trong một request tính là một</t>
        </is>
      </c>
      <c r="H2052" s="17" t="inlineStr">
        <is>
          <t>ghe_trung_lap_tinh_la_mot</t>
        </is>
      </c>
      <c r="I2052" s="16" t="inlineStr">
        <is>
          <t>Đạt</t>
        </is>
      </c>
      <c r="J2052" s="16" t="n">
        <v>0.001</v>
      </c>
    </row>
    <row r="2053">
      <c r="A2053" s="16" t="n">
        <v>2049</v>
      </c>
      <c r="B2053" s="16" t="inlineStr">
        <is>
          <t>Backend</t>
        </is>
      </c>
      <c r="C2053" s="17" t="inlineStr">
        <is>
          <t>inventory-service</t>
        </is>
      </c>
      <c r="D2053" s="16" t="inlineStr">
        <is>
          <t>Unit</t>
        </is>
      </c>
      <c r="E2053" s="17" t="inlineStr">
        <is>
          <t>PurchaseLimitsTest</t>
        </is>
      </c>
      <c r="F2053" s="17" t="inlineStr"/>
      <c r="G2053" s="17" t="inlineStr">
        <is>
          <t>Vé đứng nới hơn vé ngồi: 10 vé đứng được, 10 vé ngồi thì không</t>
        </is>
      </c>
      <c r="H2053" s="17" t="inlineStr">
        <is>
          <t>ve_dung_noi_hon_ve_ngoi</t>
        </is>
      </c>
      <c r="I2053" s="16" t="inlineStr">
        <is>
          <t>Đạt</t>
        </is>
      </c>
      <c r="J2053" s="16" t="n">
        <v>0.001</v>
      </c>
    </row>
    <row r="2054">
      <c r="A2054" s="16" t="n">
        <v>2050</v>
      </c>
      <c r="B2054" s="16" t="inlineStr">
        <is>
          <t>Backend</t>
        </is>
      </c>
      <c r="C2054" s="17" t="inlineStr">
        <is>
          <t>inventory-service</t>
        </is>
      </c>
      <c r="D2054" s="16" t="inlineStr">
        <is>
          <t>Unit</t>
        </is>
      </c>
      <c r="E2054" s="17" t="inlineStr">
        <is>
          <t>PurchaseLimitsTest</t>
        </is>
      </c>
      <c r="F2054" s="17" t="inlineStr"/>
      <c r="G2054" s="17" t="inlineStr">
        <is>
          <t>Giữ chỗ rỗng không có nghĩa</t>
        </is>
      </c>
      <c r="H2054" s="17" t="inlineStr">
        <is>
          <t>giu_cho_rong</t>
        </is>
      </c>
      <c r="I2054" s="16" t="inlineStr">
        <is>
          <t>Đạt</t>
        </is>
      </c>
      <c r="J2054" s="16" t="n">
        <v>0.001</v>
      </c>
    </row>
    <row r="2055">
      <c r="A2055" s="16" t="n">
        <v>2051</v>
      </c>
      <c r="B2055" s="16" t="inlineStr">
        <is>
          <t>Backend</t>
        </is>
      </c>
      <c r="C2055" s="17" t="inlineStr">
        <is>
          <t>inventory-service</t>
        </is>
      </c>
      <c r="D2055" s="16" t="inlineStr">
        <is>
          <t>Unit</t>
        </is>
      </c>
      <c r="E2055" s="17" t="inlineStr">
        <is>
          <t>SeatHoldTest</t>
        </is>
      </c>
      <c r="F2055" s="17" t="inlineStr"/>
      <c r="G2055" s="17" t="inlineStr">
        <is>
          <t>Chỉ đúng chủ sở hữu được nhận là chủ; null không phải chủ</t>
        </is>
      </c>
      <c r="H2055" s="17" t="inlineStr">
        <is>
          <t>quyen_so_huu</t>
        </is>
      </c>
      <c r="I2055" s="16" t="inlineStr">
        <is>
          <t>Đạt</t>
        </is>
      </c>
      <c r="J2055" s="16" t="n">
        <v>0</v>
      </c>
    </row>
    <row r="2056">
      <c r="A2056" s="16" t="n">
        <v>2052</v>
      </c>
      <c r="B2056" s="16" t="inlineStr">
        <is>
          <t>Backend</t>
        </is>
      </c>
      <c r="C2056" s="17" t="inlineStr">
        <is>
          <t>inventory-service</t>
        </is>
      </c>
      <c r="D2056" s="16" t="inlineStr">
        <is>
          <t>Unit</t>
        </is>
      </c>
      <c r="E2056" s="17" t="inlineStr">
        <is>
          <t>SeatHoldTest › ChuyenTrangThai</t>
        </is>
      </c>
      <c r="F2056" s="17" t="inlineStr">
        <is>
          <t>Chuyển trạng thái</t>
        </is>
      </c>
      <c r="G2056" s="17" t="inlineStr">
        <is>
          <t>Đã nhả thì worker hết hạn không ghi đè thành EXPIRED</t>
        </is>
      </c>
      <c r="H2056" s="17" t="inlineStr">
        <is>
          <t>da_nha_khong_thanh_het_han</t>
        </is>
      </c>
      <c r="I2056" s="16" t="inlineStr">
        <is>
          <t>Đạt</t>
        </is>
      </c>
      <c r="J2056" s="16" t="n">
        <v>0.001</v>
      </c>
    </row>
    <row r="2057">
      <c r="A2057" s="16" t="n">
        <v>2053</v>
      </c>
      <c r="B2057" s="16" t="inlineStr">
        <is>
          <t>Backend</t>
        </is>
      </c>
      <c r="C2057" s="17" t="inlineStr">
        <is>
          <t>inventory-service</t>
        </is>
      </c>
      <c r="D2057" s="16" t="inlineStr">
        <is>
          <t>Unit</t>
        </is>
      </c>
      <c r="E2057" s="17" t="inlineStr">
        <is>
          <t>SeatHoldTest › ChuyenTrangThai</t>
        </is>
      </c>
      <c r="F2057" s="17" t="inlineStr">
        <is>
          <t>Chuyển trạng thái</t>
        </is>
      </c>
      <c r="G2057" s="17" t="inlineStr">
        <is>
          <t>Hết hạn từ ACTIVE: EXPIRED, và sau đó không chuyển thành đơn được</t>
        </is>
      </c>
      <c r="H2057" s="17" t="inlineStr">
        <is>
          <t>het_han_roi_khong_convert</t>
        </is>
      </c>
      <c r="I2057" s="16" t="inlineStr">
        <is>
          <t>Đạt</t>
        </is>
      </c>
      <c r="J2057" s="16" t="n">
        <v>0.004</v>
      </c>
    </row>
    <row r="2058">
      <c r="A2058" s="16" t="n">
        <v>2054</v>
      </c>
      <c r="B2058" s="16" t="inlineStr">
        <is>
          <t>Backend</t>
        </is>
      </c>
      <c r="C2058" s="17" t="inlineStr">
        <is>
          <t>inventory-service</t>
        </is>
      </c>
      <c r="D2058" s="16" t="inlineStr">
        <is>
          <t>Unit</t>
        </is>
      </c>
      <c r="E2058" s="17" t="inlineStr">
        <is>
          <t>SeatHoldTest › ChuyenTrangThai</t>
        </is>
      </c>
      <c r="F2058" s="17" t="inlineStr">
        <is>
          <t>Chuyển trạng thái</t>
        </is>
      </c>
      <c r="G2058" s="17" t="inlineStr">
        <is>
          <t>Chuyển thành đơn hai lần: lần hai ném lỗi</t>
        </is>
      </c>
      <c r="H2058" s="17" t="inlineStr">
        <is>
          <t>convert_hai_lan</t>
        </is>
      </c>
      <c r="I2058" s="16" t="inlineStr">
        <is>
          <t>Đạt</t>
        </is>
      </c>
      <c r="J2058" s="16" t="n">
        <v>0.001</v>
      </c>
    </row>
    <row r="2059">
      <c r="A2059" s="16" t="n">
        <v>2055</v>
      </c>
      <c r="B2059" s="16" t="inlineStr">
        <is>
          <t>Backend</t>
        </is>
      </c>
      <c r="C2059" s="17" t="inlineStr">
        <is>
          <t>inventory-service</t>
        </is>
      </c>
      <c r="D2059" s="16" t="inlineStr">
        <is>
          <t>Unit</t>
        </is>
      </c>
      <c r="E2059" s="17" t="inlineStr">
        <is>
          <t>SeatHoldTest › ChuyenTrangThai</t>
        </is>
      </c>
      <c r="F2059" s="17" t="inlineStr">
        <is>
          <t>Chuyển trạng thái</t>
        </is>
      </c>
      <c r="G2059" s="17" t="inlineStr">
        <is>
          <t>Giữ chỗ đã thành đơn KHÔNG bị nhả hay hết hạn đè lên — chỗ đã đặt không được quay về</t>
        </is>
      </c>
      <c r="H2059" s="17" t="inlineStr">
        <is>
          <t>da_convert_khong_bi_nha</t>
        </is>
      </c>
      <c r="I2059" s="16" t="inlineStr">
        <is>
          <t>Đạt</t>
        </is>
      </c>
      <c r="J2059" s="16" t="n">
        <v>0.001</v>
      </c>
    </row>
    <row r="2060">
      <c r="A2060" s="16" t="n">
        <v>2056</v>
      </c>
      <c r="B2060" s="16" t="inlineStr">
        <is>
          <t>Backend</t>
        </is>
      </c>
      <c r="C2060" s="17" t="inlineStr">
        <is>
          <t>inventory-service</t>
        </is>
      </c>
      <c r="D2060" s="16" t="inlineStr">
        <is>
          <t>Unit</t>
        </is>
      </c>
      <c r="E2060" s="17" t="inlineStr">
        <is>
          <t>SeatHoldTest › ChuyenTrangThai</t>
        </is>
      </c>
      <c r="F2060" s="17" t="inlineStr">
        <is>
          <t>Chuyển trạng thái</t>
        </is>
      </c>
      <c r="G2060" s="17" t="inlineStr">
        <is>
          <t>Nhả rồi nhả lại: idempotent, vẫn RELEASED</t>
        </is>
      </c>
      <c r="H2060" s="17" t="inlineStr">
        <is>
          <t>release_idempotent</t>
        </is>
      </c>
      <c r="I2060" s="16" t="inlineStr">
        <is>
          <t>Đạt</t>
        </is>
      </c>
      <c r="J2060" s="16" t="n">
        <v>0.002</v>
      </c>
    </row>
    <row r="2061">
      <c r="A2061" s="16" t="n">
        <v>2057</v>
      </c>
      <c r="B2061" s="16" t="inlineStr">
        <is>
          <t>Backend</t>
        </is>
      </c>
      <c r="C2061" s="17" t="inlineStr">
        <is>
          <t>inventory-service</t>
        </is>
      </c>
      <c r="D2061" s="16" t="inlineStr">
        <is>
          <t>Unit</t>
        </is>
      </c>
      <c r="E2061" s="17" t="inlineStr">
        <is>
          <t>SeatHoldTest › ChuyenTrangThai</t>
        </is>
      </c>
      <c r="F2061" s="17" t="inlineStr">
        <is>
          <t>Chuyển trạng thái</t>
        </is>
      </c>
      <c r="G2061" s="17" t="inlineStr">
        <is>
          <t>Chuyển thành đơn khi đã hết hạn: ném lỗi và giữ nguyên ACTIVE</t>
        </is>
      </c>
      <c r="H2061" s="17" t="inlineStr">
        <is>
          <t>convert_khi_het_han</t>
        </is>
      </c>
      <c r="I2061" s="16" t="inlineStr">
        <is>
          <t>Đạt</t>
        </is>
      </c>
      <c r="J2061" s="16" t="n">
        <v>0</v>
      </c>
    </row>
    <row r="2062">
      <c r="A2062" s="16" t="n">
        <v>2058</v>
      </c>
      <c r="B2062" s="16" t="inlineStr">
        <is>
          <t>Backend</t>
        </is>
      </c>
      <c r="C2062" s="17" t="inlineStr">
        <is>
          <t>inventory-service</t>
        </is>
      </c>
      <c r="D2062" s="16" t="inlineStr">
        <is>
          <t>Unit</t>
        </is>
      </c>
      <c r="E2062" s="17" t="inlineStr">
        <is>
          <t>SeatHoldTest › ChuyenTrangThai</t>
        </is>
      </c>
      <c r="F2062" s="17" t="inlineStr">
        <is>
          <t>Chuyển trạng thái</t>
        </is>
      </c>
      <c r="G2062" s="17" t="inlineStr">
        <is>
          <t>Chuyển thành đơn khi còn hạn: CONVERTED</t>
        </is>
      </c>
      <c r="H2062" s="17" t="inlineStr">
        <is>
          <t>convert_khi_con_han</t>
        </is>
      </c>
      <c r="I2062" s="16" t="inlineStr">
        <is>
          <t>Đạt</t>
        </is>
      </c>
      <c r="J2062" s="16" t="n">
        <v>0</v>
      </c>
    </row>
    <row r="2063">
      <c r="A2063" s="16" t="n">
        <v>2059</v>
      </c>
      <c r="B2063" s="16" t="inlineStr">
        <is>
          <t>Backend</t>
        </is>
      </c>
      <c r="C2063" s="17" t="inlineStr">
        <is>
          <t>inventory-service</t>
        </is>
      </c>
      <c r="D2063" s="16" t="inlineStr">
        <is>
          <t>Unit</t>
        </is>
      </c>
      <c r="E2063" s="17" t="inlineStr">
        <is>
          <t>SeatHoldTest › HanGiuCho</t>
        </is>
      </c>
      <c r="F2063" s="17" t="inlineStr">
        <is>
          <t>Hạn giữ chỗ</t>
        </is>
      </c>
      <c r="G2063" s="17" t="inlineStr">
        <is>
          <t>Đúng thời điểm hết hạn đã coi là hết hạn — biên đóng</t>
        </is>
      </c>
      <c r="H2063" s="17" t="inlineStr">
        <is>
          <t>dung_han_la_het_han</t>
        </is>
      </c>
      <c r="I2063" s="16" t="inlineStr">
        <is>
          <t>Đạt</t>
        </is>
      </c>
      <c r="J2063" s="16" t="n">
        <v>0.001</v>
      </c>
    </row>
    <row r="2064">
      <c r="A2064" s="16" t="n">
        <v>2060</v>
      </c>
      <c r="B2064" s="16" t="inlineStr">
        <is>
          <t>Backend</t>
        </is>
      </c>
      <c r="C2064" s="17" t="inlineStr">
        <is>
          <t>inventory-service</t>
        </is>
      </c>
      <c r="D2064" s="16" t="inlineStr">
        <is>
          <t>Unit</t>
        </is>
      </c>
      <c r="E2064" s="17" t="inlineStr">
        <is>
          <t>SeatHoldTest › HanGiuCho</t>
        </is>
      </c>
      <c r="F2064" s="17" t="inlineStr">
        <is>
          <t>Hạn giữ chỗ</t>
        </is>
      </c>
      <c r="G2064" s="17" t="inlineStr">
        <is>
          <t>Giữ chỗ không còn ACTIVE thì không dùng được dù chưa hết hạn</t>
        </is>
      </c>
      <c r="H2064" s="17" t="inlineStr">
        <is>
          <t>khong_active_khong_dung_duoc(HoldStatus)[1]</t>
        </is>
      </c>
      <c r="I2064" s="16" t="inlineStr">
        <is>
          <t>Đạt</t>
        </is>
      </c>
      <c r="J2064" s="16" t="n">
        <v>0.001</v>
      </c>
    </row>
    <row r="2065">
      <c r="A2065" s="16" t="n">
        <v>2061</v>
      </c>
      <c r="B2065" s="16" t="inlineStr">
        <is>
          <t>Backend</t>
        </is>
      </c>
      <c r="C2065" s="17" t="inlineStr">
        <is>
          <t>inventory-service</t>
        </is>
      </c>
      <c r="D2065" s="16" t="inlineStr">
        <is>
          <t>Unit</t>
        </is>
      </c>
      <c r="E2065" s="17" t="inlineStr">
        <is>
          <t>SeatHoldTest › HanGiuCho</t>
        </is>
      </c>
      <c r="F2065" s="17" t="inlineStr">
        <is>
          <t>Hạn giữ chỗ</t>
        </is>
      </c>
      <c r="G2065" s="17" t="inlineStr">
        <is>
          <t>Giữ chỗ không còn ACTIVE thì không dùng được dù chưa hết hạn</t>
        </is>
      </c>
      <c r="H2065" s="17" t="inlineStr">
        <is>
          <t>khong_active_khong_dung_duoc(HoldStatus)[2]</t>
        </is>
      </c>
      <c r="I2065" s="16" t="inlineStr">
        <is>
          <t>Đạt</t>
        </is>
      </c>
      <c r="J2065" s="16" t="n">
        <v>0</v>
      </c>
    </row>
    <row r="2066">
      <c r="A2066" s="16" t="n">
        <v>2062</v>
      </c>
      <c r="B2066" s="16" t="inlineStr">
        <is>
          <t>Backend</t>
        </is>
      </c>
      <c r="C2066" s="17" t="inlineStr">
        <is>
          <t>inventory-service</t>
        </is>
      </c>
      <c r="D2066" s="16" t="inlineStr">
        <is>
          <t>Unit</t>
        </is>
      </c>
      <c r="E2066" s="17" t="inlineStr">
        <is>
          <t>SeatHoldTest › HanGiuCho</t>
        </is>
      </c>
      <c r="F2066" s="17" t="inlineStr">
        <is>
          <t>Hạn giữ chỗ</t>
        </is>
      </c>
      <c r="G2066" s="17" t="inlineStr">
        <is>
          <t>Giữ chỗ không còn ACTIVE thì không dùng được dù chưa hết hạn</t>
        </is>
      </c>
      <c r="H2066" s="17" t="inlineStr">
        <is>
          <t>khong_active_khong_dung_duoc(HoldStatus)[3]</t>
        </is>
      </c>
      <c r="I2066" s="16" t="inlineStr">
        <is>
          <t>Đạt</t>
        </is>
      </c>
      <c r="J2066" s="16" t="n">
        <v>0</v>
      </c>
    </row>
    <row r="2067">
      <c r="A2067" s="16" t="n">
        <v>2063</v>
      </c>
      <c r="B2067" s="16" t="inlineStr">
        <is>
          <t>Backend</t>
        </is>
      </c>
      <c r="C2067" s="17" t="inlineStr">
        <is>
          <t>inventory-service</t>
        </is>
      </c>
      <c r="D2067" s="16" t="inlineStr">
        <is>
          <t>Unit</t>
        </is>
      </c>
      <c r="E2067" s="17" t="inlineStr">
        <is>
          <t>SeatHoldTest › HanGiuCho</t>
        </is>
      </c>
      <c r="F2067" s="17" t="inlineStr">
        <is>
          <t>Hạn giữ chỗ</t>
        </is>
      </c>
      <c r="G2067" s="17" t="inlineStr">
        <is>
          <t>Một nano giây trước hạn vẫn dùng được</t>
        </is>
      </c>
      <c r="H2067" s="17" t="inlineStr">
        <is>
          <t>truoc_han_dung_duoc</t>
        </is>
      </c>
      <c r="I2067" s="16" t="inlineStr">
        <is>
          <t>Đạt</t>
        </is>
      </c>
      <c r="J2067" s="16" t="n">
        <v>0</v>
      </c>
    </row>
    <row r="2068">
      <c r="A2068" s="16" t="n">
        <v>2064</v>
      </c>
      <c r="B2068" s="16" t="inlineStr">
        <is>
          <t>Backend</t>
        </is>
      </c>
      <c r="C2068" s="17" t="inlineStr">
        <is>
          <t>inventory-service</t>
        </is>
      </c>
      <c r="D2068" s="16" t="inlineStr">
        <is>
          <t>Unit</t>
        </is>
      </c>
      <c r="E2068" s="17" t="inlineStr">
        <is>
          <t>SeatHoldTest › KhoiTao</t>
        </is>
      </c>
      <c r="F2068" s="17" t="inlineStr">
        <is>
          <t>Khởi tạo</t>
        </is>
      </c>
      <c r="G2068" s="17" t="inlineStr">
        <is>
          <t>Danh sách chỗ được sao chép: sửa danh sách gốc không đổi aggregate</t>
        </is>
      </c>
      <c r="H2068" s="17" t="inlineStr">
        <is>
          <t>sao_chep_danh_sach_cho</t>
        </is>
      </c>
      <c r="I2068" s="16" t="inlineStr">
        <is>
          <t>Đạt</t>
        </is>
      </c>
      <c r="J2068" s="16" t="n">
        <v>0.001</v>
      </c>
    </row>
    <row r="2069">
      <c r="A2069" s="16" t="n">
        <v>2065</v>
      </c>
      <c r="B2069" s="16" t="inlineStr">
        <is>
          <t>Backend</t>
        </is>
      </c>
      <c r="C2069" s="17" t="inlineStr">
        <is>
          <t>inventory-service</t>
        </is>
      </c>
      <c r="D2069" s="16" t="inlineStr">
        <is>
          <t>Unit</t>
        </is>
      </c>
      <c r="E2069" s="17" t="inlineStr">
        <is>
          <t>SeatHoldTest › KhoiTao</t>
        </is>
      </c>
      <c r="F2069" s="17" t="inlineStr">
        <is>
          <t>Khởi tạo</t>
        </is>
      </c>
      <c r="G2069" s="17" t="inlineStr">
        <is>
          <t>Giữ chỗ mới ở trạng thái ACTIVE, kích thước bằng số chỗ</t>
        </is>
      </c>
      <c r="H2069" s="17" t="inlineStr">
        <is>
          <t>moi_tao_la_active</t>
        </is>
      </c>
      <c r="I2069" s="16" t="inlineStr">
        <is>
          <t>Đạt</t>
        </is>
      </c>
      <c r="J2069" s="16" t="n">
        <v>0.002</v>
      </c>
    </row>
    <row r="2070">
      <c r="A2070" s="16" t="n">
        <v>2066</v>
      </c>
      <c r="B2070" s="16" t="inlineStr">
        <is>
          <t>Backend</t>
        </is>
      </c>
      <c r="C2070" s="17" t="inlineStr">
        <is>
          <t>inventory-service</t>
        </is>
      </c>
      <c r="D2070" s="16" t="inlineStr">
        <is>
          <t>Unit</t>
        </is>
      </c>
      <c r="E2070" s="17" t="inlineStr">
        <is>
          <t>SeatHoldTest › KhoiTao</t>
        </is>
      </c>
      <c r="F2070" s="17" t="inlineStr">
        <is>
          <t>Khởi tạo</t>
        </is>
      </c>
      <c r="G2070" s="17" t="inlineStr">
        <is>
          <t>Giữ chỗ rỗng bị từ chối ngay từ factory</t>
        </is>
      </c>
      <c r="H2070" s="17" t="inlineStr">
        <is>
          <t>giu_cho_rong_bi_tu_choi</t>
        </is>
      </c>
      <c r="I2070" s="16" t="inlineStr">
        <is>
          <t>Đạt</t>
        </is>
      </c>
      <c r="J2070" s="16" t="n">
        <v>0.002</v>
      </c>
    </row>
    <row r="2071">
      <c r="A2071" s="16" t="n">
        <v>2067</v>
      </c>
      <c r="B2071" s="16" t="inlineStr">
        <is>
          <t>Backend</t>
        </is>
      </c>
      <c r="C2071" s="17" t="inlineStr">
        <is>
          <t>inventory-service</t>
        </is>
      </c>
      <c r="D2071" s="16" t="inlineStr">
        <is>
          <t>Unit</t>
        </is>
      </c>
      <c r="E2071" s="17" t="inlineStr">
        <is>
          <t>SessionInventoryTest</t>
        </is>
      </c>
      <c r="F2071" s="17" t="inlineStr"/>
      <c r="G2071" s="17" t="inlineStr">
        <is>
          <t>Hạn giữ chỗ tính từ thời điểm truyền vào cộng TTL của suất</t>
        </is>
      </c>
      <c r="H2071" s="17" t="inlineStr">
        <is>
          <t>han_giu_cho</t>
        </is>
      </c>
      <c r="I2071" s="16" t="inlineStr">
        <is>
          <t>Đạt</t>
        </is>
      </c>
      <c r="J2071" s="16" t="n">
        <v>0.001</v>
      </c>
    </row>
    <row r="2072">
      <c r="A2072" s="16" t="n">
        <v>2068</v>
      </c>
      <c r="B2072" s="16" t="inlineStr">
        <is>
          <t>Backend</t>
        </is>
      </c>
      <c r="C2072" s="17" t="inlineStr">
        <is>
          <t>inventory-service</t>
        </is>
      </c>
      <c r="D2072" s="16" t="inlineStr">
        <is>
          <t>Unit</t>
        </is>
      </c>
      <c r="E2072" s="17" t="inlineStr">
        <is>
          <t>SessionInventoryTest › BienTranMuaVe</t>
        </is>
      </c>
      <c r="F2072" s="17" t="inlineStr">
        <is>
          <t>Biên của trần mua vé</t>
        </is>
      </c>
      <c r="G2072" s="17" t="inlineStr">
        <is>
          <t>Đúng bằng trần là đạt, vượt một là vi phạm — cho từng ô</t>
        </is>
      </c>
      <c r="H2072" s="17" t="inlineStr">
        <is>
          <t>dung_bang_tran</t>
        </is>
      </c>
      <c r="I2072" s="16" t="inlineStr">
        <is>
          <t>Đạt</t>
        </is>
      </c>
      <c r="J2072" s="16" t="n">
        <v>0.001</v>
      </c>
    </row>
    <row r="2073">
      <c r="A2073" s="16" t="n">
        <v>2069</v>
      </c>
      <c r="B2073" s="16" t="inlineStr">
        <is>
          <t>Backend</t>
        </is>
      </c>
      <c r="C2073" s="17" t="inlineStr">
        <is>
          <t>inventory-service</t>
        </is>
      </c>
      <c r="D2073" s="16" t="inlineStr">
        <is>
          <t>Unit</t>
        </is>
      </c>
      <c r="E2073" s="17" t="inlineStr">
        <is>
          <t>SessionInventoryTest › BienTranMuaVe</t>
        </is>
      </c>
      <c r="F2073" s="17" t="inlineStr">
        <is>
          <t>Biên của trần mua vé</t>
        </is>
      </c>
      <c r="G2073" s="17" t="inlineStr">
        <is>
          <t>Vượt cả trần ngồi lẫn trần đứng: báo vé ngồi trước, thứ tự kiểm cố định</t>
        </is>
      </c>
      <c r="H2073" s="17" t="inlineStr">
        <is>
          <t>thu_tu_bao_loi</t>
        </is>
      </c>
      <c r="I2073" s="16" t="inlineStr">
        <is>
          <t>Đạt</t>
        </is>
      </c>
      <c r="J2073" s="16" t="n">
        <v>0.001</v>
      </c>
    </row>
    <row r="2074">
      <c r="A2074" s="16" t="n">
        <v>2070</v>
      </c>
      <c r="B2074" s="16" t="inlineStr">
        <is>
          <t>Backend</t>
        </is>
      </c>
      <c r="C2074" s="17" t="inlineStr">
        <is>
          <t>inventory-service</t>
        </is>
      </c>
      <c r="D2074" s="16" t="inlineStr">
        <is>
          <t>Unit</t>
        </is>
      </c>
      <c r="E2074" s="17" t="inlineStr">
        <is>
          <t>SessionInventoryTest › BienTranMuaVe</t>
        </is>
      </c>
      <c r="F2074" s="17" t="inlineStr">
        <is>
          <t>Biên của trần mua vé</t>
        </is>
      </c>
      <c r="G2074" s="17" t="inlineStr">
        <is>
          <t>Số còn mua được không bao giờ âm, kể cả khi dữ liệu cũ đã vượt trần</t>
        </is>
      </c>
      <c r="H2074" s="17" t="inlineStr">
        <is>
          <t>con_lai_khong_am</t>
        </is>
      </c>
      <c r="I2074" s="16" t="inlineStr">
        <is>
          <t>Đạt</t>
        </is>
      </c>
      <c r="J2074" s="16" t="n">
        <v>0</v>
      </c>
    </row>
    <row r="2075">
      <c r="A2075" s="16" t="n">
        <v>2071</v>
      </c>
      <c r="B2075" s="16" t="inlineStr">
        <is>
          <t>Backend</t>
        </is>
      </c>
      <c r="C2075" s="17" t="inlineStr">
        <is>
          <t>inventory-service</t>
        </is>
      </c>
      <c r="D2075" s="16" t="inlineStr">
        <is>
          <t>Unit</t>
        </is>
      </c>
      <c r="E2075" s="17" t="inlineStr">
        <is>
          <t>SessionInventoryTest › BienTranMuaVe</t>
        </is>
      </c>
      <c r="F2075" s="17" t="inlineStr">
        <is>
          <t>Biên của trần mua vé</t>
        </is>
      </c>
      <c r="G2075" s="17" t="inlineStr">
        <is>
          <t>Trần không dương bị từ chối ở cả bốn ô — trần 0 là suất không bán được gì</t>
        </is>
      </c>
      <c r="H2075" s="17" t="inlineStr">
        <is>
          <t>tran_khong_duong(int)[1]</t>
        </is>
      </c>
      <c r="I2075" s="16" t="inlineStr">
        <is>
          <t>Đạt</t>
        </is>
      </c>
      <c r="J2075" s="16" t="n">
        <v>0.004</v>
      </c>
    </row>
    <row r="2076">
      <c r="A2076" s="16" t="n">
        <v>2072</v>
      </c>
      <c r="B2076" s="16" t="inlineStr">
        <is>
          <t>Backend</t>
        </is>
      </c>
      <c r="C2076" s="17" t="inlineStr">
        <is>
          <t>inventory-service</t>
        </is>
      </c>
      <c r="D2076" s="16" t="inlineStr">
        <is>
          <t>Unit</t>
        </is>
      </c>
      <c r="E2076" s="17" t="inlineStr">
        <is>
          <t>SessionInventoryTest › BienTranMuaVe</t>
        </is>
      </c>
      <c r="F2076" s="17" t="inlineStr">
        <is>
          <t>Biên của trần mua vé</t>
        </is>
      </c>
      <c r="G2076" s="17" t="inlineStr">
        <is>
          <t>Trần không dương bị từ chối ở cả bốn ô — trần 0 là suất không bán được gì</t>
        </is>
      </c>
      <c r="H2076" s="17" t="inlineStr">
        <is>
          <t>tran_khong_duong(int)[2]</t>
        </is>
      </c>
      <c r="I2076" s="16" t="inlineStr">
        <is>
          <t>Đạt</t>
        </is>
      </c>
      <c r="J2076" s="16" t="n">
        <v>0</v>
      </c>
    </row>
    <row r="2077">
      <c r="A2077" s="16" t="n">
        <v>2073</v>
      </c>
      <c r="B2077" s="16" t="inlineStr">
        <is>
          <t>Backend</t>
        </is>
      </c>
      <c r="C2077" s="17" t="inlineStr">
        <is>
          <t>inventory-service</t>
        </is>
      </c>
      <c r="D2077" s="16" t="inlineStr">
        <is>
          <t>Unit</t>
        </is>
      </c>
      <c r="E2077" s="17" t="inlineStr">
        <is>
          <t>SessionInventoryTest › KhungGioBan</t>
        </is>
      </c>
      <c r="F2077" s="17" t="inlineStr">
        <is>
          <t>Khung giờ bán</t>
        </is>
      </c>
      <c r="G2077" s="17" t="inlineStr">
        <is>
          <t>Đúng giờ mở là đã mở — biên trái đóng</t>
        </is>
      </c>
      <c r="H2077" s="17" t="inlineStr">
        <is>
          <t>dung_gio_mo</t>
        </is>
      </c>
      <c r="I2077" s="16" t="inlineStr">
        <is>
          <t>Đạt</t>
        </is>
      </c>
      <c r="J2077" s="16" t="n">
        <v>0.001</v>
      </c>
    </row>
    <row r="2078">
      <c r="A2078" s="16" t="n">
        <v>2074</v>
      </c>
      <c r="B2078" s="16" t="inlineStr">
        <is>
          <t>Backend</t>
        </is>
      </c>
      <c r="C2078" s="17" t="inlineStr">
        <is>
          <t>inventory-service</t>
        </is>
      </c>
      <c r="D2078" s="16" t="inlineStr">
        <is>
          <t>Unit</t>
        </is>
      </c>
      <c r="E2078" s="17" t="inlineStr">
        <is>
          <t>SessionInventoryTest › KhungGioBan</t>
        </is>
      </c>
      <c r="F2078" s="17" t="inlineStr">
        <is>
          <t>Khung giờ bán</t>
        </is>
      </c>
      <c r="G2078" s="17" t="inlineStr">
        <is>
          <t>Đúng giờ đóng là đã đóng — biên phải mở</t>
        </is>
      </c>
      <c r="H2078" s="17" t="inlineStr">
        <is>
          <t>dung_gio_dong</t>
        </is>
      </c>
      <c r="I2078" s="16" t="inlineStr">
        <is>
          <t>Đạt</t>
        </is>
      </c>
      <c r="J2078" s="16" t="n">
        <v>0.001</v>
      </c>
    </row>
    <row r="2079">
      <c r="A2079" s="16" t="n">
        <v>2075</v>
      </c>
      <c r="B2079" s="16" t="inlineStr">
        <is>
          <t>Backend</t>
        </is>
      </c>
      <c r="C2079" s="17" t="inlineStr">
        <is>
          <t>inventory-service</t>
        </is>
      </c>
      <c r="D2079" s="16" t="inlineStr">
        <is>
          <t>Unit</t>
        </is>
      </c>
      <c r="E2079" s="17" t="inlineStr">
        <is>
          <t>OrderListenersTest › OrderClosed</t>
        </is>
      </c>
      <c r="F2079" s="17" t="inlineStr">
        <is>
          <t>order.expired / order.cancelled</t>
        </is>
      </c>
      <c r="G2079" s="17" t="inlineStr">
        <is>
          <t>orderId không phải UUID: ack và bỏ, không ném để broker giao lại mãi</t>
        </is>
      </c>
      <c r="H2079" s="17" t="inlineStr">
        <is>
          <t>order_id_khong_phai_uuid</t>
        </is>
      </c>
      <c r="I2079" s="16" t="inlineStr">
        <is>
          <t>Đạt</t>
        </is>
      </c>
      <c r="J2079" s="16" t="n">
        <v>0.066</v>
      </c>
    </row>
    <row r="2080">
      <c r="A2080" s="16" t="n">
        <v>2076</v>
      </c>
      <c r="B2080" s="16" t="inlineStr">
        <is>
          <t>Backend</t>
        </is>
      </c>
      <c r="C2080" s="17" t="inlineStr">
        <is>
          <t>inventory-service</t>
        </is>
      </c>
      <c r="D2080" s="16" t="inlineStr">
        <is>
          <t>Unit</t>
        </is>
      </c>
      <c r="E2080" s="17" t="inlineStr">
        <is>
          <t>OrderListenersTest › OrderClosed</t>
        </is>
      </c>
      <c r="F2080" s="17" t="inlineStr">
        <is>
          <t>order.expired / order.cancelled</t>
        </is>
      </c>
      <c r="G2080" s="17" t="inlineStr">
        <is>
          <t>Message trùng: không nhả chỗ lần hai</t>
        </is>
      </c>
      <c r="H2080" s="17" t="inlineStr">
        <is>
          <t>message_trung</t>
        </is>
      </c>
      <c r="I2080" s="16" t="inlineStr">
        <is>
          <t>Đạt</t>
        </is>
      </c>
      <c r="J2080" s="16" t="n">
        <v>0.002</v>
      </c>
    </row>
    <row r="2081">
      <c r="A2081" s="16" t="n">
        <v>2077</v>
      </c>
      <c r="B2081" s="16" t="inlineStr">
        <is>
          <t>Backend</t>
        </is>
      </c>
      <c r="C2081" s="17" t="inlineStr">
        <is>
          <t>inventory-service</t>
        </is>
      </c>
      <c r="D2081" s="16" t="inlineStr">
        <is>
          <t>Unit</t>
        </is>
      </c>
      <c r="E2081" s="17" t="inlineStr">
        <is>
          <t>OrderListenersTest › OrderClosed</t>
        </is>
      </c>
      <c r="F2081" s="17" t="inlineStr">
        <is>
          <t>order.expired / order.cancelled</t>
        </is>
      </c>
      <c r="G2081" s="17" t="inlineStr">
        <is>
          <t>Đường HTTP đã nhả trước (cancel trả false): không ném</t>
        </is>
      </c>
      <c r="H2081" s="17" t="inlineStr">
        <is>
          <t>duong_nhanh_da_nha_truoc</t>
        </is>
      </c>
      <c r="I2081" s="16" t="inlineStr">
        <is>
          <t>Đạt</t>
        </is>
      </c>
      <c r="J2081" s="16" t="n">
        <v>0.005</v>
      </c>
    </row>
    <row r="2082">
      <c r="A2082" s="16" t="n">
        <v>2078</v>
      </c>
      <c r="B2082" s="16" t="inlineStr">
        <is>
          <t>Backend</t>
        </is>
      </c>
      <c r="C2082" s="17" t="inlineStr">
        <is>
          <t>inventory-service</t>
        </is>
      </c>
      <c r="D2082" s="16" t="inlineStr">
        <is>
          <t>Unit</t>
        </is>
      </c>
      <c r="E2082" s="17" t="inlineStr">
        <is>
          <t>OrderListenersTest › OrderClosed</t>
        </is>
      </c>
      <c r="F2082" s="17" t="inlineStr">
        <is>
          <t>order.expired / order.cancelled</t>
        </is>
      </c>
      <c r="G2082" s="17" t="inlineStr">
        <is>
          <t>messageId không phải UUID: ack và bỏ</t>
        </is>
      </c>
      <c r="H2082" s="17" t="inlineStr">
        <is>
          <t>message_id_hong</t>
        </is>
      </c>
      <c r="I2082" s="16" t="inlineStr">
        <is>
          <t>Đạt</t>
        </is>
      </c>
      <c r="J2082" s="16" t="n">
        <v>0.003</v>
      </c>
    </row>
    <row r="2083">
      <c r="A2083" s="16" t="n">
        <v>2079</v>
      </c>
      <c r="B2083" s="16" t="inlineStr">
        <is>
          <t>Backend</t>
        </is>
      </c>
      <c r="C2083" s="17" t="inlineStr">
        <is>
          <t>inventory-service</t>
        </is>
      </c>
      <c r="D2083" s="16" t="inlineStr">
        <is>
          <t>Unit</t>
        </is>
      </c>
      <c r="E2083" s="17" t="inlineStr">
        <is>
          <t>OrderListenersTest › OrderClosed</t>
        </is>
      </c>
      <c r="F2083" s="17" t="inlineStr">
        <is>
          <t>order.expired / order.cancelled</t>
        </is>
      </c>
      <c r="G2083" s="17" t="inlineStr">
        <is>
          <t>order.expired: nhả chỗ của đúng đơn, đánh dấu trên queue riêng của consumer này</t>
        </is>
      </c>
      <c r="H2083" s="17" t="inlineStr">
        <is>
          <t>don_het_han_nha_cho</t>
        </is>
      </c>
      <c r="I2083" s="16" t="inlineStr">
        <is>
          <t>Đạt</t>
        </is>
      </c>
      <c r="J2083" s="16" t="n">
        <v>0.003</v>
      </c>
    </row>
    <row r="2084">
      <c r="A2084" s="16" t="n">
        <v>2080</v>
      </c>
      <c r="B2084" s="16" t="inlineStr">
        <is>
          <t>Backend</t>
        </is>
      </c>
      <c r="C2084" s="17" t="inlineStr">
        <is>
          <t>inventory-service</t>
        </is>
      </c>
      <c r="D2084" s="16" t="inlineStr">
        <is>
          <t>Unit</t>
        </is>
      </c>
      <c r="E2084" s="17" t="inlineStr">
        <is>
          <t>OrderListenersTest › OrderClosed</t>
        </is>
      </c>
      <c r="F2084" s="17" t="inlineStr">
        <is>
          <t>order.expired / order.cancelled</t>
        </is>
      </c>
      <c r="G2084" s="17" t="inlineStr">
        <is>
          <t>orderId null trong JSON: ack và bỏ</t>
        </is>
      </c>
      <c r="H2084" s="17" t="inlineStr">
        <is>
          <t>order_id_null</t>
        </is>
      </c>
      <c r="I2084" s="16" t="inlineStr">
        <is>
          <t>Đạt</t>
        </is>
      </c>
      <c r="J2084" s="16" t="n">
        <v>0.003</v>
      </c>
    </row>
    <row r="2085">
      <c r="A2085" s="16" t="n">
        <v>2081</v>
      </c>
      <c r="B2085" s="16" t="inlineStr">
        <is>
          <t>Backend</t>
        </is>
      </c>
      <c r="C2085" s="17" t="inlineStr">
        <is>
          <t>inventory-service</t>
        </is>
      </c>
      <c r="D2085" s="16" t="inlineStr">
        <is>
          <t>Unit</t>
        </is>
      </c>
      <c r="E2085" s="17" t="inlineStr">
        <is>
          <t>OrderListenersTest › OrderClosed</t>
        </is>
      </c>
      <c r="F2085" s="17" t="inlineStr">
        <is>
          <t>order.expired / order.cancelled</t>
        </is>
      </c>
      <c r="G2085" s="17" t="inlineStr">
        <is>
          <t>order.cancelled đi cùng đường với order.expired</t>
        </is>
      </c>
      <c r="H2085" s="17" t="inlineStr">
        <is>
          <t>don_huy_cung_duong</t>
        </is>
      </c>
      <c r="I2085" s="16" t="inlineStr">
        <is>
          <t>Đạt</t>
        </is>
      </c>
      <c r="J2085" s="16" t="n">
        <v>0.001</v>
      </c>
    </row>
    <row r="2086">
      <c r="A2086" s="16" t="n">
        <v>2082</v>
      </c>
      <c r="B2086" s="16" t="inlineStr">
        <is>
          <t>Backend</t>
        </is>
      </c>
      <c r="C2086" s="17" t="inlineStr">
        <is>
          <t>inventory-service</t>
        </is>
      </c>
      <c r="D2086" s="16" t="inlineStr">
        <is>
          <t>Unit</t>
        </is>
      </c>
      <c r="E2086" s="17" t="inlineStr">
        <is>
          <t>OrderListenersTest › OrderPaid</t>
        </is>
      </c>
      <c r="F2086" s="17" t="inlineStr">
        <is>
          <t>order.paid</t>
        </is>
      </c>
      <c r="G2086" s="17" t="inlineStr">
        <is>
          <t>Message hợp lệ: chốt bán đúng đơn, đánh dấu theo messageId trên đúng queue</t>
        </is>
      </c>
      <c r="H2086" s="17" t="inlineStr">
        <is>
          <t>chot_ban_dung_don</t>
        </is>
      </c>
      <c r="I2086" s="16" t="inlineStr">
        <is>
          <t>Đạt</t>
        </is>
      </c>
      <c r="J2086" s="16" t="n">
        <v>0.002</v>
      </c>
    </row>
    <row r="2087">
      <c r="A2087" s="16" t="n">
        <v>2083</v>
      </c>
      <c r="B2087" s="16" t="inlineStr">
        <is>
          <t>Backend</t>
        </is>
      </c>
      <c r="C2087" s="17" t="inlineStr">
        <is>
          <t>inventory-service</t>
        </is>
      </c>
      <c r="D2087" s="16" t="inlineStr">
        <is>
          <t>Unit</t>
        </is>
      </c>
      <c r="E2087" s="17" t="inlineStr">
        <is>
          <t>OrderListenersTest › OrderPaid</t>
        </is>
      </c>
      <c r="F2087" s="17" t="inlineStr">
        <is>
          <t>order.paid</t>
        </is>
      </c>
      <c r="G2087" s="17" t="inlineStr">
        <is>
          <t>Không có gì để chốt (handler trả false): không ném — giao lại cũng không đổi được gì</t>
        </is>
      </c>
      <c r="H2087" s="17" t="inlineStr">
        <is>
          <t>khong_co_gi_de_chot</t>
        </is>
      </c>
      <c r="I2087" s="16" t="inlineStr">
        <is>
          <t>Đạt</t>
        </is>
      </c>
      <c r="J2087" s="16" t="n">
        <v>0.003</v>
      </c>
    </row>
    <row r="2088">
      <c r="A2088" s="16" t="n">
        <v>2084</v>
      </c>
      <c r="B2088" s="16" t="inlineStr">
        <is>
          <t>Backend</t>
        </is>
      </c>
      <c r="C2088" s="17" t="inlineStr">
        <is>
          <t>inventory-service</t>
        </is>
      </c>
      <c r="D2088" s="16" t="inlineStr">
        <is>
          <t>Unit</t>
        </is>
      </c>
      <c r="E2088" s="17" t="inlineStr">
        <is>
          <t>OrderListenersTest › OrderPaid</t>
        </is>
      </c>
      <c r="F2088" s="17" t="inlineStr">
        <is>
          <t>order.paid</t>
        </is>
      </c>
      <c r="G2088" s="17" t="inlineStr">
        <is>
          <t>orderId không phải UUID: message hỏng vĩnh viễn — ack và bỏ, không ném để broker giao lại mãi</t>
        </is>
      </c>
      <c r="H2088" s="17" t="inlineStr">
        <is>
          <t>order_id_khong_phai_uuid</t>
        </is>
      </c>
      <c r="I2088" s="16" t="inlineStr">
        <is>
          <t>Đạt</t>
        </is>
      </c>
      <c r="J2088" s="16" t="n">
        <v>0.004</v>
      </c>
    </row>
    <row r="2089">
      <c r="A2089" s="16" t="n">
        <v>2085</v>
      </c>
      <c r="B2089" s="16" t="inlineStr">
        <is>
          <t>Backend</t>
        </is>
      </c>
      <c r="C2089" s="17" t="inlineStr">
        <is>
          <t>inventory-service</t>
        </is>
      </c>
      <c r="D2089" s="16" t="inlineStr">
        <is>
          <t>Unit</t>
        </is>
      </c>
      <c r="E2089" s="17" t="inlineStr">
        <is>
          <t>OrderListenersTest › OrderPaid</t>
        </is>
      </c>
      <c r="F2089" s="17" t="inlineStr">
        <is>
          <t>order.paid</t>
        </is>
      </c>
      <c r="G2089" s="17" t="inlineStr">
        <is>
          <t>Message trùng (đã xử lý): không chốt bán lần hai</t>
        </is>
      </c>
      <c r="H2089" s="17" t="inlineStr">
        <is>
          <t>message_trung</t>
        </is>
      </c>
      <c r="I2089" s="16" t="inlineStr">
        <is>
          <t>Đạt</t>
        </is>
      </c>
      <c r="J2089" s="16" t="n">
        <v>0.002</v>
      </c>
    </row>
    <row r="2090">
      <c r="A2090" s="16" t="n">
        <v>2086</v>
      </c>
      <c r="B2090" s="16" t="inlineStr">
        <is>
          <t>Backend</t>
        </is>
      </c>
      <c r="C2090" s="17" t="inlineStr">
        <is>
          <t>inventory-service</t>
        </is>
      </c>
      <c r="D2090" s="16" t="inlineStr">
        <is>
          <t>Unit</t>
        </is>
      </c>
      <c r="E2090" s="17" t="inlineStr">
        <is>
          <t>OrderListenersTest › OrderPaid</t>
        </is>
      </c>
      <c r="F2090" s="17" t="inlineStr">
        <is>
          <t>order.paid</t>
        </is>
      </c>
      <c r="G2090" s="17" t="inlineStr">
        <is>
          <t>Không có messageId: ack và bỏ — không chống trùng được thì không xử lý</t>
        </is>
      </c>
      <c r="H2090" s="17" t="inlineStr">
        <is>
          <t>thieu_message_id</t>
        </is>
      </c>
      <c r="I2090" s="16" t="inlineStr">
        <is>
          <t>Đạt</t>
        </is>
      </c>
      <c r="J2090" s="16" t="n">
        <v>0.002</v>
      </c>
    </row>
    <row r="2091">
      <c r="A2091" s="16" t="n">
        <v>2087</v>
      </c>
      <c r="B2091" s="16" t="inlineStr">
        <is>
          <t>Backend</t>
        </is>
      </c>
      <c r="C2091" s="17" t="inlineStr">
        <is>
          <t>inventory-service</t>
        </is>
      </c>
      <c r="D2091" s="16" t="inlineStr">
        <is>
          <t>Unit</t>
        </is>
      </c>
      <c r="E2091" s="17" t="inlineStr">
        <is>
          <t>OrderListenersTest › OrderPaid</t>
        </is>
      </c>
      <c r="F2091" s="17" t="inlineStr">
        <is>
          <t>order.paid</t>
        </is>
      </c>
      <c r="G2091" s="17" t="inlineStr">
        <is>
          <t>Thiếu orderId: ack và bỏ, không gọi chốt bán với null</t>
        </is>
      </c>
      <c r="H2091" s="17" t="inlineStr">
        <is>
          <t>thieu_order_id</t>
        </is>
      </c>
      <c r="I2091" s="16" t="inlineStr">
        <is>
          <t>Đạt</t>
        </is>
      </c>
      <c r="J2091" s="16" t="n">
        <v>0.004</v>
      </c>
    </row>
    <row r="2092">
      <c r="A2092" s="16" t="n">
        <v>2088</v>
      </c>
      <c r="B2092" s="16" t="inlineStr">
        <is>
          <t>Backend</t>
        </is>
      </c>
      <c r="C2092" s="17" t="inlineStr">
        <is>
          <t>inventory-service</t>
        </is>
      </c>
      <c r="D2092" s="16" t="inlineStr">
        <is>
          <t>Unit</t>
        </is>
      </c>
      <c r="E2092" s="17" t="inlineStr">
        <is>
          <t>OrderListenersTest › OrderPaid</t>
        </is>
      </c>
      <c r="F2092" s="17" t="inlineStr">
        <is>
          <t>order.paid</t>
        </is>
      </c>
      <c r="G2092" s="17" t="inlineStr">
        <is>
          <t>Thân message không phải JSON: ack và bỏ, không ném</t>
        </is>
      </c>
      <c r="H2092" s="17" t="inlineStr">
        <is>
          <t>than_hong</t>
        </is>
      </c>
      <c r="I2092" s="16" t="inlineStr">
        <is>
          <t>Đạt</t>
        </is>
      </c>
      <c r="J2092" s="16" t="n">
        <v>0.005</v>
      </c>
    </row>
    <row r="2093">
      <c r="A2093" s="16" t="n">
        <v>2089</v>
      </c>
      <c r="B2093" s="16" t="inlineStr">
        <is>
          <t>Backend</t>
        </is>
      </c>
      <c r="C2093" s="17" t="inlineStr">
        <is>
          <t>inventory-service</t>
        </is>
      </c>
      <c r="D2093" s="16" t="inlineStr">
        <is>
          <t>Unit</t>
        </is>
      </c>
      <c r="E2093" s="17" t="inlineStr">
        <is>
          <t>SessionPublishedListenerTest › DichPayload</t>
        </is>
      </c>
      <c r="F2093" s="17" t="inlineStr">
        <is>
          <t>Dịch payload</t>
        </is>
      </c>
      <c r="G2093" s="17" t="inlineStr">
        <is>
          <t>Đủ mọi trường: manifest mang đúng suất, cửa bán, trần, ghế và khối vé đứng</t>
        </is>
      </c>
      <c r="H2093" s="17" t="inlineStr">
        <is>
          <t>dich_du_truong</t>
        </is>
      </c>
      <c r="I2093" s="16" t="inlineStr">
        <is>
          <t>Đạt</t>
        </is>
      </c>
      <c r="J2093" s="16" t="n">
        <v>0.012</v>
      </c>
    </row>
    <row r="2094">
      <c r="A2094" s="16" t="n">
        <v>2090</v>
      </c>
      <c r="B2094" s="16" t="inlineStr">
        <is>
          <t>Backend</t>
        </is>
      </c>
      <c r="C2094" s="17" t="inlineStr">
        <is>
          <t>inventory-service</t>
        </is>
      </c>
      <c r="D2094" s="16" t="inlineStr">
        <is>
          <t>Unit</t>
        </is>
      </c>
      <c r="E2094" s="17" t="inlineStr">
        <is>
          <t>SessionPublishedListenerTest › DuLieuMau</t>
        </is>
      </c>
      <c r="F2094" s="17" t="inlineStr">
        <is>
          <t>Dữ liệu mẫu chỉ cho suất vừa dựng</t>
        </is>
      </c>
      <c r="G2094" s="17" t="inlineStr">
        <is>
          <t>Suất vừa dựng: áp dữ liệu mẫu cho đúng suất và tổ chức</t>
        </is>
      </c>
      <c r="H2094" s="17" t="inlineStr">
        <is>
          <t>suat_vua_dung</t>
        </is>
      </c>
      <c r="I2094" s="16" t="inlineStr">
        <is>
          <t>Đạt</t>
        </is>
      </c>
      <c r="J2094" s="16" t="n">
        <v>0.003</v>
      </c>
    </row>
    <row r="2095">
      <c r="A2095" s="16" t="n">
        <v>2091</v>
      </c>
      <c r="B2095" s="16" t="inlineStr">
        <is>
          <t>Backend</t>
        </is>
      </c>
      <c r="C2095" s="17" t="inlineStr">
        <is>
          <t>inventory-service</t>
        </is>
      </c>
      <c r="D2095" s="16" t="inlineStr">
        <is>
          <t>Unit</t>
        </is>
      </c>
      <c r="E2095" s="17" t="inlineStr">
        <is>
          <t>SessionPublishedListenerTest › DuLieuMau</t>
        </is>
      </c>
      <c r="F2095" s="17" t="inlineStr">
        <is>
          <t>Dữ liệu mẫu chỉ cho suất vừa dựng</t>
        </is>
      </c>
      <c r="G2095" s="17" t="inlineStr">
        <is>
          <t>Suất đã có tồn kho (materialize trả 0): KHÔNG bán thêm chỗ mẫu vào suất có thể đã bán thật</t>
        </is>
      </c>
      <c r="H2095" s="17" t="inlineStr">
        <is>
          <t>suat_da_co_ton_kho</t>
        </is>
      </c>
      <c r="I2095" s="16" t="inlineStr">
        <is>
          <t>Đạt</t>
        </is>
      </c>
      <c r="J2095" s="16" t="n">
        <v>0.003</v>
      </c>
    </row>
    <row r="2096">
      <c r="A2096" s="16" t="n">
        <v>2092</v>
      </c>
      <c r="B2096" s="16" t="inlineStr">
        <is>
          <t>Backend</t>
        </is>
      </c>
      <c r="C2096" s="17" t="inlineStr">
        <is>
          <t>inventory-service</t>
        </is>
      </c>
      <c r="D2096" s="16" t="inlineStr">
        <is>
          <t>Unit</t>
        </is>
      </c>
      <c r="E2096" s="17" t="inlineStr">
        <is>
          <t>SessionPublishedListenerTest › IdempotentVaMessageHong</t>
        </is>
      </c>
      <c r="F2096" s="17" t="inlineStr">
        <is>
          <t>Idempotent và message hỏng</t>
        </is>
      </c>
      <c r="G2096" s="17" t="inlineStr">
        <is>
          <t>Message trùng: không dựng lại</t>
        </is>
      </c>
      <c r="H2096" s="17" t="inlineStr">
        <is>
          <t>message_trung</t>
        </is>
      </c>
      <c r="I2096" s="16" t="inlineStr">
        <is>
          <t>Đạt</t>
        </is>
      </c>
      <c r="J2096" s="16" t="n">
        <v>0.006</v>
      </c>
    </row>
    <row r="2097">
      <c r="A2097" s="16" t="n">
        <v>2093</v>
      </c>
      <c r="B2097" s="16" t="inlineStr">
        <is>
          <t>Backend</t>
        </is>
      </c>
      <c r="C2097" s="17" t="inlineStr">
        <is>
          <t>inventory-service</t>
        </is>
      </c>
      <c r="D2097" s="16" t="inlineStr">
        <is>
          <t>Unit</t>
        </is>
      </c>
      <c r="E2097" s="17" t="inlineStr">
        <is>
          <t>SessionPublishedListenerTest › IdempotentVaMessageHong</t>
        </is>
      </c>
      <c r="F2097" s="17" t="inlineStr">
        <is>
          <t>Idempotent và message hỏng</t>
        </is>
      </c>
      <c r="G2097" s="17" t="inlineStr">
        <is>
          <t>Thân không phải JSON: ack và bỏ, không đánh dấu</t>
        </is>
      </c>
      <c r="H2097" s="17" t="inlineStr">
        <is>
          <t>than_khong_phai_json</t>
        </is>
      </c>
      <c r="I2097" s="16" t="inlineStr">
        <is>
          <t>Đạt</t>
        </is>
      </c>
      <c r="J2097" s="16" t="n">
        <v>0.003</v>
      </c>
    </row>
    <row r="2098">
      <c r="A2098" s="16" t="n">
        <v>2094</v>
      </c>
      <c r="B2098" s="16" t="inlineStr">
        <is>
          <t>Backend</t>
        </is>
      </c>
      <c r="C2098" s="17" t="inlineStr">
        <is>
          <t>inventory-service</t>
        </is>
      </c>
      <c r="D2098" s="16" t="inlineStr">
        <is>
          <t>Unit</t>
        </is>
      </c>
      <c r="E2098" s="17" t="inlineStr">
        <is>
          <t>SessionPublishedListenerTest › IdempotentVaMessageHong</t>
        </is>
      </c>
      <c r="F2098" s="17" t="inlineStr">
        <is>
          <t>Idempotent và message hỏng</t>
        </is>
      </c>
      <c r="G2098" s="17" t="inlineStr">
        <is>
          <t>Dựng tồn kho hỏng: ném lại để rollback cả dấu đã xử lý — message được giao lại</t>
        </is>
      </c>
      <c r="H2098" s="17" t="inlineStr">
        <is>
          <t>dung_hong_thi_nem_lai</t>
        </is>
      </c>
      <c r="I2098" s="16" t="inlineStr">
        <is>
          <t>Đạt</t>
        </is>
      </c>
      <c r="J2098" s="16" t="n">
        <v>0.019</v>
      </c>
    </row>
    <row r="2099">
      <c r="A2099" s="16" t="n">
        <v>2095</v>
      </c>
      <c r="B2099" s="16" t="inlineStr">
        <is>
          <t>Backend</t>
        </is>
      </c>
      <c r="C2099" s="17" t="inlineStr">
        <is>
          <t>inventory-service</t>
        </is>
      </c>
      <c r="D2099" s="16" t="inlineStr">
        <is>
          <t>Unit</t>
        </is>
      </c>
      <c r="E2099" s="17" t="inlineStr">
        <is>
          <t>SessionPublishedListenerTest › IdempotentVaMessageHong</t>
        </is>
      </c>
      <c r="F2099" s="17" t="inlineStr">
        <is>
          <t>Idempotent và message hỏng</t>
        </is>
      </c>
      <c r="G2099" s="17" t="inlineStr">
        <is>
          <t>Payload thiếu khối limits: message rác vĩnh viễn — ack và bỏ, không ném để chặn queue</t>
        </is>
      </c>
      <c r="H2099" s="17" t="inlineStr">
        <is>
          <t>thieu_limits_la_message_rac</t>
        </is>
      </c>
      <c r="I2099" s="16" t="inlineStr">
        <is>
          <t>Đạt</t>
        </is>
      </c>
      <c r="J2099" s="16" t="n">
        <v>0.004</v>
      </c>
    </row>
    <row r="2100">
      <c r="A2100" s="16" t="n">
        <v>2096</v>
      </c>
      <c r="B2100" s="16" t="inlineStr">
        <is>
          <t>Backend</t>
        </is>
      </c>
      <c r="C2100" s="17" t="inlineStr">
        <is>
          <t>inventory-service</t>
        </is>
      </c>
      <c r="D2100" s="16" t="inlineStr">
        <is>
          <t>Unit</t>
        </is>
      </c>
      <c r="E2100" s="17" t="inlineStr">
        <is>
          <t>RabbitAvailabilityPublisherTest</t>
        </is>
      </c>
      <c r="F2100" s="17" t="inlineStr"/>
      <c r="G2100" s="17" t="inlineStr">
        <is>
          <t>Broker chết: chỉ log, không ném</t>
        </is>
      </c>
      <c r="H2100" s="17" t="inlineStr">
        <is>
          <t>broker_chet_khong_nem</t>
        </is>
      </c>
      <c r="I2100" s="16" t="inlineStr">
        <is>
          <t>Đạt</t>
        </is>
      </c>
      <c r="J2100" s="16" t="n">
        <v>0.041</v>
      </c>
    </row>
    <row r="2101">
      <c r="A2101" s="16" t="n">
        <v>2097</v>
      </c>
      <c r="B2101" s="16" t="inlineStr">
        <is>
          <t>Backend</t>
        </is>
      </c>
      <c r="C2101" s="17" t="inlineStr">
        <is>
          <t>inventory-service</t>
        </is>
      </c>
      <c r="D2101" s="16" t="inlineStr">
        <is>
          <t>Unit</t>
        </is>
      </c>
      <c r="E2101" s="17" t="inlineStr">
        <is>
          <t>RabbitAvailabilityPublisherTest</t>
        </is>
      </c>
      <c r="F2101" s="17" t="inlineStr"/>
      <c r="G2101" s="17" t="inlineStr">
        <is>
          <t>Gửi vào fanout exchange với suất, version và thời điểm theo đồng hồ được tiêm</t>
        </is>
      </c>
      <c r="H2101" s="17" t="inlineStr">
        <is>
          <t>gui_dung_noi_dung</t>
        </is>
      </c>
      <c r="I2101" s="16" t="inlineStr">
        <is>
          <t>Đạt</t>
        </is>
      </c>
      <c r="J2101" s="16" t="n">
        <v>0.003</v>
      </c>
    </row>
    <row r="2102">
      <c r="A2102" s="16" t="n">
        <v>2098</v>
      </c>
      <c r="B2102" s="16" t="inlineStr">
        <is>
          <t>Backend</t>
        </is>
      </c>
      <c r="C2102" s="17" t="inlineStr">
        <is>
          <t>inventory-service</t>
        </is>
      </c>
      <c r="D2102" s="16" t="inlineStr">
        <is>
          <t>Unit</t>
        </is>
      </c>
      <c r="E2102" s="17" t="inlineStr">
        <is>
          <t>RedisAvailabilityGateTest › ChiemCho</t>
        </is>
      </c>
      <c r="F2102" s="17" t="inlineStr">
        <is>
          <t>Chiếm chỗ</t>
        </is>
      </c>
      <c r="G2102" s="17" t="inlineStr">
        <is>
          <t>Giá trị key là holdId:userId, TTL truyền dạng chuỗi giây</t>
        </is>
      </c>
      <c r="H2102" s="17" t="inlineStr">
        <is>
          <t>gia_tri_va_ttl</t>
        </is>
      </c>
      <c r="I2102" s="16" t="inlineStr">
        <is>
          <t>Đạt</t>
        </is>
      </c>
      <c r="J2102" s="16" t="n">
        <v>0.005</v>
      </c>
    </row>
    <row r="2103">
      <c r="A2103" s="16" t="n">
        <v>2099</v>
      </c>
      <c r="B2103" s="16" t="inlineStr">
        <is>
          <t>Backend</t>
        </is>
      </c>
      <c r="C2103" s="17" t="inlineStr">
        <is>
          <t>inventory-service</t>
        </is>
      </c>
      <c r="D2103" s="16" t="inlineStr">
        <is>
          <t>Unit</t>
        </is>
      </c>
      <c r="E2103" s="17" t="inlineStr">
        <is>
          <t>RedisAvailabilityGateTest › ChiemCho</t>
        </is>
      </c>
      <c r="F2103" s="17" t="inlineStr">
        <is>
          <t>Chiếm chỗ</t>
        </is>
      </c>
      <c r="G2103" s="17" t="inlineStr">
        <is>
          <t>Key mang hash tag của suất — mọi key của một suất cùng slot trên Redis Cluster</t>
        </is>
      </c>
      <c r="H2103" s="17" t="inlineStr">
        <is>
          <t>key_co_hash_tag</t>
        </is>
      </c>
      <c r="I2103" s="16" t="inlineStr">
        <is>
          <t>Đạt</t>
        </is>
      </c>
      <c r="J2103" s="16" t="n">
        <v>0.002</v>
      </c>
    </row>
    <row r="2104">
      <c r="A2104" s="16" t="n">
        <v>2100</v>
      </c>
      <c r="B2104" s="16" t="inlineStr">
        <is>
          <t>Backend</t>
        </is>
      </c>
      <c r="C2104" s="17" t="inlineStr">
        <is>
          <t>inventory-service</t>
        </is>
      </c>
      <c r="D2104" s="16" t="inlineStr">
        <is>
          <t>Unit</t>
        </is>
      </c>
      <c r="E2104" s="17" t="inlineStr">
        <is>
          <t>RedisAvailabilityGateTest › ChiemCho</t>
        </is>
      </c>
      <c r="F2104" s="17" t="inlineStr">
        <is>
          <t>Chiếm chỗ</t>
        </is>
      </c>
      <c r="G2104" s="17" t="inlineStr">
        <is>
          <t>Script trả các key đã bị chiếm: đọc ngược ra đúng id ghế</t>
        </is>
      </c>
      <c r="H2104" s="17" t="inlineStr">
        <is>
          <t>doc_nguoc_ghe_bi_chiem</t>
        </is>
      </c>
      <c r="I2104" s="16" t="inlineStr">
        <is>
          <t>Đạt</t>
        </is>
      </c>
      <c r="J2104" s="16" t="n">
        <v>0.004</v>
      </c>
    </row>
    <row r="2105">
      <c r="A2105" s="16" t="n">
        <v>2101</v>
      </c>
      <c r="B2105" s="16" t="inlineStr">
        <is>
          <t>Backend</t>
        </is>
      </c>
      <c r="C2105" s="17" t="inlineStr">
        <is>
          <t>inventory-service</t>
        </is>
      </c>
      <c r="D2105" s="16" t="inlineStr">
        <is>
          <t>Unit</t>
        </is>
      </c>
      <c r="E2105" s="17" t="inlineStr">
        <is>
          <t>RedisAvailabilityGateTest › ChiemCho</t>
        </is>
      </c>
      <c r="F2105" s="17" t="inlineStr">
        <is>
          <t>Chiếm chỗ</t>
        </is>
      </c>
      <c r="G2105" s="17" t="inlineStr">
        <is>
          <t>Danh sách ghế rỗng: không gọi Redis</t>
        </is>
      </c>
      <c r="H2105" s="17" t="inlineStr">
        <is>
          <t>danh_sach_rong</t>
        </is>
      </c>
      <c r="I2105" s="16" t="inlineStr">
        <is>
          <t>Đạt</t>
        </is>
      </c>
      <c r="J2105" s="16" t="n">
        <v>0.001</v>
      </c>
    </row>
    <row r="2106">
      <c r="A2106" s="16" t="n">
        <v>2102</v>
      </c>
      <c r="B2106" s="16" t="inlineStr">
        <is>
          <t>Backend</t>
        </is>
      </c>
      <c r="C2106" s="17" t="inlineStr">
        <is>
          <t>inventory-service</t>
        </is>
      </c>
      <c r="D2106" s="16" t="inlineStr">
        <is>
          <t>Unit</t>
        </is>
      </c>
      <c r="E2106" s="17" t="inlineStr">
        <is>
          <t>RedisAvailabilityGateTest › ChiemCho</t>
        </is>
      </c>
      <c r="F2106" s="17" t="inlineStr">
        <is>
          <t>Chiếm chỗ</t>
        </is>
      </c>
      <c r="G2106" s="17" t="inlineStr">
        <is>
          <t>Script trả null: coi như chiếm thành công, không NullPointerException</t>
        </is>
      </c>
      <c r="H2106" s="17" t="inlineStr">
        <is>
          <t>script_tra_null</t>
        </is>
      </c>
      <c r="I2106" s="16" t="inlineStr">
        <is>
          <t>Đạt</t>
        </is>
      </c>
      <c r="J2106" s="16" t="n">
        <v>0.002</v>
      </c>
    </row>
    <row r="2107">
      <c r="A2107" s="16" t="n">
        <v>2103</v>
      </c>
      <c r="B2107" s="16" t="inlineStr">
        <is>
          <t>Backend</t>
        </is>
      </c>
      <c r="C2107" s="17" t="inlineStr">
        <is>
          <t>inventory-service</t>
        </is>
      </c>
      <c r="D2107" s="16" t="inlineStr">
        <is>
          <t>Unit</t>
        </is>
      </c>
      <c r="E2107" s="17" t="inlineStr">
        <is>
          <t>RedisAvailabilityGateTest › NhaCho</t>
        </is>
      </c>
      <c r="F2107" s="17" t="inlineStr">
        <is>
          <t>Nhả chỗ</t>
        </is>
      </c>
      <c r="G2107" s="17" t="inlineStr">
        <is>
          <t>Danh sách rỗng: không gọi Redis</t>
        </is>
      </c>
      <c r="H2107" s="17" t="inlineStr">
        <is>
          <t>nha_rong</t>
        </is>
      </c>
      <c r="I2107" s="16" t="inlineStr">
        <is>
          <t>Đạt</t>
        </is>
      </c>
      <c r="J2107" s="16" t="n">
        <v>0.001</v>
      </c>
    </row>
    <row r="2108">
      <c r="A2108" s="16" t="n">
        <v>2104</v>
      </c>
      <c r="B2108" s="16" t="inlineStr">
        <is>
          <t>Backend</t>
        </is>
      </c>
      <c r="C2108" s="17" t="inlineStr">
        <is>
          <t>inventory-service</t>
        </is>
      </c>
      <c r="D2108" s="16" t="inlineStr">
        <is>
          <t>Unit</t>
        </is>
      </c>
      <c r="E2108" s="17" t="inlineStr">
        <is>
          <t>RedisAvailabilityGateTest › NhaCho</t>
        </is>
      </c>
      <c r="F2108" s="17" t="inlineStr">
        <is>
          <t>Nhả chỗ</t>
        </is>
      </c>
      <c r="G2108" s="17" t="inlineStr">
        <is>
          <t>Redis chết lúc nhả: nuốt lỗi — không làm hỏng transaction đã thành công, key tự hết TTL</t>
        </is>
      </c>
      <c r="H2108" s="17" t="inlineStr">
        <is>
          <t>redis_chet_luc_nha</t>
        </is>
      </c>
      <c r="I2108" s="16" t="inlineStr">
        <is>
          <t>Đạt</t>
        </is>
      </c>
      <c r="J2108" s="16" t="n">
        <v>0.026</v>
      </c>
    </row>
    <row r="2109">
      <c r="A2109" s="16" t="n">
        <v>2105</v>
      </c>
      <c r="B2109" s="16" t="inlineStr">
        <is>
          <t>Backend</t>
        </is>
      </c>
      <c r="C2109" s="17" t="inlineStr">
        <is>
          <t>inventory-service</t>
        </is>
      </c>
      <c r="D2109" s="16" t="inlineStr">
        <is>
          <t>Unit</t>
        </is>
      </c>
      <c r="E2109" s="17" t="inlineStr">
        <is>
          <t>RedisAvailabilityGateTest › NhaCho</t>
        </is>
      </c>
      <c r="F2109" s="17" t="inlineStr">
        <is>
          <t>Nhả chỗ</t>
        </is>
      </c>
      <c r="G2109" s="17" t="inlineStr">
        <is>
          <t>Xoá đúng các key của suất</t>
        </is>
      </c>
      <c r="H2109" s="17" t="inlineStr">
        <is>
          <t>xoa_dung_key</t>
        </is>
      </c>
      <c r="I2109" s="16" t="inlineStr">
        <is>
          <t>Đạt</t>
        </is>
      </c>
      <c r="J2109" s="16" t="n">
        <v>0.004</v>
      </c>
    </row>
    <row r="2110">
      <c r="A2110" s="16" t="n">
        <v>2106</v>
      </c>
      <c r="B2110" s="16" t="inlineStr">
        <is>
          <t>Backend</t>
        </is>
      </c>
      <c r="C2110" s="17" t="inlineStr">
        <is>
          <t>inventory-service</t>
        </is>
      </c>
      <c r="D2110" s="16" t="inlineStr">
        <is>
          <t>Unit</t>
        </is>
      </c>
      <c r="E2110" s="17" t="inlineStr">
        <is>
          <t>RedisAvailabilityGateTest › RedisChet</t>
        </is>
      </c>
      <c r="F2110" s="17" t="inlineStr">
        <is>
          <t>Redis không sẵn sàng</t>
        </is>
      </c>
      <c r="G2110" s="17" t="inlineStr">
        <is>
          <t>Lỗi Redis khác (script hỏng, timeout): cũng là GateUnavailableException</t>
        </is>
      </c>
      <c r="H2110" s="17" t="inlineStr">
        <is>
          <t>loi_redis_khac</t>
        </is>
      </c>
      <c r="I2110" s="16" t="inlineStr">
        <is>
          <t>Đạt</t>
        </is>
      </c>
      <c r="J2110" s="16" t="n">
        <v>0.005</v>
      </c>
    </row>
    <row r="2111">
      <c r="A2111" s="16" t="n">
        <v>2107</v>
      </c>
      <c r="B2111" s="16" t="inlineStr">
        <is>
          <t>Backend</t>
        </is>
      </c>
      <c r="C2111" s="17" t="inlineStr">
        <is>
          <t>inventory-service</t>
        </is>
      </c>
      <c r="D2111" s="16" t="inlineStr">
        <is>
          <t>Unit</t>
        </is>
      </c>
      <c r="E2111" s="17" t="inlineStr">
        <is>
          <t>RedisAvailabilityGateTest › RedisChet</t>
        </is>
      </c>
      <c r="F2111" s="17" t="inlineStr">
        <is>
          <t>Redis không sẵn sàng</t>
        </is>
      </c>
      <c r="G2111" s="17" t="inlineStr">
        <is>
          <t>Mất kết nối: GateUnavailableException — tầng trên trả 503, không fallback</t>
        </is>
      </c>
      <c r="H2111" s="17" t="inlineStr">
        <is>
          <t>mat_ket_noi</t>
        </is>
      </c>
      <c r="I2111" s="16" t="inlineStr">
        <is>
          <t>Đạt</t>
        </is>
      </c>
      <c r="J2111" s="16" t="n">
        <v>0.002</v>
      </c>
    </row>
    <row r="2112">
      <c r="A2112" s="16" t="n">
        <v>2108</v>
      </c>
      <c r="B2112" s="16" t="inlineStr">
        <is>
          <t>Backend</t>
        </is>
      </c>
      <c r="C2112" s="17" t="inlineStr">
        <is>
          <t>inventory-service</t>
        </is>
      </c>
      <c r="D2112" s="16" t="inlineStr">
        <is>
          <t>Unit</t>
        </is>
      </c>
      <c r="E2112" s="17" t="inlineStr">
        <is>
          <t>DemoOccupancyTest</t>
        </is>
      </c>
      <c r="F2112" s="17" t="inlineStr"/>
      <c r="G2112" s="17" t="inlineStr">
        <is>
          <t>Cờ tắt: không đụng database, kể cả suất của tổ chức mẫu</t>
        </is>
      </c>
      <c r="H2112" s="17" t="inlineStr">
        <is>
          <t>co_tat</t>
        </is>
      </c>
      <c r="I2112" s="16" t="inlineStr">
        <is>
          <t>Đạt</t>
        </is>
      </c>
      <c r="J2112" s="16" t="n">
        <v>0.001</v>
      </c>
    </row>
    <row r="2113">
      <c r="A2113" s="16" t="n">
        <v>2109</v>
      </c>
      <c r="B2113" s="16" t="inlineStr">
        <is>
          <t>Backend</t>
        </is>
      </c>
      <c r="C2113" s="17" t="inlineStr">
        <is>
          <t>inventory-service</t>
        </is>
      </c>
      <c r="D2113" s="16" t="inlineStr">
        <is>
          <t>Unit</t>
        </is>
      </c>
      <c r="E2113" s="17" t="inlineStr">
        <is>
          <t>DemoOccupancyTest</t>
        </is>
      </c>
      <c r="F2113" s="17" t="inlineStr"/>
      <c r="G2113" s="17" t="inlineStr">
        <is>
          <t>Cờ bật nhưng suất của tổ chức khác: không đụng database</t>
        </is>
      </c>
      <c r="H2113" s="17" t="inlineStr">
        <is>
          <t>to_chuc_khac</t>
        </is>
      </c>
      <c r="I2113" s="16" t="inlineStr">
        <is>
          <t>Đạt</t>
        </is>
      </c>
      <c r="J2113" s="16" t="n">
        <v>0.001</v>
      </c>
    </row>
    <row r="2114">
      <c r="A2114" s="16" t="n">
        <v>2110</v>
      </c>
      <c r="B2114" s="16" t="inlineStr">
        <is>
          <t>Backend</t>
        </is>
      </c>
      <c r="C2114" s="17" t="inlineStr">
        <is>
          <t>inventory-service</t>
        </is>
      </c>
      <c r="D2114" s="16" t="inlineStr">
        <is>
          <t>API slice</t>
        </is>
      </c>
      <c r="E2114" s="17" t="inlineStr">
        <is>
          <t>HoldControllerTest › BoGiuCho</t>
        </is>
      </c>
      <c r="F2114" s="17" t="inlineStr">
        <is>
          <t>Bỏ giữ chỗ</t>
        </is>
      </c>
      <c r="G2114" s="17" t="inlineStr">
        <is>
          <t>Giữ chỗ không có / của người khác: 404 HOLD_NOT_FOUND</t>
        </is>
      </c>
      <c r="H2114" s="17" t="inlineStr">
        <is>
          <t>khong_thay_404</t>
        </is>
      </c>
      <c r="I2114" s="16" t="inlineStr">
        <is>
          <t>Đạt</t>
        </is>
      </c>
      <c r="J2114" s="16" t="n">
        <v>0.233</v>
      </c>
    </row>
    <row r="2115">
      <c r="A2115" s="16" t="n">
        <v>2111</v>
      </c>
      <c r="B2115" s="16" t="inlineStr">
        <is>
          <t>Backend</t>
        </is>
      </c>
      <c r="C2115" s="17" t="inlineStr">
        <is>
          <t>inventory-service</t>
        </is>
      </c>
      <c r="D2115" s="16" t="inlineStr">
        <is>
          <t>API slice</t>
        </is>
      </c>
      <c r="E2115" s="17" t="inlineStr">
        <is>
          <t>HoldControllerTest › BoGiuCho</t>
        </is>
      </c>
      <c r="F2115" s="17" t="inlineStr">
        <is>
          <t>Bỏ giữ chỗ</t>
        </is>
      </c>
      <c r="G2115" s="17" t="inlineStr">
        <is>
          <t>Không đăng nhập: 401, không ai bỏ được giữ chỗ của người khác bằng cách ẩn danh</t>
        </is>
      </c>
      <c r="H2115" s="17" t="inlineStr">
        <is>
          <t>khong_dang_nhap</t>
        </is>
      </c>
      <c r="I2115" s="16" t="inlineStr">
        <is>
          <t>Đạt</t>
        </is>
      </c>
      <c r="J2115" s="16" t="n">
        <v>0.008999999999999999</v>
      </c>
    </row>
    <row r="2116">
      <c r="A2116" s="16" t="n">
        <v>2112</v>
      </c>
      <c r="B2116" s="16" t="inlineStr">
        <is>
          <t>Backend</t>
        </is>
      </c>
      <c r="C2116" s="17" t="inlineStr">
        <is>
          <t>inventory-service</t>
        </is>
      </c>
      <c r="D2116" s="16" t="inlineStr">
        <is>
          <t>API slice</t>
        </is>
      </c>
      <c r="E2116" s="17" t="inlineStr">
        <is>
          <t>HoldControllerTest › BoGiuCho</t>
        </is>
      </c>
      <c r="F2116" s="17" t="inlineStr">
        <is>
          <t>Bỏ giữ chỗ</t>
        </is>
      </c>
      <c r="G2116" s="17" t="inlineStr">
        <is>
          <t>Chủ sở hữu bỏ giữ chỗ: 204, handler nhận userId từ danh tính</t>
        </is>
      </c>
      <c r="H2116" s="17" t="inlineStr">
        <is>
          <t>bo_giu_cho_204</t>
        </is>
      </c>
      <c r="I2116" s="16" t="inlineStr">
        <is>
          <t>Đạt</t>
        </is>
      </c>
      <c r="J2116" s="16" t="n">
        <v>0.012</v>
      </c>
    </row>
    <row r="2117">
      <c r="A2117" s="16" t="n">
        <v>2113</v>
      </c>
      <c r="B2117" s="16" t="inlineStr">
        <is>
          <t>Backend</t>
        </is>
      </c>
      <c r="C2117" s="17" t="inlineStr">
        <is>
          <t>inventory-service</t>
        </is>
      </c>
      <c r="D2117" s="16" t="inlineStr">
        <is>
          <t>API slice</t>
        </is>
      </c>
      <c r="E2117" s="17" t="inlineStr">
        <is>
          <t>HoldControllerTest › GiuChoThanhCong</t>
        </is>
      </c>
      <c r="F2117" s="17" t="inlineStr">
        <is>
          <t>Giữ chỗ — đường thành công</t>
        </is>
      </c>
      <c r="G2117" s="17" t="inlineStr">
        <is>
          <t>201 kèm holdId, hạn, danh sách chỗ và version; userId lấy từ danh tính, không từ body</t>
        </is>
      </c>
      <c r="H2117" s="17" t="inlineStr">
        <is>
          <t>giu_cho_201</t>
        </is>
      </c>
      <c r="I2117" s="16" t="inlineStr">
        <is>
          <t>Đạt</t>
        </is>
      </c>
      <c r="J2117" s="16" t="n">
        <v>0.023</v>
      </c>
    </row>
    <row r="2118">
      <c r="A2118" s="16" t="n">
        <v>2114</v>
      </c>
      <c r="B2118" s="16" t="inlineStr">
        <is>
          <t>Backend</t>
        </is>
      </c>
      <c r="C2118" s="17" t="inlineStr">
        <is>
          <t>inventory-service</t>
        </is>
      </c>
      <c r="D2118" s="16" t="inlineStr">
        <is>
          <t>API slice</t>
        </is>
      </c>
      <c r="E2118" s="17" t="inlineStr">
        <is>
          <t>HoldControllerTest › GiuChoThanhCong</t>
        </is>
      </c>
      <c r="F2118" s="17" t="inlineStr">
        <is>
          <t>Giữ chỗ — đường thành công</t>
        </is>
      </c>
      <c r="G2118" s="17" t="inlineStr">
        <is>
          <t>Body chỉ có vé đứng: seatIds và seatedZones thành danh sách rỗng, không null</t>
        </is>
      </c>
      <c r="H2118" s="17" t="inlineStr">
        <is>
          <t>danh_sach_vang_mat_la_rong</t>
        </is>
      </c>
      <c r="I2118" s="16" t="inlineStr">
        <is>
          <t>Đạt</t>
        </is>
      </c>
      <c r="J2118" s="16" t="n">
        <v>0.01</v>
      </c>
    </row>
    <row r="2119">
      <c r="A2119" s="16" t="n">
        <v>2115</v>
      </c>
      <c r="B2119" s="16" t="inlineStr">
        <is>
          <t>Backend</t>
        </is>
      </c>
      <c r="C2119" s="17" t="inlineStr">
        <is>
          <t>inventory-service</t>
        </is>
      </c>
      <c r="D2119" s="16" t="inlineStr">
        <is>
          <t>API slice</t>
        </is>
      </c>
      <c r="E2119" s="17" t="inlineStr">
        <is>
          <t>HoldControllerTest › IdempotencyKey</t>
        </is>
      </c>
      <c r="F2119" s="17" t="inlineStr">
        <is>
          <t>Idempotency-Key</t>
        </is>
      </c>
      <c r="G2119" s="17" t="inlineStr">
        <is>
          <t>DELETE /holds không đòi khoá: nhả chỗ vốn đã idempotent</t>
        </is>
      </c>
      <c r="H2119" s="17" t="inlineStr">
        <is>
          <t>nha_cho_khong_can_khoa</t>
        </is>
      </c>
      <c r="I2119" s="16" t="inlineStr">
        <is>
          <t>Đạt</t>
        </is>
      </c>
      <c r="J2119" s="16" t="n">
        <v>0.006</v>
      </c>
    </row>
    <row r="2120">
      <c r="A2120" s="16" t="n">
        <v>2116</v>
      </c>
      <c r="B2120" s="16" t="inlineStr">
        <is>
          <t>Backend</t>
        </is>
      </c>
      <c r="C2120" s="17" t="inlineStr">
        <is>
          <t>inventory-service</t>
        </is>
      </c>
      <c r="D2120" s="16" t="inlineStr">
        <is>
          <t>API slice</t>
        </is>
      </c>
      <c r="E2120" s="17" t="inlineStr">
        <is>
          <t>HoldControllerTest › IdempotencyKey</t>
        </is>
      </c>
      <c r="F2120" s="17" t="inlineStr">
        <is>
          <t>Idempotency-Key</t>
        </is>
      </c>
      <c r="G2120" s="17" t="inlineStr">
        <is>
          <t>Khoá có khoảng trắng hoặc ký tự điều khiển: 400, không đi vào log hay khoá DB</t>
        </is>
      </c>
      <c r="H2120" s="17" t="inlineStr">
        <is>
          <t>khoa_sai_khuon</t>
        </is>
      </c>
      <c r="I2120" s="16" t="inlineStr">
        <is>
          <t>Đạt</t>
        </is>
      </c>
      <c r="J2120" s="16" t="n">
        <v>0.007</v>
      </c>
    </row>
    <row r="2121">
      <c r="A2121" s="16" t="n">
        <v>2117</v>
      </c>
      <c r="B2121" s="16" t="inlineStr">
        <is>
          <t>Backend</t>
        </is>
      </c>
      <c r="C2121" s="17" t="inlineStr">
        <is>
          <t>inventory-service</t>
        </is>
      </c>
      <c r="D2121" s="16" t="inlineStr">
        <is>
          <t>API slice</t>
        </is>
      </c>
      <c r="E2121" s="17" t="inlineStr">
        <is>
          <t>HoldControllerTest › IdempotencyKey</t>
        </is>
      </c>
      <c r="F2121" s="17" t="inlineStr">
        <is>
          <t>Idempotency-Key</t>
        </is>
      </c>
      <c r="G2121" s="17" t="inlineStr">
        <is>
          <t>Thiếu khoá: 400 IDEMPOTENCY_KEY_REQUIRED, handler không chạy — khách bấm hai lần không tự ăn hết hạn mức</t>
        </is>
      </c>
      <c r="H2121" s="17" t="inlineStr">
        <is>
          <t>thieu_khoa</t>
        </is>
      </c>
      <c r="I2121" s="16" t="inlineStr">
        <is>
          <t>Đạt</t>
        </is>
      </c>
      <c r="J2121" s="16" t="n">
        <v>0.005</v>
      </c>
    </row>
    <row r="2122">
      <c r="A2122" s="16" t="n">
        <v>2118</v>
      </c>
      <c r="B2122" s="16" t="inlineStr">
        <is>
          <t>Backend</t>
        </is>
      </c>
      <c r="C2122" s="17" t="inlineStr">
        <is>
          <t>inventory-service</t>
        </is>
      </c>
      <c r="D2122" s="16" t="inlineStr">
        <is>
          <t>API slice</t>
        </is>
      </c>
      <c r="E2122" s="17" t="inlineStr">
        <is>
          <t>HoldControllerTest › KiemTraRequest</t>
        </is>
      </c>
      <c r="F2122" s="17" t="inlineStr">
        <is>
          <t>Giữ chỗ — kiểm tra request</t>
        </is>
      </c>
      <c r="G2122" s="17" t="inlineStr">
        <is>
          <t>Số lượng vé ngồi theo khu âm: 400</t>
        </is>
      </c>
      <c r="H2122" s="17" t="inlineStr">
        <is>
          <t>so_luong_am</t>
        </is>
      </c>
      <c r="I2122" s="16" t="inlineStr">
        <is>
          <t>Đạt</t>
        </is>
      </c>
      <c r="J2122" s="16" t="n">
        <v>0.063</v>
      </c>
    </row>
    <row r="2123">
      <c r="A2123" s="16" t="n">
        <v>2119</v>
      </c>
      <c r="B2123" s="16" t="inlineStr">
        <is>
          <t>Backend</t>
        </is>
      </c>
      <c r="C2123" s="17" t="inlineStr">
        <is>
          <t>inventory-service</t>
        </is>
      </c>
      <c r="D2123" s="16" t="inlineStr">
        <is>
          <t>API slice</t>
        </is>
      </c>
      <c r="E2123" s="17" t="inlineStr">
        <is>
          <t>HoldControllerTest › KiemTraRequest</t>
        </is>
      </c>
      <c r="F2123" s="17" t="inlineStr">
        <is>
          <t>Giữ chỗ — kiểm tra request</t>
        </is>
      </c>
      <c r="G2123" s="17" t="inlineStr">
        <is>
          <t>seatIds chứa chuỗi không phải UUID: 400, không tới handler</t>
        </is>
      </c>
      <c r="H2123" s="17" t="inlineStr">
        <is>
          <t>seat_id_khong_phai_uuid</t>
        </is>
      </c>
      <c r="I2123" s="16" t="inlineStr">
        <is>
          <t>Đạt</t>
        </is>
      </c>
      <c r="J2123" s="16" t="n">
        <v>0.011</v>
      </c>
    </row>
    <row r="2124">
      <c r="A2124" s="16" t="n">
        <v>2120</v>
      </c>
      <c r="B2124" s="16" t="inlineStr">
        <is>
          <t>Backend</t>
        </is>
      </c>
      <c r="C2124" s="17" t="inlineStr">
        <is>
          <t>inventory-service</t>
        </is>
      </c>
      <c r="D2124" s="16" t="inlineStr">
        <is>
          <t>API slice</t>
        </is>
      </c>
      <c r="E2124" s="17" t="inlineStr">
        <is>
          <t>HoldControllerTest › KiemTraRequest</t>
        </is>
      </c>
      <c r="F2124" s="17" t="inlineStr">
        <is>
          <t>Giữ chỗ — kiểm tra request</t>
        </is>
      </c>
      <c r="G2124" s="17" t="inlineStr">
        <is>
          <t>JSON hỏng: 400 Malformed request body, không lộ thông điệp parser</t>
        </is>
      </c>
      <c r="H2124" s="17" t="inlineStr">
        <is>
          <t>json_hong</t>
        </is>
      </c>
      <c r="I2124" s="16" t="inlineStr">
        <is>
          <t>Đạt</t>
        </is>
      </c>
      <c r="J2124" s="16" t="n">
        <v>0.011</v>
      </c>
    </row>
    <row r="2125">
      <c r="A2125" s="16" t="n">
        <v>2121</v>
      </c>
      <c r="B2125" s="16" t="inlineStr">
        <is>
          <t>Backend</t>
        </is>
      </c>
      <c r="C2125" s="17" t="inlineStr">
        <is>
          <t>inventory-service</t>
        </is>
      </c>
      <c r="D2125" s="16" t="inlineStr">
        <is>
          <t>API slice</t>
        </is>
      </c>
      <c r="E2125" s="17" t="inlineStr">
        <is>
          <t>HoldControllerTest › KiemTraRequest</t>
        </is>
      </c>
      <c r="F2125" s="17" t="inlineStr">
        <is>
          <t>Giữ chỗ — kiểm tra request</t>
        </is>
      </c>
      <c r="G2125" s="17" t="inlineStr">
        <is>
          <t>Số lượng vé đứng bằng 0: 400 VALIDATION_FAILED chỉ đúng trường, handler không được gọi</t>
        </is>
      </c>
      <c r="H2125" s="17" t="inlineStr">
        <is>
          <t>so_luong_khong</t>
        </is>
      </c>
      <c r="I2125" s="16" t="inlineStr">
        <is>
          <t>Đạt</t>
        </is>
      </c>
      <c r="J2125" s="16" t="n">
        <v>0.013</v>
      </c>
    </row>
    <row r="2126">
      <c r="A2126" s="16" t="n">
        <v>2122</v>
      </c>
      <c r="B2126" s="16" t="inlineStr">
        <is>
          <t>Backend</t>
        </is>
      </c>
      <c r="C2126" s="17" t="inlineStr">
        <is>
          <t>inventory-service</t>
        </is>
      </c>
      <c r="D2126" s="16" t="inlineStr">
        <is>
          <t>API slice</t>
        </is>
      </c>
      <c r="E2126" s="17" t="inlineStr">
        <is>
          <t>HoldControllerTest › KiemTraRequest</t>
        </is>
      </c>
      <c r="F2126" s="17" t="inlineStr">
        <is>
          <t>Giữ chỗ — kiểm tra request</t>
        </is>
      </c>
      <c r="G2126" s="17" t="inlineStr">
        <is>
          <t>Thiếu body: 400</t>
        </is>
      </c>
      <c r="H2126" s="17" t="inlineStr">
        <is>
          <t>thieu_body</t>
        </is>
      </c>
      <c r="I2126" s="16" t="inlineStr">
        <is>
          <t>Đạt</t>
        </is>
      </c>
      <c r="J2126" s="16" t="n">
        <v>0.013</v>
      </c>
    </row>
    <row r="2127">
      <c r="A2127" s="16" t="n">
        <v>2123</v>
      </c>
      <c r="B2127" s="16" t="inlineStr">
        <is>
          <t>Backend</t>
        </is>
      </c>
      <c r="C2127" s="17" t="inlineStr">
        <is>
          <t>inventory-service</t>
        </is>
      </c>
      <c r="D2127" s="16" t="inlineStr">
        <is>
          <t>API slice</t>
        </is>
      </c>
      <c r="E2127" s="17" t="inlineStr">
        <is>
          <t>HoldControllerTest › KiemTraRequest</t>
        </is>
      </c>
      <c r="F2127" s="17" t="inlineStr">
        <is>
          <t>Giữ chỗ — kiểm tra request</t>
        </is>
      </c>
      <c r="G2127" s="17" t="inlineStr">
        <is>
          <t>Mã khu trắng: 400 chỉ ra trường zoneCode</t>
        </is>
      </c>
      <c r="H2127" s="17" t="inlineStr">
        <is>
          <t>ma_khu_trang</t>
        </is>
      </c>
      <c r="I2127" s="16" t="inlineStr">
        <is>
          <t>Đạt</t>
        </is>
      </c>
      <c r="J2127" s="16" t="n">
        <v>0.013</v>
      </c>
    </row>
    <row r="2128">
      <c r="A2128" s="16" t="n">
        <v>2124</v>
      </c>
      <c r="B2128" s="16" t="inlineStr">
        <is>
          <t>Backend</t>
        </is>
      </c>
      <c r="C2128" s="17" t="inlineStr">
        <is>
          <t>inventory-service</t>
        </is>
      </c>
      <c r="D2128" s="16" t="inlineStr">
        <is>
          <t>API slice</t>
        </is>
      </c>
      <c r="E2128" s="17" t="inlineStr">
        <is>
          <t>HoldControllerTest › LoiNghiepVu</t>
        </is>
      </c>
      <c r="F2128" s="17" t="inlineStr">
        <is>
          <t>Giữ chỗ — lỗi nghiệp vụ ra ngoài</t>
        </is>
      </c>
      <c r="G2128" s="17" t="inlineStr">
        <is>
          <t>Lỗi không lường trước: 500 với thông điệp chung, KHÔNG lộ thông điệp gốc</t>
        </is>
      </c>
      <c r="H2128" s="17" t="inlineStr">
        <is>
          <t>loi_khong_luong_truoc</t>
        </is>
      </c>
      <c r="I2128" s="16" t="inlineStr">
        <is>
          <t>Đạt</t>
        </is>
      </c>
      <c r="J2128" s="16" t="n">
        <v>0.144</v>
      </c>
    </row>
    <row r="2129">
      <c r="A2129" s="16" t="n">
        <v>2125</v>
      </c>
      <c r="B2129" s="16" t="inlineStr">
        <is>
          <t>Backend</t>
        </is>
      </c>
      <c r="C2129" s="17" t="inlineStr">
        <is>
          <t>inventory-service</t>
        </is>
      </c>
      <c r="D2129" s="16" t="inlineStr">
        <is>
          <t>API slice</t>
        </is>
      </c>
      <c r="E2129" s="17" t="inlineStr">
        <is>
          <t>HoldControllerTest › LoiNghiepVu</t>
        </is>
      </c>
      <c r="F2129" s="17" t="inlineStr">
        <is>
          <t>Giữ chỗ — lỗi nghiệp vụ ra ngoài</t>
        </is>
      </c>
      <c r="G2129" s="17" t="inlineStr">
        <is>
          <t>Vượt trần cộng dồn: 409 CUSTOMER_LIMIT_EXCEEDED kèm số vé còn mua được</t>
        </is>
      </c>
      <c r="H2129" s="17" t="inlineStr">
        <is>
          <t>vuot_tran_cong_don</t>
        </is>
      </c>
      <c r="I2129" s="16" t="inlineStr">
        <is>
          <t>Đạt</t>
        </is>
      </c>
      <c r="J2129" s="16" t="n">
        <v>0.021</v>
      </c>
    </row>
    <row r="2130">
      <c r="A2130" s="16" t="n">
        <v>2126</v>
      </c>
      <c r="B2130" s="16" t="inlineStr">
        <is>
          <t>Backend</t>
        </is>
      </c>
      <c r="C2130" s="17" t="inlineStr">
        <is>
          <t>inventory-service</t>
        </is>
      </c>
      <c r="D2130" s="16" t="inlineStr">
        <is>
          <t>API slice</t>
        </is>
      </c>
      <c r="E2130" s="17" t="inlineStr">
        <is>
          <t>HoldControllerTest › LoiNghiepVu</t>
        </is>
      </c>
      <c r="F2130" s="17" t="inlineStr">
        <is>
          <t>Giữ chỗ — lỗi nghiệp vụ ra ngoài</t>
        </is>
      </c>
      <c r="G2130" s="17" t="inlineStr">
        <is>
          <t>Ghế vừa bị chiếm: 409 SEAT_UNAVAILABLE kèm danh sách ghế mất trong meta</t>
        </is>
      </c>
      <c r="H2130" s="17" t="inlineStr">
        <is>
          <t>ghe_bi_chiem</t>
        </is>
      </c>
      <c r="I2130" s="16" t="inlineStr">
        <is>
          <t>Đạt</t>
        </is>
      </c>
      <c r="J2130" s="16" t="n">
        <v>0.028</v>
      </c>
    </row>
    <row r="2131">
      <c r="A2131" s="16" t="n">
        <v>2127</v>
      </c>
      <c r="B2131" s="16" t="inlineStr">
        <is>
          <t>Backend</t>
        </is>
      </c>
      <c r="C2131" s="17" t="inlineStr">
        <is>
          <t>inventory-service</t>
        </is>
      </c>
      <c r="D2131" s="16" t="inlineStr">
        <is>
          <t>API slice</t>
        </is>
      </c>
      <c r="E2131" s="17" t="inlineStr">
        <is>
          <t>HoldControllerTest › LoiNghiepVu</t>
        </is>
      </c>
      <c r="F2131" s="17" t="inlineStr">
        <is>
          <t>Giữ chỗ — lỗi nghiệp vụ ra ngoài</t>
        </is>
      </c>
      <c r="G2131" s="17" t="inlineStr">
        <is>
          <t>Redis chết: 503 INVENTORY_UNAVAILABLE để client thử lại</t>
        </is>
      </c>
      <c r="H2131" s="17" t="inlineStr">
        <is>
          <t>redis_chet</t>
        </is>
      </c>
      <c r="I2131" s="16" t="inlineStr">
        <is>
          <t>Đạt</t>
        </is>
      </c>
      <c r="J2131" s="16" t="n">
        <v>0.023</v>
      </c>
    </row>
    <row r="2132">
      <c r="A2132" s="16" t="n">
        <v>2128</v>
      </c>
      <c r="B2132" s="16" t="inlineStr">
        <is>
          <t>Backend</t>
        </is>
      </c>
      <c r="C2132" s="17" t="inlineStr">
        <is>
          <t>inventory-service</t>
        </is>
      </c>
      <c r="D2132" s="16" t="inlineStr">
        <is>
          <t>API slice</t>
        </is>
      </c>
      <c r="E2132" s="17" t="inlineStr">
        <is>
          <t>HoldControllerTest › XacThuc</t>
        </is>
      </c>
      <c r="F2132" s="17" t="inlineStr">
        <is>
          <t>Giữ chỗ — xác thực</t>
        </is>
      </c>
      <c r="G2132" s="17" t="inlineStr">
        <is>
          <t>JWT hợp lệ nhưng identity-service không trả lời: 401 UNAUTHENTICATED dạng RFC 7807</t>
        </is>
      </c>
      <c r="H2132" s="17" t="inlineStr">
        <is>
          <t>identity_khong_tra_loi</t>
        </is>
      </c>
      <c r="I2132" s="16" t="inlineStr">
        <is>
          <t>Đạt</t>
        </is>
      </c>
      <c r="J2132" s="16" t="n">
        <v>0.02</v>
      </c>
    </row>
    <row r="2133">
      <c r="A2133" s="16" t="n">
        <v>2129</v>
      </c>
      <c r="B2133" s="16" t="inlineStr">
        <is>
          <t>Backend</t>
        </is>
      </c>
      <c r="C2133" s="17" t="inlineStr">
        <is>
          <t>inventory-service</t>
        </is>
      </c>
      <c r="D2133" s="16" t="inlineStr">
        <is>
          <t>API slice</t>
        </is>
      </c>
      <c r="E2133" s="17" t="inlineStr">
        <is>
          <t>HoldControllerTest › XacThuc</t>
        </is>
      </c>
      <c r="F2133" s="17" t="inlineStr">
        <is>
          <t>Giữ chỗ — xác thực</t>
        </is>
      </c>
      <c r="G2133" s="17" t="inlineStr">
        <is>
          <t>Token giả mạo (decoder từ chối): 401</t>
        </is>
      </c>
      <c r="H2133" s="17" t="inlineStr">
        <is>
          <t>token_gia</t>
        </is>
      </c>
      <c r="I2133" s="16" t="inlineStr">
        <is>
          <t>Đạt</t>
        </is>
      </c>
      <c r="J2133" s="16" t="n">
        <v>0.017</v>
      </c>
    </row>
    <row r="2134">
      <c r="A2134" s="16" t="n">
        <v>2130</v>
      </c>
      <c r="B2134" s="16" t="inlineStr">
        <is>
          <t>Backend</t>
        </is>
      </c>
      <c r="C2134" s="17" t="inlineStr">
        <is>
          <t>inventory-service</t>
        </is>
      </c>
      <c r="D2134" s="16" t="inlineStr">
        <is>
          <t>API slice</t>
        </is>
      </c>
      <c r="E2134" s="17" t="inlineStr">
        <is>
          <t>HoldControllerTest › XacThuc</t>
        </is>
      </c>
      <c r="F2134" s="17" t="inlineStr">
        <is>
          <t>Giữ chỗ — xác thực</t>
        </is>
      </c>
      <c r="G2134" s="17" t="inlineStr">
        <is>
          <t>Không có token: 401 kèm WWW-Authenticate Bearer, handler không được gọi</t>
        </is>
      </c>
      <c r="H2134" s="17" t="inlineStr">
        <is>
          <t>khong_token</t>
        </is>
      </c>
      <c r="I2134" s="16" t="inlineStr">
        <is>
          <t>Đạt</t>
        </is>
      </c>
      <c r="J2134" s="16" t="n">
        <v>0.012</v>
      </c>
    </row>
    <row r="2135">
      <c r="A2135" s="16" t="n">
        <v>2131</v>
      </c>
      <c r="B2135" s="16" t="inlineStr">
        <is>
          <t>Backend</t>
        </is>
      </c>
      <c r="C2135" s="17" t="inlineStr">
        <is>
          <t>inventory-service</t>
        </is>
      </c>
      <c r="D2135" s="16" t="inlineStr">
        <is>
          <t>API slice</t>
        </is>
      </c>
      <c r="E2135" s="17" t="inlineStr">
        <is>
          <t>InternalReservationControllerTest › BiMatNoiBo</t>
        </is>
      </c>
      <c r="F2135" s="17" t="inlineStr">
        <is>
          <t>Bí mật nội bộ</t>
        </is>
      </c>
      <c r="G2135" s="17" t="inlineStr">
        <is>
          <t>JWT hợp lệ của khách KHÔNG thay được token nội bộ: vẫn 404</t>
        </is>
      </c>
      <c r="H2135" s="17" t="inlineStr">
        <is>
          <t>jwt_khach_khong_vao_duoc</t>
        </is>
      </c>
      <c r="I2135" s="16" t="inlineStr">
        <is>
          <t>Đạt</t>
        </is>
      </c>
      <c r="J2135" s="16" t="n">
        <v>0.006</v>
      </c>
    </row>
    <row r="2136">
      <c r="A2136" s="16" t="n">
        <v>2132</v>
      </c>
      <c r="B2136" s="16" t="inlineStr">
        <is>
          <t>Backend</t>
        </is>
      </c>
      <c r="C2136" s="17" t="inlineStr">
        <is>
          <t>inventory-service</t>
        </is>
      </c>
      <c r="D2136" s="16" t="inlineStr">
        <is>
          <t>API slice</t>
        </is>
      </c>
      <c r="E2136" s="17" t="inlineStr">
        <is>
          <t>InternalReservationControllerTest › BiMatNoiBo</t>
        </is>
      </c>
      <c r="F2136" s="17" t="inlineStr">
        <is>
          <t>Bí mật nội bộ</t>
        </is>
      </c>
      <c r="G2136" s="17" t="inlineStr">
        <is>
          <t>Không có X-Internal-Token: 404 — không xác nhận endpoint tồn tại</t>
        </is>
      </c>
      <c r="H2136" s="17" t="inlineStr">
        <is>
          <t>thieu_token_noi_bo</t>
        </is>
      </c>
      <c r="I2136" s="16" t="inlineStr">
        <is>
          <t>Đạt</t>
        </is>
      </c>
      <c r="J2136" s="16" t="n">
        <v>0.005</v>
      </c>
    </row>
    <row r="2137">
      <c r="A2137" s="16" t="n">
        <v>2133</v>
      </c>
      <c r="B2137" s="16" t="inlineStr">
        <is>
          <t>Backend</t>
        </is>
      </c>
      <c r="C2137" s="17" t="inlineStr">
        <is>
          <t>inventory-service</t>
        </is>
      </c>
      <c r="D2137" s="16" t="inlineStr">
        <is>
          <t>API slice</t>
        </is>
      </c>
      <c r="E2137" s="17" t="inlineStr">
        <is>
          <t>InternalReservationControllerTest › BiMatNoiBo</t>
        </is>
      </c>
      <c r="F2137" s="17" t="inlineStr">
        <is>
          <t>Bí mật nội bộ</t>
        </is>
      </c>
      <c r="G2137" s="17" t="inlineStr">
        <is>
          <t>Token nội bộ sai: 404</t>
        </is>
      </c>
      <c r="H2137" s="17" t="inlineStr">
        <is>
          <t>token_noi_bo_sai</t>
        </is>
      </c>
      <c r="I2137" s="16" t="inlineStr">
        <is>
          <t>Đạt</t>
        </is>
      </c>
      <c r="J2137" s="16" t="n">
        <v>0.007</v>
      </c>
    </row>
    <row r="2138">
      <c r="A2138" s="16" t="n">
        <v>2134</v>
      </c>
      <c r="B2138" s="16" t="inlineStr">
        <is>
          <t>Backend</t>
        </is>
      </c>
      <c r="C2138" s="17" t="inlineStr">
        <is>
          <t>inventory-service</t>
        </is>
      </c>
      <c r="D2138" s="16" t="inlineStr">
        <is>
          <t>API slice</t>
        </is>
      </c>
      <c r="E2138" s="17" t="inlineStr">
        <is>
          <t>InternalReservationControllerTest › BuTruVaChotBan</t>
        </is>
      </c>
      <c r="F2138" s="17" t="inlineStr">
        <is>
          <t>Bù trừ và chốt bán</t>
        </is>
      </c>
      <c r="G2138" s="17" t="inlineStr">
        <is>
          <t>Huỷ đặt chỗ không tồn tại: vẫn 204 — saga không được kẹt ở COMPENSATION_PENDING</t>
        </is>
      </c>
      <c r="H2138" s="17" t="inlineStr">
        <is>
          <t>huy_khong_ton_tai_204</t>
        </is>
      </c>
      <c r="I2138" s="16" t="inlineStr">
        <is>
          <t>Đạt</t>
        </is>
      </c>
      <c r="J2138" s="16" t="n">
        <v>0.008999999999999999</v>
      </c>
    </row>
    <row r="2139">
      <c r="A2139" s="16" t="n">
        <v>2135</v>
      </c>
      <c r="B2139" s="16" t="inlineStr">
        <is>
          <t>Backend</t>
        </is>
      </c>
      <c r="C2139" s="17" t="inlineStr">
        <is>
          <t>inventory-service</t>
        </is>
      </c>
      <c r="D2139" s="16" t="inlineStr">
        <is>
          <t>API slice</t>
        </is>
      </c>
      <c r="E2139" s="17" t="inlineStr">
        <is>
          <t>InternalReservationControllerTest › BuTruVaChotBan</t>
        </is>
      </c>
      <c r="F2139" s="17" t="inlineStr">
        <is>
          <t>Bù trừ và chốt bán</t>
        </is>
      </c>
      <c r="G2139" s="17" t="inlineStr">
        <is>
          <t>Chốt bán tay: 204 kể cả khi đã chốt trước đó</t>
        </is>
      </c>
      <c r="H2139" s="17" t="inlineStr">
        <is>
          <t>chot_ban_204</t>
        </is>
      </c>
      <c r="I2139" s="16" t="inlineStr">
        <is>
          <t>Đạt</t>
        </is>
      </c>
      <c r="J2139" s="16" t="n">
        <v>0.006</v>
      </c>
    </row>
    <row r="2140">
      <c r="A2140" s="16" t="n">
        <v>2136</v>
      </c>
      <c r="B2140" s="16" t="inlineStr">
        <is>
          <t>Backend</t>
        </is>
      </c>
      <c r="C2140" s="17" t="inlineStr">
        <is>
          <t>inventory-service</t>
        </is>
      </c>
      <c r="D2140" s="16" t="inlineStr">
        <is>
          <t>API slice</t>
        </is>
      </c>
      <c r="E2140" s="17" t="inlineStr">
        <is>
          <t>InternalReservationControllerTest › DatCho</t>
        </is>
      </c>
      <c r="F2140" s="17" t="inlineStr">
        <is>
          <t>Đặt chỗ</t>
        </is>
      </c>
      <c r="G2140" s="17" t="inlineStr">
        <is>
          <t>Giữ chỗ hết hạn: 409 HOLD_EXPIRED</t>
        </is>
      </c>
      <c r="H2140" s="17" t="inlineStr">
        <is>
          <t>giu_cho_het_han</t>
        </is>
      </c>
      <c r="I2140" s="16" t="inlineStr">
        <is>
          <t>Đạt</t>
        </is>
      </c>
      <c r="J2140" s="16" t="n">
        <v>0.022</v>
      </c>
    </row>
    <row r="2141">
      <c r="A2141" s="16" t="n">
        <v>2137</v>
      </c>
      <c r="B2141" s="16" t="inlineStr">
        <is>
          <t>Backend</t>
        </is>
      </c>
      <c r="C2141" s="17" t="inlineStr">
        <is>
          <t>inventory-service</t>
        </is>
      </c>
      <c r="D2141" s="16" t="inlineStr">
        <is>
          <t>API slice</t>
        </is>
      </c>
      <c r="E2141" s="17" t="inlineStr">
        <is>
          <t>InternalReservationControllerTest › DatCho</t>
        </is>
      </c>
      <c r="F2141" s="17" t="inlineStr">
        <is>
          <t>Đặt chỗ</t>
        </is>
      </c>
      <c r="G2141" s="17" t="inlineStr">
        <is>
          <t>Token đúng, không JWT: 200 với đúng tên field Ordering đọc</t>
        </is>
      </c>
      <c r="H2141" s="17" t="inlineStr">
        <is>
          <t>dat_cho_200</t>
        </is>
      </c>
      <c r="I2141" s="16" t="inlineStr">
        <is>
          <t>Đạt</t>
        </is>
      </c>
      <c r="J2141" s="16" t="n">
        <v>0.02</v>
      </c>
    </row>
    <row r="2142">
      <c r="A2142" s="16" t="n">
        <v>2138</v>
      </c>
      <c r="B2142" s="16" t="inlineStr">
        <is>
          <t>Backend</t>
        </is>
      </c>
      <c r="C2142" s="17" t="inlineStr">
        <is>
          <t>inventory-service</t>
        </is>
      </c>
      <c r="D2142" s="16" t="inlineStr">
        <is>
          <t>API slice</t>
        </is>
      </c>
      <c r="E2142" s="17" t="inlineStr">
        <is>
          <t>InternalReservationControllerTest › DatCho</t>
        </is>
      </c>
      <c r="F2142" s="17" t="inlineStr">
        <is>
          <t>Đặt chỗ</t>
        </is>
      </c>
      <c r="G2142" s="17" t="inlineStr">
        <is>
          <t>JSON hỏng: 400</t>
        </is>
      </c>
      <c r="H2142" s="17" t="inlineStr">
        <is>
          <t>json_hong</t>
        </is>
      </c>
      <c r="I2142" s="16" t="inlineStr">
        <is>
          <t>Đạt</t>
        </is>
      </c>
      <c r="J2142" s="16" t="n">
        <v>0.008</v>
      </c>
    </row>
    <row r="2143">
      <c r="A2143" s="16" t="n">
        <v>2139</v>
      </c>
      <c r="B2143" s="16" t="inlineStr">
        <is>
          <t>Backend</t>
        </is>
      </c>
      <c r="C2143" s="17" t="inlineStr">
        <is>
          <t>inventory-service</t>
        </is>
      </c>
      <c r="D2143" s="16" t="inlineStr">
        <is>
          <t>API slice</t>
        </is>
      </c>
      <c r="E2143" s="17" t="inlineStr">
        <is>
          <t>InternalReservationControllerTest › DatCho</t>
        </is>
      </c>
      <c r="F2143" s="17" t="inlineStr">
        <is>
          <t>Đặt chỗ</t>
        </is>
      </c>
      <c r="G2143" s="17" t="inlineStr">
        <is>
          <t>Thiếu orderId: 400 VALIDATION_FAILED — @NotNull trên ReserveRequest phải có tác dụng</t>
        </is>
      </c>
      <c r="H2143" s="17" t="inlineStr">
        <is>
          <t>thieu_order_id</t>
        </is>
      </c>
      <c r="I2143" s="16" t="inlineStr">
        <is>
          <t>Đạt</t>
        </is>
      </c>
      <c r="J2143" s="16" t="n">
        <v>0.012</v>
      </c>
    </row>
    <row r="2144">
      <c r="A2144" s="16" t="n">
        <v>2140</v>
      </c>
      <c r="B2144" s="16" t="inlineStr">
        <is>
          <t>Backend</t>
        </is>
      </c>
      <c r="C2144" s="17" t="inlineStr">
        <is>
          <t>inventory-service</t>
        </is>
      </c>
      <c r="D2144" s="16" t="inlineStr">
        <is>
          <t>API slice</t>
        </is>
      </c>
      <c r="E2144" s="17" t="inlineStr">
        <is>
          <t>InternalReservationControllerTest › DatCho</t>
        </is>
      </c>
      <c r="F2144" s="17" t="inlineStr">
        <is>
          <t>Đặt chỗ</t>
        </is>
      </c>
      <c r="G2144" s="17" t="inlineStr">
        <is>
          <t>Giữ chỗ của người khác: 403 HOLD_NOT_OWNED</t>
        </is>
      </c>
      <c r="H2144" s="17" t="inlineStr">
        <is>
          <t>giu_cho_nguoi_khac</t>
        </is>
      </c>
      <c r="I2144" s="16" t="inlineStr">
        <is>
          <t>Đạt</t>
        </is>
      </c>
      <c r="J2144" s="16" t="n">
        <v>0.008999999999999999</v>
      </c>
    </row>
    <row r="2145">
      <c r="A2145" s="16" t="n">
        <v>2141</v>
      </c>
      <c r="B2145" s="16" t="inlineStr">
        <is>
          <t>Backend</t>
        </is>
      </c>
      <c r="C2145" s="17" t="inlineStr">
        <is>
          <t>inventory-service</t>
        </is>
      </c>
      <c r="D2145" s="16" t="inlineStr">
        <is>
          <t>API slice</t>
        </is>
      </c>
      <c r="E2145" s="17" t="inlineStr">
        <is>
          <t>InternalSeatStatusControllerTest</t>
        </is>
      </c>
      <c r="F2145" s="17" t="inlineStr"/>
      <c r="G2145" s="17" t="inlineStr">
        <is>
          <t>Token đúng: 200 với đúng tên field catalog đọc</t>
        </is>
      </c>
      <c r="H2145" s="17" t="inlineStr">
        <is>
          <t>tra_so_dem_theo_khu</t>
        </is>
      </c>
      <c r="I2145" s="16" t="inlineStr">
        <is>
          <t>Đạt</t>
        </is>
      </c>
      <c r="J2145" s="16" t="n">
        <v>0.018</v>
      </c>
    </row>
    <row r="2146">
      <c r="A2146" s="16" t="n">
        <v>2142</v>
      </c>
      <c r="B2146" s="16" t="inlineStr">
        <is>
          <t>Backend</t>
        </is>
      </c>
      <c r="C2146" s="17" t="inlineStr">
        <is>
          <t>inventory-service</t>
        </is>
      </c>
      <c r="D2146" s="16" t="inlineStr">
        <is>
          <t>API slice</t>
        </is>
      </c>
      <c r="E2146" s="17" t="inlineStr">
        <is>
          <t>InternalSeatStatusControllerTest</t>
        </is>
      </c>
      <c r="F2146" s="17" t="inlineStr"/>
      <c r="G2146" s="17" t="inlineStr">
        <is>
          <t>Suất chưa dựng: 404 có thân SESSION_NOT_FOUND — phân biệt được với 404 của bộ lọc</t>
        </is>
      </c>
      <c r="H2146" s="17" t="inlineStr">
        <is>
          <t>suat_chua_dung</t>
        </is>
      </c>
      <c r="I2146" s="16" t="inlineStr">
        <is>
          <t>Đạt</t>
        </is>
      </c>
      <c r="J2146" s="16" t="n">
        <v>0.008999999999999999</v>
      </c>
    </row>
    <row r="2147">
      <c r="A2147" s="16" t="n">
        <v>2143</v>
      </c>
      <c r="B2147" s="16" t="inlineStr">
        <is>
          <t>Backend</t>
        </is>
      </c>
      <c r="C2147" s="17" t="inlineStr">
        <is>
          <t>inventory-service</t>
        </is>
      </c>
      <c r="D2147" s="16" t="inlineStr">
        <is>
          <t>API slice</t>
        </is>
      </c>
      <c r="E2147" s="17" t="inlineStr">
        <is>
          <t>InternalSeatStatusControllerTest</t>
        </is>
      </c>
      <c r="F2147" s="17" t="inlineStr"/>
      <c r="G2147" s="17" t="inlineStr">
        <is>
          <t>Không token nội bộ: 404 không thân, không chạm truy vấn</t>
        </is>
      </c>
      <c r="H2147" s="17" t="inlineStr">
        <is>
          <t>khong_token_noi_bo</t>
        </is>
      </c>
      <c r="I2147" s="16" t="inlineStr">
        <is>
          <t>Đạt</t>
        </is>
      </c>
      <c r="J2147" s="16" t="n">
        <v>0.003</v>
      </c>
    </row>
    <row r="2148">
      <c r="A2148" s="16" t="n">
        <v>2144</v>
      </c>
      <c r="B2148" s="16" t="inlineStr">
        <is>
          <t>Backend</t>
        </is>
      </c>
      <c r="C2148" s="17" t="inlineStr">
        <is>
          <t>inventory-service</t>
        </is>
      </c>
      <c r="D2148" s="16" t="inlineStr">
        <is>
          <t>API slice</t>
        </is>
      </c>
      <c r="E2148" s="17" t="inlineStr">
        <is>
          <t>OrganizationSeatStatsControllerTest › BiChan</t>
        </is>
      </c>
      <c r="F2148" s="17" t="inlineStr">
        <is>
          <t>Bị chặn</t>
        </is>
      </c>
      <c r="G2148" s="17" t="inlineStr">
        <is>
          <t>Nhân viên soát vé (thiếu CATALOG_MANAGE): 403 FORBIDDEN dạng RFC 7807</t>
        </is>
      </c>
      <c r="H2148" s="17" t="inlineStr">
        <is>
          <t>nhan_vien_soat_ve</t>
        </is>
      </c>
      <c r="I2148" s="16" t="inlineStr">
        <is>
          <t>Đạt</t>
        </is>
      </c>
      <c r="J2148" s="16" t="n">
        <v>0.043</v>
      </c>
    </row>
    <row r="2149">
      <c r="A2149" s="16" t="n">
        <v>2145</v>
      </c>
      <c r="B2149" s="16" t="inlineStr">
        <is>
          <t>Backend</t>
        </is>
      </c>
      <c r="C2149" s="17" t="inlineStr">
        <is>
          <t>inventory-service</t>
        </is>
      </c>
      <c r="D2149" s="16" t="inlineStr">
        <is>
          <t>API slice</t>
        </is>
      </c>
      <c r="E2149" s="17" t="inlineStr">
        <is>
          <t>OrganizationSeatStatsControllerTest › BiChan</t>
        </is>
      </c>
      <c r="F2149" s="17" t="inlineStr">
        <is>
          <t>Bị chặn</t>
        </is>
      </c>
      <c r="G2149" s="17" t="inlineStr">
        <is>
          <t>Mã tổ chức mã hoá phần trăm để lách bộ lọc: 404, không lọt sang tổ chức khác</t>
        </is>
      </c>
      <c r="H2149" s="17" t="inlineStr">
        <is>
          <t>ma_hoa_phan_tram</t>
        </is>
      </c>
      <c r="I2149" s="16" t="inlineStr">
        <is>
          <t>Đạt</t>
        </is>
      </c>
      <c r="J2149" s="16" t="n">
        <v>0.01</v>
      </c>
    </row>
    <row r="2150">
      <c r="A2150" s="16" t="n">
        <v>2146</v>
      </c>
      <c r="B2150" s="16" t="inlineStr">
        <is>
          <t>Backend</t>
        </is>
      </c>
      <c r="C2150" s="17" t="inlineStr">
        <is>
          <t>inventory-service</t>
        </is>
      </c>
      <c r="D2150" s="16" t="inlineStr">
        <is>
          <t>API slice</t>
        </is>
      </c>
      <c r="E2150" s="17" t="inlineStr">
        <is>
          <t>OrganizationSeatStatsControllerTest › BiChan</t>
        </is>
      </c>
      <c r="F2150" s="17" t="inlineStr">
        <is>
          <t>Bị chặn</t>
        </is>
      </c>
      <c r="G2150" s="17" t="inlineStr">
        <is>
          <t>Thành viên tổ chức KHÁC: 404 — không xác nhận tổ chức này tồn tại</t>
        </is>
      </c>
      <c r="H2150" s="17" t="inlineStr">
        <is>
          <t>to_chuc_khac</t>
        </is>
      </c>
      <c r="I2150" s="16" t="inlineStr">
        <is>
          <t>Đạt</t>
        </is>
      </c>
      <c r="J2150" s="16" t="n">
        <v>0.008999999999999999</v>
      </c>
    </row>
    <row r="2151">
      <c r="A2151" s="16" t="n">
        <v>2147</v>
      </c>
      <c r="B2151" s="16" t="inlineStr">
        <is>
          <t>Backend</t>
        </is>
      </c>
      <c r="C2151" s="17" t="inlineStr">
        <is>
          <t>inventory-service</t>
        </is>
      </c>
      <c r="D2151" s="16" t="inlineStr">
        <is>
          <t>API slice</t>
        </is>
      </c>
      <c r="E2151" s="17" t="inlineStr">
        <is>
          <t>OrganizationSeatStatsControllerTest › BiChan</t>
        </is>
      </c>
      <c r="F2151" s="17" t="inlineStr">
        <is>
          <t>Bị chặn</t>
        </is>
      </c>
      <c r="G2151" s="17" t="inlineStr">
        <is>
          <t>Superadmin không phải thành viên: 404 — route tổ chức vẫn đòi membership thật</t>
        </is>
      </c>
      <c r="H2151" s="17" t="inlineStr">
        <is>
          <t>superadmin_khong_phai_thanh_vien</t>
        </is>
      </c>
      <c r="I2151" s="16" t="inlineStr">
        <is>
          <t>Đạt</t>
        </is>
      </c>
      <c r="J2151" s="16" t="n">
        <v>0.007</v>
      </c>
    </row>
    <row r="2152">
      <c r="A2152" s="16" t="n">
        <v>2148</v>
      </c>
      <c r="B2152" s="16" t="inlineStr">
        <is>
          <t>Backend</t>
        </is>
      </c>
      <c r="C2152" s="17" t="inlineStr">
        <is>
          <t>inventory-service</t>
        </is>
      </c>
      <c r="D2152" s="16" t="inlineStr">
        <is>
          <t>API slice</t>
        </is>
      </c>
      <c r="E2152" s="17" t="inlineStr">
        <is>
          <t>OrganizationSeatStatsControllerTest › BiChan</t>
        </is>
      </c>
      <c r="F2152" s="17" t="inlineStr">
        <is>
          <t>Bị chặn</t>
        </is>
      </c>
      <c r="G2152" s="17" t="inlineStr">
        <is>
          <t>Không đăng nhập: 401</t>
        </is>
      </c>
      <c r="H2152" s="17" t="inlineStr">
        <is>
          <t>khong_dang_nhap</t>
        </is>
      </c>
      <c r="I2152" s="16" t="inlineStr">
        <is>
          <t>Đạt</t>
        </is>
      </c>
      <c r="J2152" s="16" t="n">
        <v>0.005</v>
      </c>
    </row>
    <row r="2153">
      <c r="A2153" s="16" t="n">
        <v>2149</v>
      </c>
      <c r="B2153" s="16" t="inlineStr">
        <is>
          <t>Backend</t>
        </is>
      </c>
      <c r="C2153" s="17" t="inlineStr">
        <is>
          <t>inventory-service</t>
        </is>
      </c>
      <c r="D2153" s="16" t="inlineStr">
        <is>
          <t>API slice</t>
        </is>
      </c>
      <c r="E2153" s="17" t="inlineStr">
        <is>
          <t>OrganizationSeatStatsControllerTest › DuocPhep</t>
        </is>
      </c>
      <c r="F2153" s="17" t="inlineStr">
        <is>
          <t>Được phép</t>
        </is>
      </c>
      <c r="G2153" s="17" t="inlineStr">
        <is>
          <t>Vai trò có CATALOG_MANAGE: 200, truy vấn đúng tổ chức trên đường dẫn</t>
        </is>
      </c>
      <c r="H2153" s="17" t="inlineStr">
        <is>
          <t>vai_tro_co_quyen(Role)[1]</t>
        </is>
      </c>
      <c r="I2153" s="16" t="inlineStr">
        <is>
          <t>Đạt</t>
        </is>
      </c>
      <c r="J2153" s="16" t="n">
        <v>0.03</v>
      </c>
    </row>
    <row r="2154">
      <c r="A2154" s="16" t="n">
        <v>2150</v>
      </c>
      <c r="B2154" s="16" t="inlineStr">
        <is>
          <t>Backend</t>
        </is>
      </c>
      <c r="C2154" s="17" t="inlineStr">
        <is>
          <t>inventory-service</t>
        </is>
      </c>
      <c r="D2154" s="16" t="inlineStr">
        <is>
          <t>API slice</t>
        </is>
      </c>
      <c r="E2154" s="17" t="inlineStr">
        <is>
          <t>OrganizationSeatStatsControllerTest › DuocPhep</t>
        </is>
      </c>
      <c r="F2154" s="17" t="inlineStr">
        <is>
          <t>Được phép</t>
        </is>
      </c>
      <c r="G2154" s="17" t="inlineStr">
        <is>
          <t>Vai trò có CATALOG_MANAGE: 200, truy vấn đúng tổ chức trên đường dẫn</t>
        </is>
      </c>
      <c r="H2154" s="17" t="inlineStr">
        <is>
          <t>vai_tro_co_quyen(Role)[2]</t>
        </is>
      </c>
      <c r="I2154" s="16" t="inlineStr">
        <is>
          <t>Đạt</t>
        </is>
      </c>
      <c r="J2154" s="16" t="n">
        <v>0.006</v>
      </c>
    </row>
    <row r="2155">
      <c r="A2155" s="16" t="n">
        <v>2151</v>
      </c>
      <c r="B2155" s="16" t="inlineStr">
        <is>
          <t>Backend</t>
        </is>
      </c>
      <c r="C2155" s="17" t="inlineStr">
        <is>
          <t>inventory-service</t>
        </is>
      </c>
      <c r="D2155" s="16" t="inlineStr">
        <is>
          <t>API slice</t>
        </is>
      </c>
      <c r="E2155" s="17" t="inlineStr">
        <is>
          <t>OrganizationSeatStatsControllerTest › DuocPhep</t>
        </is>
      </c>
      <c r="F2155" s="17" t="inlineStr">
        <is>
          <t>Được phép</t>
        </is>
      </c>
      <c r="G2155" s="17" t="inlineStr">
        <is>
          <t>Vai trò có CATALOG_MANAGE: 200, truy vấn đúng tổ chức trên đường dẫn</t>
        </is>
      </c>
      <c r="H2155" s="17" t="inlineStr">
        <is>
          <t>vai_tro_co_quyen(Role)[3]</t>
        </is>
      </c>
      <c r="I2155" s="16" t="inlineStr">
        <is>
          <t>Đạt</t>
        </is>
      </c>
      <c r="J2155" s="16" t="n">
        <v>0.008999999999999999</v>
      </c>
    </row>
    <row r="2156">
      <c r="A2156" s="16" t="n">
        <v>2152</v>
      </c>
      <c r="B2156" s="16" t="inlineStr">
        <is>
          <t>Backend</t>
        </is>
      </c>
      <c r="C2156" s="17" t="inlineStr">
        <is>
          <t>inventory-service</t>
        </is>
      </c>
      <c r="D2156" s="16" t="inlineStr">
        <is>
          <t>API slice</t>
        </is>
      </c>
      <c r="E2156" s="17" t="inlineStr">
        <is>
          <t>SeatMapControllerTest › AnDanh</t>
        </is>
      </c>
      <c r="F2156" s="17" t="inlineStr">
        <is>
          <t>Khách ẩn danh</t>
        </is>
      </c>
      <c r="G2156" s="17" t="inlineStr">
        <is>
          <t>Không token vẫn xem được: 200, ETag yếu W/"version-anon", Cache-Control no-cache, không có hạn mức</t>
        </is>
      </c>
      <c r="H2156" s="17" t="inlineStr">
        <is>
          <t>an_danh_xem_duoc</t>
        </is>
      </c>
      <c r="I2156" s="16" t="inlineStr">
        <is>
          <t>Đạt</t>
        </is>
      </c>
      <c r="J2156" s="16" t="n">
        <v>0.007</v>
      </c>
    </row>
    <row r="2157">
      <c r="A2157" s="16" t="n">
        <v>2153</v>
      </c>
      <c r="B2157" s="16" t="inlineStr">
        <is>
          <t>Backend</t>
        </is>
      </c>
      <c r="C2157" s="17" t="inlineStr">
        <is>
          <t>inventory-service</t>
        </is>
      </c>
      <c r="D2157" s="16" t="inlineStr">
        <is>
          <t>API slice</t>
        </is>
      </c>
      <c r="E2157" s="17" t="inlineStr">
        <is>
          <t>SeatMapControllerTest › AnDanh</t>
        </is>
      </c>
      <c r="F2157" s="17" t="inlineStr">
        <is>
          <t>Khách ẩn danh</t>
        </is>
      </c>
      <c r="G2157" s="17" t="inlineStr">
        <is>
          <t>Client cũ còn giữ ETag mạnh "17-anon" của bản trước vẫn nhận 304 (so sánh yếu, RFC 9110)</t>
        </is>
      </c>
      <c r="H2157" s="17" t="inlineStr">
        <is>
          <t>etag_manh_cu_van_khop</t>
        </is>
      </c>
      <c r="I2157" s="16" t="inlineStr">
        <is>
          <t>Đạt</t>
        </is>
      </c>
      <c r="J2157" s="16" t="n">
        <v>0.006</v>
      </c>
    </row>
    <row r="2158">
      <c r="A2158" s="16" t="n">
        <v>2154</v>
      </c>
      <c r="B2158" s="16" t="inlineStr">
        <is>
          <t>Backend</t>
        </is>
      </c>
      <c r="C2158" s="17" t="inlineStr">
        <is>
          <t>inventory-service</t>
        </is>
      </c>
      <c r="D2158" s="16" t="inlineStr">
        <is>
          <t>API slice</t>
        </is>
      </c>
      <c r="E2158" s="17" t="inlineStr">
        <is>
          <t>SeatMapControllerTest › AnDanh</t>
        </is>
      </c>
      <c r="F2158" s="17" t="inlineStr">
        <is>
          <t>Khách ẩn danh</t>
        </is>
      </c>
      <c r="G2158" s="17" t="inlineStr">
        <is>
          <t>If-None-Match của version cũ: 200 với dữ liệu mới</t>
        </is>
      </c>
      <c r="H2158" s="17" t="inlineStr">
        <is>
          <t>etag_cu_200</t>
        </is>
      </c>
      <c r="I2158" s="16" t="inlineStr">
        <is>
          <t>Đạt</t>
        </is>
      </c>
      <c r="J2158" s="16" t="n">
        <v>0.005</v>
      </c>
    </row>
    <row r="2159">
      <c r="A2159" s="16" t="n">
        <v>2155</v>
      </c>
      <c r="B2159" s="16" t="inlineStr">
        <is>
          <t>Backend</t>
        </is>
      </c>
      <c r="C2159" s="17" t="inlineStr">
        <is>
          <t>inventory-service</t>
        </is>
      </c>
      <c r="D2159" s="16" t="inlineStr">
        <is>
          <t>API slice</t>
        </is>
      </c>
      <c r="E2159" s="17" t="inlineStr">
        <is>
          <t>SeatMapControllerTest › AnDanh</t>
        </is>
      </c>
      <c r="F2159" s="17" t="inlineStr">
        <is>
          <t>Khách ẩn danh</t>
        </is>
      </c>
      <c r="G2159" s="17" t="inlineStr">
        <is>
          <t>If-None-Match khớp: 304 body rỗng, vẫn gửi lại ETag</t>
        </is>
      </c>
      <c r="H2159" s="17" t="inlineStr">
        <is>
          <t>etag_khop_304</t>
        </is>
      </c>
      <c r="I2159" s="16" t="inlineStr">
        <is>
          <t>Đạt</t>
        </is>
      </c>
      <c r="J2159" s="16" t="n">
        <v>0.005</v>
      </c>
    </row>
    <row r="2160">
      <c r="A2160" s="16" t="n">
        <v>2156</v>
      </c>
      <c r="B2160" s="16" t="inlineStr">
        <is>
          <t>Backend</t>
        </is>
      </c>
      <c r="C2160" s="17" t="inlineStr">
        <is>
          <t>inventory-service</t>
        </is>
      </c>
      <c r="D2160" s="16" t="inlineStr">
        <is>
          <t>API slice</t>
        </is>
      </c>
      <c r="E2160" s="17" t="inlineStr">
        <is>
          <t>SeatMapControllerTest › AnDanh</t>
        </is>
      </c>
      <c r="F2160" s="17" t="inlineStr">
        <is>
          <t>Khách ẩn danh</t>
        </is>
      </c>
      <c r="G2160" s="17" t="inlineStr">
        <is>
          <t>If-None-Match là danh sách hoặc *: khớp một phần tử là 304</t>
        </is>
      </c>
      <c r="H2160" s="17" t="inlineStr">
        <is>
          <t>etag_danh_sach_va_sao</t>
        </is>
      </c>
      <c r="I2160" s="16" t="inlineStr">
        <is>
          <t>Đạt</t>
        </is>
      </c>
      <c r="J2160" s="16" t="n">
        <v>0.006</v>
      </c>
    </row>
    <row r="2161">
      <c r="A2161" s="16" t="n">
        <v>2157</v>
      </c>
      <c r="B2161" s="16" t="inlineStr">
        <is>
          <t>Backend</t>
        </is>
      </c>
      <c r="C2161" s="17" t="inlineStr">
        <is>
          <t>inventory-service</t>
        </is>
      </c>
      <c r="D2161" s="16" t="inlineStr">
        <is>
          <t>API slice</t>
        </is>
      </c>
      <c r="E2161" s="17" t="inlineStr">
        <is>
          <t>SeatMapControllerTest › DaDangNhap</t>
        </is>
      </c>
      <c r="F2161" s="17" t="inlineStr">
        <is>
          <t>Khách đã đăng nhập</t>
        </is>
      </c>
      <c r="G2161" s="17" t="inlineStr">
        <is>
          <t>ETag của người khác (hoặc bản ẩn danh) không cho 304 — không dùng chung hạn mức của nhau</t>
        </is>
      </c>
      <c r="H2161" s="17" t="inlineStr">
        <is>
          <t>etag_nguoi_khac_khong_304</t>
        </is>
      </c>
      <c r="I2161" s="16" t="inlineStr">
        <is>
          <t>Đạt</t>
        </is>
      </c>
      <c r="J2161" s="16" t="n">
        <v>0.031</v>
      </c>
    </row>
    <row r="2162">
      <c r="A2162" s="16" t="n">
        <v>2158</v>
      </c>
      <c r="B2162" s="16" t="inlineStr">
        <is>
          <t>Backend</t>
        </is>
      </c>
      <c r="C2162" s="17" t="inlineStr">
        <is>
          <t>inventory-service</t>
        </is>
      </c>
      <c r="D2162" s="16" t="inlineStr">
        <is>
          <t>API slice</t>
        </is>
      </c>
      <c r="E2162" s="17" t="inlineStr">
        <is>
          <t>SeatMapControllerTest › DaDangNhap</t>
        </is>
      </c>
      <c r="F2162" s="17" t="inlineStr">
        <is>
          <t>Khách đã đăng nhập</t>
        </is>
      </c>
      <c r="G2162" s="17" t="inlineStr">
        <is>
          <t>ETag mang userId và body có hạn mức của chính người đó</t>
        </is>
      </c>
      <c r="H2162" s="17" t="inlineStr">
        <is>
          <t>etag_theo_nguoi_xem</t>
        </is>
      </c>
      <c r="I2162" s="16" t="inlineStr">
        <is>
          <t>Đạt</t>
        </is>
      </c>
      <c r="J2162" s="16" t="n">
        <v>0.006</v>
      </c>
    </row>
    <row r="2163">
      <c r="A2163" s="16" t="n">
        <v>2159</v>
      </c>
      <c r="B2163" s="16" t="inlineStr">
        <is>
          <t>Backend</t>
        </is>
      </c>
      <c r="C2163" s="17" t="inlineStr">
        <is>
          <t>inventory-service</t>
        </is>
      </c>
      <c r="D2163" s="16" t="inlineStr">
        <is>
          <t>API slice</t>
        </is>
      </c>
      <c r="E2163" s="17" t="inlineStr">
        <is>
          <t>SeatMapControllerTest › DaDangNhap</t>
        </is>
      </c>
      <c r="F2163" s="17" t="inlineStr">
        <is>
          <t>Khách đã đăng nhập</t>
        </is>
      </c>
      <c r="G2163" s="17" t="inlineStr">
        <is>
          <t>JWT hợp lệ nhưng identity không trả lời: vẫn xem được như khách ẩn danh</t>
        </is>
      </c>
      <c r="H2163" s="17" t="inlineStr">
        <is>
          <t>identity_chet_van_xem_an_danh</t>
        </is>
      </c>
      <c r="I2163" s="16" t="inlineStr">
        <is>
          <t>Đạt</t>
        </is>
      </c>
      <c r="J2163" s="16" t="n">
        <v>0.008</v>
      </c>
    </row>
    <row r="2164">
      <c r="A2164" s="16" t="n">
        <v>2160</v>
      </c>
      <c r="B2164" s="16" t="inlineStr">
        <is>
          <t>Backend</t>
        </is>
      </c>
      <c r="C2164" s="17" t="inlineStr">
        <is>
          <t>inventory-service</t>
        </is>
      </c>
      <c r="D2164" s="16" t="inlineStr">
        <is>
          <t>API slice</t>
        </is>
      </c>
      <c r="E2164" s="17" t="inlineStr">
        <is>
          <t>SeatMapControllerTest › Loi</t>
        </is>
      </c>
      <c r="F2164" s="17" t="inlineStr">
        <is>
          <t>Lỗi</t>
        </is>
      </c>
      <c r="G2164" s="17" t="inlineStr">
        <is>
          <t>Suất chưa dựng tồn kho: 404 SESSION_NOT_FOUND dạng RFC 7807</t>
        </is>
      </c>
      <c r="H2164" s="17" t="inlineStr">
        <is>
          <t>suat_khong_ton_tai</t>
        </is>
      </c>
      <c r="I2164" s="16" t="inlineStr">
        <is>
          <t>Đạt</t>
        </is>
      </c>
      <c r="J2164" s="16" t="n">
        <v>0.015</v>
      </c>
    </row>
    <row r="2165">
      <c r="A2165" s="16" t="n">
        <v>2161</v>
      </c>
      <c r="B2165" s="16" t="inlineStr">
        <is>
          <t>Backend</t>
        </is>
      </c>
      <c r="C2165" s="17" t="inlineStr">
        <is>
          <t>inventory-service</t>
        </is>
      </c>
      <c r="D2165" s="16" t="inlineStr">
        <is>
          <t>API slice</t>
        </is>
      </c>
      <c r="E2165" s="17" t="inlineStr">
        <is>
          <t>SeatMapControllerTest › Loi</t>
        </is>
      </c>
      <c r="F2165" s="17" t="inlineStr">
        <is>
          <t>Lỗi</t>
        </is>
      </c>
      <c r="G2165" s="17" t="inlineStr">
        <is>
          <t>Mã suất không phải UUID trên endpoint công khai: 400, không phải 500 kèm log ERROR</t>
        </is>
      </c>
      <c r="H2165" s="17" t="inlineStr">
        <is>
          <t>ma_suat_khong_phai_uuid</t>
        </is>
      </c>
      <c r="I2165" s="16" t="inlineStr">
        <is>
          <t>Đạt</t>
        </is>
      </c>
      <c r="J2165" s="16" t="n">
        <v>0.014</v>
      </c>
    </row>
    <row r="2166">
      <c r="A2166" s="16" t="n">
        <v>2162</v>
      </c>
      <c r="B2166" s="16" t="inlineStr">
        <is>
          <t>Backend</t>
        </is>
      </c>
      <c r="C2166" s="17" t="inlineStr">
        <is>
          <t>ledger-service</t>
        </is>
      </c>
      <c r="D2166" s="16" t="inlineStr">
        <is>
          <t>Unit</t>
        </is>
      </c>
      <c r="E2166" s="17" t="inlineStr">
        <is>
          <t>RecordPaymentHandlerTest › DinhKhoan</t>
        </is>
      </c>
      <c r="F2166" s="17" t="inlineStr">
        <is>
          <t>Định khoản</t>
        </is>
      </c>
      <c r="G2166" s="17" t="inlineStr">
        <is>
          <t>Hoa hồng lấy NGUYÊN từ chứng từ, không tính lại trên tổng</t>
        </is>
      </c>
      <c r="H2166" s="17" t="inlineStr">
        <is>
          <t>hoa_hong_tu_chung_tu</t>
        </is>
      </c>
      <c r="I2166" s="16" t="inlineStr">
        <is>
          <t>Đạt</t>
        </is>
      </c>
      <c r="J2166" s="16" t="n">
        <v>0.027</v>
      </c>
    </row>
    <row r="2167">
      <c r="A2167" s="16" t="n">
        <v>2163</v>
      </c>
      <c r="B2167" s="16" t="inlineStr">
        <is>
          <t>Backend</t>
        </is>
      </c>
      <c r="C2167" s="17" t="inlineStr">
        <is>
          <t>ledger-service</t>
        </is>
      </c>
      <c r="D2167" s="16" t="inlineStr">
        <is>
          <t>Unit</t>
        </is>
      </c>
      <c r="E2167" s="17" t="inlineStr">
        <is>
          <t>RecordPaymentHandlerTest › DinhKhoan</t>
        </is>
      </c>
      <c r="F2167" s="17" t="inlineStr">
        <is>
          <t>Định khoản</t>
        </is>
      </c>
      <c r="G2167" s="17" t="inlineStr">
        <is>
          <t>Hoa hồng 100% (Ordering cho phép commission_bps = 10000): ghi Nợ 1010 / Có 4010, không có dòng 0 đồng</t>
        </is>
      </c>
      <c r="H2167" s="17" t="inlineStr">
        <is>
          <t>hoa_hong_tron_tong</t>
        </is>
      </c>
      <c r="I2167" s="16" t="inlineStr">
        <is>
          <t>Đạt</t>
        </is>
      </c>
      <c r="J2167" s="16" t="n">
        <v>0.039</v>
      </c>
    </row>
    <row r="2168">
      <c r="A2168" s="16" t="n">
        <v>2164</v>
      </c>
      <c r="B2168" s="16" t="inlineStr">
        <is>
          <t>Backend</t>
        </is>
      </c>
      <c r="C2168" s="17" t="inlineStr">
        <is>
          <t>ledger-service</t>
        </is>
      </c>
      <c r="D2168" s="16" t="inlineStr">
        <is>
          <t>Unit</t>
        </is>
      </c>
      <c r="E2168" s="17" t="inlineStr">
        <is>
          <t>RecordPaymentHandlerTest › DinhKhoan</t>
        </is>
      </c>
      <c r="F2168" s="17" t="inlineStr">
        <is>
          <t>Định khoản</t>
        </is>
      </c>
      <c r="G2168" s="17" t="inlineStr">
        <is>
          <t>Đầu bút toán: loại PAYMENT_CONFIRMED, khoá 'order:&lt;id&gt;', tổ chức và thời điểm của chứng từ</t>
        </is>
      </c>
      <c r="H2168" s="17" t="inlineStr">
        <is>
          <t>dau_but_toan</t>
        </is>
      </c>
      <c r="I2168" s="16" t="inlineStr">
        <is>
          <t>Đạt</t>
        </is>
      </c>
      <c r="J2168" s="16" t="n">
        <v>0.029</v>
      </c>
    </row>
    <row r="2169">
      <c r="A2169" s="16" t="n">
        <v>2165</v>
      </c>
      <c r="B2169" s="16" t="inlineStr">
        <is>
          <t>Backend</t>
        </is>
      </c>
      <c r="C2169" s="17" t="inlineStr">
        <is>
          <t>ledger-service</t>
        </is>
      </c>
      <c r="D2169" s="16" t="inlineStr">
        <is>
          <t>Unit</t>
        </is>
      </c>
      <c r="E2169" s="17" t="inlineStr">
        <is>
          <t>RecordPaymentHandlerTest › DinhKhoan</t>
        </is>
      </c>
      <c r="F2169" s="17" t="inlineStr">
        <is>
          <t>Định khoản</t>
        </is>
      </c>
      <c r="G2169" s="17" t="inlineStr">
        <is>
          <t>Đơn 3.000.000, hoa hồng 150.000: Nợ 1010 / Có 2011 2.850.000 / Có 4010 150.000</t>
        </is>
      </c>
      <c r="H2169" s="17" t="inlineStr">
        <is>
          <t>but_toan_n1</t>
        </is>
      </c>
      <c r="I2169" s="16" t="inlineStr">
        <is>
          <t>Đạt</t>
        </is>
      </c>
      <c r="J2169" s="16" t="n">
        <v>0.01</v>
      </c>
    </row>
    <row r="2170">
      <c r="A2170" s="16" t="n">
        <v>2166</v>
      </c>
      <c r="B2170" s="16" t="inlineStr">
        <is>
          <t>Backend</t>
        </is>
      </c>
      <c r="C2170" s="17" t="inlineStr">
        <is>
          <t>ledger-service</t>
        </is>
      </c>
      <c r="D2170" s="16" t="inlineStr">
        <is>
          <t>Unit</t>
        </is>
      </c>
      <c r="E2170" s="17" t="inlineStr">
        <is>
          <t>RecordPaymentHandlerTest › DinhKhoan</t>
        </is>
      </c>
      <c r="F2170" s="17" t="inlineStr">
        <is>
          <t>Định khoản</t>
        </is>
      </c>
      <c r="G2170" s="17" t="inlineStr">
        <is>
          <t>Hoa hồng suy từ tỷ lệ, làm tròn xuống: hai phần Có cộng lại đúng bằng tổng, không rơi đồng nào</t>
        </is>
      </c>
      <c r="H2170" s="17" t="inlineStr">
        <is>
          <t>lam_tron_khong_roi_dong(long, int)[1]</t>
        </is>
      </c>
      <c r="I2170" s="16" t="inlineStr">
        <is>
          <t>Đạt</t>
        </is>
      </c>
      <c r="J2170" s="16" t="n">
        <v>0.06</v>
      </c>
    </row>
    <row r="2171">
      <c r="A2171" s="16" t="n">
        <v>2167</v>
      </c>
      <c r="B2171" s="16" t="inlineStr">
        <is>
          <t>Backend</t>
        </is>
      </c>
      <c r="C2171" s="17" t="inlineStr">
        <is>
          <t>ledger-service</t>
        </is>
      </c>
      <c r="D2171" s="16" t="inlineStr">
        <is>
          <t>Unit</t>
        </is>
      </c>
      <c r="E2171" s="17" t="inlineStr">
        <is>
          <t>RecordPaymentHandlerTest › DinhKhoan</t>
        </is>
      </c>
      <c r="F2171" s="17" t="inlineStr">
        <is>
          <t>Định khoản</t>
        </is>
      </c>
      <c r="G2171" s="17" t="inlineStr">
        <is>
          <t>Hoa hồng suy từ tỷ lệ, làm tròn xuống: hai phần Có cộng lại đúng bằng tổng, không rơi đồng nào</t>
        </is>
      </c>
      <c r="H2171" s="17" t="inlineStr">
        <is>
          <t>lam_tron_khong_roi_dong(long, int)[2]</t>
        </is>
      </c>
      <c r="I2171" s="16" t="inlineStr">
        <is>
          <t>Đạt</t>
        </is>
      </c>
      <c r="J2171" s="16" t="n">
        <v>0.011</v>
      </c>
    </row>
    <row r="2172">
      <c r="A2172" s="16" t="n">
        <v>2168</v>
      </c>
      <c r="B2172" s="16" t="inlineStr">
        <is>
          <t>Backend</t>
        </is>
      </c>
      <c r="C2172" s="17" t="inlineStr">
        <is>
          <t>ledger-service</t>
        </is>
      </c>
      <c r="D2172" s="16" t="inlineStr">
        <is>
          <t>Unit</t>
        </is>
      </c>
      <c r="E2172" s="17" t="inlineStr">
        <is>
          <t>RecordPaymentHandlerTest › DinhKhoan</t>
        </is>
      </c>
      <c r="F2172" s="17" t="inlineStr">
        <is>
          <t>Định khoản</t>
        </is>
      </c>
      <c r="G2172" s="17" t="inlineStr">
        <is>
          <t>Hoa hồng suy từ tỷ lệ, làm tròn xuống: hai phần Có cộng lại đúng bằng tổng, không rơi đồng nào</t>
        </is>
      </c>
      <c r="H2172" s="17" t="inlineStr">
        <is>
          <t>lam_tron_khong_roi_dong(long, int)[3]</t>
        </is>
      </c>
      <c r="I2172" s="16" t="inlineStr">
        <is>
          <t>Đạt</t>
        </is>
      </c>
      <c r="J2172" s="16" t="n">
        <v>0.01</v>
      </c>
    </row>
    <row r="2173">
      <c r="A2173" s="16" t="n">
        <v>2169</v>
      </c>
      <c r="B2173" s="16" t="inlineStr">
        <is>
          <t>Backend</t>
        </is>
      </c>
      <c r="C2173" s="17" t="inlineStr">
        <is>
          <t>ledger-service</t>
        </is>
      </c>
      <c r="D2173" s="16" t="inlineStr">
        <is>
          <t>Unit</t>
        </is>
      </c>
      <c r="E2173" s="17" t="inlineStr">
        <is>
          <t>RecordPaymentHandlerTest › DinhKhoan</t>
        </is>
      </c>
      <c r="F2173" s="17" t="inlineStr">
        <is>
          <t>Định khoản</t>
        </is>
      </c>
      <c r="G2173" s="17" t="inlineStr">
        <is>
          <t>Hoa hồng suy từ tỷ lệ, làm tròn xuống: hai phần Có cộng lại đúng bằng tổng, không rơi đồng nào</t>
        </is>
      </c>
      <c r="H2173" s="17" t="inlineStr">
        <is>
          <t>lam_tron_khong_roi_dong(long, int)[4]</t>
        </is>
      </c>
      <c r="I2173" s="16" t="inlineStr">
        <is>
          <t>Đạt</t>
        </is>
      </c>
      <c r="J2173" s="16" t="n">
        <v>0.01</v>
      </c>
    </row>
    <row r="2174">
      <c r="A2174" s="16" t="n">
        <v>2170</v>
      </c>
      <c r="B2174" s="16" t="inlineStr">
        <is>
          <t>Backend</t>
        </is>
      </c>
      <c r="C2174" s="17" t="inlineStr">
        <is>
          <t>ledger-service</t>
        </is>
      </c>
      <c r="D2174" s="16" t="inlineStr">
        <is>
          <t>Unit</t>
        </is>
      </c>
      <c r="E2174" s="17" t="inlineStr">
        <is>
          <t>RecordPaymentHandlerTest › DinhKhoan</t>
        </is>
      </c>
      <c r="F2174" s="17" t="inlineStr">
        <is>
          <t>Định khoản</t>
        </is>
      </c>
      <c r="G2174" s="17" t="inlineStr">
        <is>
          <t>Hoa hồng suy từ tỷ lệ, làm tròn xuống: hai phần Có cộng lại đúng bằng tổng, không rơi đồng nào</t>
        </is>
      </c>
      <c r="H2174" s="17" t="inlineStr">
        <is>
          <t>lam_tron_khong_roi_dong(long, int)[5]</t>
        </is>
      </c>
      <c r="I2174" s="16" t="inlineStr">
        <is>
          <t>Đạt</t>
        </is>
      </c>
      <c r="J2174" s="16" t="n">
        <v>0.007</v>
      </c>
    </row>
    <row r="2175">
      <c r="A2175" s="16" t="n">
        <v>2171</v>
      </c>
      <c r="B2175" s="16" t="inlineStr">
        <is>
          <t>Backend</t>
        </is>
      </c>
      <c r="C2175" s="17" t="inlineStr">
        <is>
          <t>ledger-service</t>
        </is>
      </c>
      <c r="D2175" s="16" t="inlineStr">
        <is>
          <t>Unit</t>
        </is>
      </c>
      <c r="E2175" s="17" t="inlineStr">
        <is>
          <t>RecordPaymentHandlerTest › DinhKhoan</t>
        </is>
      </c>
      <c r="F2175" s="17" t="inlineStr">
        <is>
          <t>Định khoản</t>
        </is>
      </c>
      <c r="G2175" s="17" t="inlineStr">
        <is>
          <t>Hoa hồng suy từ tỷ lệ, làm tròn xuống: hai phần Có cộng lại đúng bằng tổng, không rơi đồng nào</t>
        </is>
      </c>
      <c r="H2175" s="17" t="inlineStr">
        <is>
          <t>lam_tron_khong_roi_dong(long, int)[6]</t>
        </is>
      </c>
      <c r="I2175" s="16" t="inlineStr">
        <is>
          <t>Đạt</t>
        </is>
      </c>
      <c r="J2175" s="16" t="n">
        <v>0.007</v>
      </c>
    </row>
    <row r="2176">
      <c r="A2176" s="16" t="n">
        <v>2172</v>
      </c>
      <c r="B2176" s="16" t="inlineStr">
        <is>
          <t>Backend</t>
        </is>
      </c>
      <c r="C2176" s="17" t="inlineStr">
        <is>
          <t>ledger-service</t>
        </is>
      </c>
      <c r="D2176" s="16" t="inlineStr">
        <is>
          <t>Unit</t>
        </is>
      </c>
      <c r="E2176" s="17" t="inlineStr">
        <is>
          <t>RecordPaymentHandlerTest › DinhKhoan</t>
        </is>
      </c>
      <c r="F2176" s="17" t="inlineStr">
        <is>
          <t>Định khoản</t>
        </is>
      </c>
      <c r="G2176" s="17" t="inlineStr">
        <is>
          <t>Hoa hồng 0: hai dòng, không có định khoản 0 đồng trên 4010</t>
        </is>
      </c>
      <c r="H2176" s="17" t="inlineStr">
        <is>
          <t>hoa_hong_khong</t>
        </is>
      </c>
      <c r="I2176" s="16" t="inlineStr">
        <is>
          <t>Đạt</t>
        </is>
      </c>
      <c r="J2176" s="16" t="n">
        <v>0.011</v>
      </c>
    </row>
    <row r="2177">
      <c r="A2177" s="16" t="n">
        <v>2173</v>
      </c>
      <c r="B2177" s="16" t="inlineStr">
        <is>
          <t>Backend</t>
        </is>
      </c>
      <c r="C2177" s="17" t="inlineStr">
        <is>
          <t>ledger-service</t>
        </is>
      </c>
      <c r="D2177" s="16" t="inlineStr">
        <is>
          <t>Unit</t>
        </is>
      </c>
      <c r="E2177" s="17" t="inlineStr">
        <is>
          <t>RecordPaymentHandlerTest › IdempotentVaTuChoi</t>
        </is>
      </c>
      <c r="F2177" s="17" t="inlineStr">
        <is>
          <t>Idempotent và từ chối</t>
        </is>
      </c>
      <c r="G2177" s="17" t="inlineStr">
        <is>
          <t>Hoa hồng lớn hơn tổng: từ chối, không ghi gì</t>
        </is>
      </c>
      <c r="H2177" s="17" t="inlineStr">
        <is>
          <t>hoa_hong_lon_hon_tong</t>
        </is>
      </c>
      <c r="I2177" s="16" t="inlineStr">
        <is>
          <t>Đạt</t>
        </is>
      </c>
      <c r="J2177" s="16" t="n">
        <v>4.227</v>
      </c>
    </row>
    <row r="2178">
      <c r="A2178" s="16" t="n">
        <v>2174</v>
      </c>
      <c r="B2178" s="16" t="inlineStr">
        <is>
          <t>Backend</t>
        </is>
      </c>
      <c r="C2178" s="17" t="inlineStr">
        <is>
          <t>ledger-service</t>
        </is>
      </c>
      <c r="D2178" s="16" t="inlineStr">
        <is>
          <t>Unit</t>
        </is>
      </c>
      <c r="E2178" s="17" t="inlineStr">
        <is>
          <t>RecordPaymentHandlerTest › IdempotentVaTuChoi</t>
        </is>
      </c>
      <c r="F2178" s="17" t="inlineStr">
        <is>
          <t>Idempotent và từ chối</t>
        </is>
      </c>
      <c r="G2178" s="17" t="inlineStr">
        <is>
          <t>Tỷ lệ hoa hồng ngoài 0..10000 bps: từ chối ngay khi dựng lệnh</t>
        </is>
      </c>
      <c r="H2178" s="17" t="inlineStr">
        <is>
          <t>ty_le_ngoai_khoang</t>
        </is>
      </c>
      <c r="I2178" s="16" t="inlineStr">
        <is>
          <t>Đạt</t>
        </is>
      </c>
      <c r="J2178" s="16" t="n">
        <v>0.025</v>
      </c>
    </row>
    <row r="2179">
      <c r="A2179" s="16" t="n">
        <v>2175</v>
      </c>
      <c r="B2179" s="16" t="inlineStr">
        <is>
          <t>Backend</t>
        </is>
      </c>
      <c r="C2179" s="17" t="inlineStr">
        <is>
          <t>ledger-service</t>
        </is>
      </c>
      <c r="D2179" s="16" t="inlineStr">
        <is>
          <t>Unit</t>
        </is>
      </c>
      <c r="E2179" s="17" t="inlineStr">
        <is>
          <t>RecordPaymentHandlerTest › IdempotentVaTuChoi</t>
        </is>
      </c>
      <c r="F2179" s="17" t="inlineStr">
        <is>
          <t>Idempotent và từ chối</t>
        </is>
      </c>
      <c r="G2179" s="17" t="inlineStr">
        <is>
          <t>Đã có bút toán cùng khoá: trả id cũ, KHÔNG ghi thêm, không tra tài khoản</t>
        </is>
      </c>
      <c r="H2179" s="17" t="inlineStr">
        <is>
          <t>da_ghi_roi_thi_no_op</t>
        </is>
      </c>
      <c r="I2179" s="16" t="inlineStr">
        <is>
          <t>Đạt</t>
        </is>
      </c>
      <c r="J2179" s="16" t="n">
        <v>0.098</v>
      </c>
    </row>
    <row r="2180">
      <c r="A2180" s="16" t="n">
        <v>2176</v>
      </c>
      <c r="B2180" s="16" t="inlineStr">
        <is>
          <t>Backend</t>
        </is>
      </c>
      <c r="C2180" s="17" t="inlineStr">
        <is>
          <t>ledger-service</t>
        </is>
      </c>
      <c r="D2180" s="16" t="inlineStr">
        <is>
          <t>Unit</t>
        </is>
      </c>
      <c r="E2180" s="17" t="inlineStr">
        <is>
          <t>RecordPaymentHandlerTest › IdempotentVaTuChoi</t>
        </is>
      </c>
      <c r="F2180" s="17" t="inlineStr">
        <is>
          <t>Idempotent và từ chối</t>
        </is>
      </c>
      <c r="G2180" s="17" t="inlineStr">
        <is>
          <t>Tổng 0 đồng: từ chối, không ghi bút toán vô nghĩa</t>
        </is>
      </c>
      <c r="H2180" s="17" t="inlineStr">
        <is>
          <t>tong_khong_dong</t>
        </is>
      </c>
      <c r="I2180" s="16" t="inlineStr">
        <is>
          <t>Đạt</t>
        </is>
      </c>
      <c r="J2180" s="16" t="n">
        <v>0.013</v>
      </c>
    </row>
    <row r="2181">
      <c r="A2181" s="16" t="n">
        <v>2177</v>
      </c>
      <c r="B2181" s="16" t="inlineStr">
        <is>
          <t>Backend</t>
        </is>
      </c>
      <c r="C2181" s="17" t="inlineStr">
        <is>
          <t>ledger-service</t>
        </is>
      </c>
      <c r="D2181" s="16" t="inlineStr">
        <is>
          <t>Unit</t>
        </is>
      </c>
      <c r="E2181" s="17" t="inlineStr">
        <is>
          <t>LedgerQueriesTest</t>
        </is>
      </c>
      <c r="F2181" s="17" t="inlineStr"/>
      <c r="G2181" s="17" t="inlineStr">
        <is>
          <t>Bảng cân đối thử cân: trả hai tổng và balanced=true</t>
        </is>
      </c>
      <c r="H2181" s="17" t="inlineStr">
        <is>
          <t>can_doi_thu_can</t>
        </is>
      </c>
      <c r="I2181" s="16" t="inlineStr">
        <is>
          <t>Đạt</t>
        </is>
      </c>
      <c r="J2181" s="16" t="n">
        <v>0.038</v>
      </c>
    </row>
    <row r="2182">
      <c r="A2182" s="16" t="n">
        <v>2178</v>
      </c>
      <c r="B2182" s="16" t="inlineStr">
        <is>
          <t>Backend</t>
        </is>
      </c>
      <c r="C2182" s="17" t="inlineStr">
        <is>
          <t>ledger-service</t>
        </is>
      </c>
      <c r="D2182" s="16" t="inlineStr">
        <is>
          <t>Unit</t>
        </is>
      </c>
      <c r="E2182" s="17" t="inlineStr">
        <is>
          <t>LedgerQueriesTest</t>
        </is>
      </c>
      <c r="F2182" s="17" t="inlineStr"/>
      <c r="G2182" s="17" t="inlineStr">
        <is>
          <t>Bảng cân đối thử lệch một đồng: balanced=false — cảnh báo mức cao nhất không được nuốt</t>
        </is>
      </c>
      <c r="H2182" s="17" t="inlineStr">
        <is>
          <t>can_doi_thu_lech</t>
        </is>
      </c>
      <c r="I2182" s="16" t="inlineStr">
        <is>
          <t>Đạt</t>
        </is>
      </c>
      <c r="J2182" s="16" t="n">
        <v>0.004</v>
      </c>
    </row>
    <row r="2183">
      <c r="A2183" s="16" t="n">
        <v>2179</v>
      </c>
      <c r="B2183" s="16" t="inlineStr">
        <is>
          <t>Backend</t>
        </is>
      </c>
      <c r="C2183" s="17" t="inlineStr">
        <is>
          <t>ledger-service</t>
        </is>
      </c>
      <c r="D2183" s="16" t="inlineStr">
        <is>
          <t>Unit</t>
        </is>
      </c>
      <c r="E2183" s="17" t="inlineStr">
        <is>
          <t>LedgerQueriesTest</t>
        </is>
      </c>
      <c r="F2183" s="17" t="inlineStr"/>
      <c r="G2183" s="17" t="inlineStr">
        <is>
          <t>Số dư tổ chức: mỗi con số đọc từ ĐÚNG tài khoản 2011/2012/2013/2040 của chính tổ chức đó</t>
        </is>
      </c>
      <c r="H2183" s="17" t="inlineStr">
        <is>
          <t>so_du_to_chuc_dung_tai_khoan</t>
        </is>
      </c>
      <c r="I2183" s="16" t="inlineStr">
        <is>
          <t>Đạt</t>
        </is>
      </c>
      <c r="J2183" s="16" t="n">
        <v>0.025</v>
      </c>
    </row>
    <row r="2184">
      <c r="A2184" s="16" t="n">
        <v>2180</v>
      </c>
      <c r="B2184" s="16" t="inlineStr">
        <is>
          <t>Backend</t>
        </is>
      </c>
      <c r="C2184" s="17" t="inlineStr">
        <is>
          <t>ledger-service</t>
        </is>
      </c>
      <c r="D2184" s="16" t="inlineStr">
        <is>
          <t>ArchUnit</t>
        </is>
      </c>
      <c r="E2184" s="17" t="inlineStr">
        <is>
          <t>ArchitectureTest</t>
        </is>
      </c>
      <c r="F2184" s="17" t="inlineStr"/>
      <c r="G2184" s="17" t="inlineStr">
        <is>
          <t>domain thuan nghiep vu</t>
        </is>
      </c>
      <c r="H2184" s="17" t="inlineStr">
        <is>
          <t>domain_thuan_nghiep_vu</t>
        </is>
      </c>
      <c r="I2184" s="16" t="inlineStr">
        <is>
          <t>Đạt</t>
        </is>
      </c>
      <c r="J2184" s="16" t="n">
        <v>8.630000000000001</v>
      </c>
    </row>
    <row r="2185">
      <c r="A2185" s="16" t="n">
        <v>2181</v>
      </c>
      <c r="B2185" s="16" t="inlineStr">
        <is>
          <t>Backend</t>
        </is>
      </c>
      <c r="C2185" s="17" t="inlineStr">
        <is>
          <t>ledger-service</t>
        </is>
      </c>
      <c r="D2185" s="16" t="inlineStr">
        <is>
          <t>ArchUnit</t>
        </is>
      </c>
      <c r="E2185" s="17" t="inlineStr">
        <is>
          <t>ArchitectureTest</t>
        </is>
      </c>
      <c r="F2185" s="17" t="inlineStr"/>
      <c r="G2185" s="17" t="inlineStr">
        <is>
          <t>chieu phu thuoc hexagonal</t>
        </is>
      </c>
      <c r="H2185" s="17" t="inlineStr">
        <is>
          <t>chieu_phu_thuoc_hexagonal</t>
        </is>
      </c>
      <c r="I2185" s="16" t="inlineStr">
        <is>
          <t>Đạt</t>
        </is>
      </c>
      <c r="J2185" s="16" t="n">
        <v>0.871</v>
      </c>
    </row>
    <row r="2186">
      <c r="A2186" s="16" t="n">
        <v>2182</v>
      </c>
      <c r="B2186" s="16" t="inlineStr">
        <is>
          <t>Backend</t>
        </is>
      </c>
      <c r="C2186" s="17" t="inlineStr">
        <is>
          <t>ledger-service</t>
        </is>
      </c>
      <c r="D2186" s="16" t="inlineStr">
        <is>
          <t>ArchUnit</t>
        </is>
      </c>
      <c r="E2186" s="17" t="inlineStr">
        <is>
          <t>ArchitectureTest</t>
        </is>
      </c>
      <c r="F2186" s="17" t="inlineStr"/>
      <c r="G2186" s="17" t="inlineStr">
        <is>
          <t>khong import cheo context</t>
        </is>
      </c>
      <c r="H2186" s="17" t="inlineStr">
        <is>
          <t>khong_import_cheo_context</t>
        </is>
      </c>
      <c r="I2186" s="16" t="inlineStr">
        <is>
          <t>Đạt</t>
        </is>
      </c>
      <c r="J2186" s="16" t="n">
        <v>0.016</v>
      </c>
    </row>
    <row r="2187">
      <c r="A2187" s="16" t="n">
        <v>2183</v>
      </c>
      <c r="B2187" s="16" t="inlineStr">
        <is>
          <t>Backend</t>
        </is>
      </c>
      <c r="C2187" s="17" t="inlineStr">
        <is>
          <t>ledger-service</t>
        </is>
      </c>
      <c r="D2187" s="16" t="inlineStr">
        <is>
          <t>Unit</t>
        </is>
      </c>
      <c r="E2187" s="17" t="inlineStr">
        <is>
          <t>JournalEntryTest</t>
        </is>
      </c>
      <c r="F2187" s="17" t="inlineStr"/>
      <c r="G2187" s="17" t="inlineStr">
        <is>
          <t>Định khoản 0 đồng bị từ chối ngay khi tạo</t>
        </is>
      </c>
      <c r="H2187" s="17" t="inlineStr">
        <is>
          <t>dinh_khoan_khong_dong</t>
        </is>
      </c>
      <c r="I2187" s="16" t="inlineStr">
        <is>
          <t>Đạt</t>
        </is>
      </c>
      <c r="J2187" s="16" t="n">
        <v>0.007</v>
      </c>
    </row>
    <row r="2188">
      <c r="A2188" s="16" t="n">
        <v>2184</v>
      </c>
      <c r="B2188" s="16" t="inlineStr">
        <is>
          <t>Backend</t>
        </is>
      </c>
      <c r="C2188" s="17" t="inlineStr">
        <is>
          <t>ledger-service</t>
        </is>
      </c>
      <c r="D2188" s="16" t="inlineStr">
        <is>
          <t>Unit</t>
        </is>
      </c>
      <c r="E2188" s="17" t="inlineStr">
        <is>
          <t>JournalEntryTest</t>
        </is>
      </c>
      <c r="F2188" s="17" t="inlineStr"/>
      <c r="G2188" s="17" t="inlineStr">
        <is>
          <t>Lệch một đồng cũng bị từ chối</t>
        </is>
      </c>
      <c r="H2188" s="17" t="inlineStr">
        <is>
          <t>lech_mot_dong_cung_tu_choi</t>
        </is>
      </c>
      <c r="I2188" s="16" t="inlineStr">
        <is>
          <t>Đạt</t>
        </is>
      </c>
      <c r="J2188" s="16" t="n">
        <v>0.004</v>
      </c>
    </row>
    <row r="2189">
      <c r="A2189" s="16" t="n">
        <v>2185</v>
      </c>
      <c r="B2189" s="16" t="inlineStr">
        <is>
          <t>Backend</t>
        </is>
      </c>
      <c r="C2189" s="17" t="inlineStr">
        <is>
          <t>ledger-service</t>
        </is>
      </c>
      <c r="D2189" s="16" t="inlineStr">
        <is>
          <t>Unit</t>
        </is>
      </c>
      <c r="E2189" s="17" t="inlineStr">
        <is>
          <t>JournalEntryTest</t>
        </is>
      </c>
      <c r="F2189" s="17" t="inlineStr"/>
      <c r="G2189" s="17" t="inlineStr">
        <is>
          <t>Hoa hồng 5% của 3.000.000 là 150.000, làm tròn xuống</t>
        </is>
      </c>
      <c r="H2189" s="17" t="inlineStr">
        <is>
          <t>tinh_hoa_hong_theo_basis_point</t>
        </is>
      </c>
      <c r="I2189" s="16" t="inlineStr">
        <is>
          <t>Đạt</t>
        </is>
      </c>
      <c r="J2189" s="16" t="n">
        <v>0.001</v>
      </c>
    </row>
    <row r="2190">
      <c r="A2190" s="16" t="n">
        <v>2186</v>
      </c>
      <c r="B2190" s="16" t="inlineStr">
        <is>
          <t>Backend</t>
        </is>
      </c>
      <c r="C2190" s="17" t="inlineStr">
        <is>
          <t>ledger-service</t>
        </is>
      </c>
      <c r="D2190" s="16" t="inlineStr">
        <is>
          <t>Unit</t>
        </is>
      </c>
      <c r="E2190" s="17" t="inlineStr">
        <is>
          <t>JournalEntryTest</t>
        </is>
      </c>
      <c r="F2190" s="17" t="inlineStr"/>
      <c r="G2190" s="17" t="inlineStr">
        <is>
          <t>Bút toán đảo lật chiều mọi dòng và vẫn cân</t>
        </is>
      </c>
      <c r="H2190" s="17" t="inlineStr">
        <is>
          <t>but_toan_dao_lat_chieu</t>
        </is>
      </c>
      <c r="I2190" s="16" t="inlineStr">
        <is>
          <t>Đạt</t>
        </is>
      </c>
      <c r="J2190" s="16" t="n">
        <v>0.005</v>
      </c>
    </row>
    <row r="2191">
      <c r="A2191" s="16" t="n">
        <v>2187</v>
      </c>
      <c r="B2191" s="16" t="inlineStr">
        <is>
          <t>Backend</t>
        </is>
      </c>
      <c r="C2191" s="17" t="inlineStr">
        <is>
          <t>ledger-service</t>
        </is>
      </c>
      <c r="D2191" s="16" t="inlineStr">
        <is>
          <t>Unit</t>
        </is>
      </c>
      <c r="E2191" s="17" t="inlineStr">
        <is>
          <t>JournalEntryTest</t>
        </is>
      </c>
      <c r="F2191" s="17" t="inlineStr"/>
      <c r="G2191" s="17" t="inlineStr">
        <is>
          <t>Bút toán cân thì lập được</t>
        </is>
      </c>
      <c r="H2191" s="17" t="inlineStr">
        <is>
          <t>but_toan_can</t>
        </is>
      </c>
      <c r="I2191" s="16" t="inlineStr">
        <is>
          <t>Đạt</t>
        </is>
      </c>
      <c r="J2191" s="16" t="n">
        <v>0.003</v>
      </c>
    </row>
    <row r="2192">
      <c r="A2192" s="16" t="n">
        <v>2188</v>
      </c>
      <c r="B2192" s="16" t="inlineStr">
        <is>
          <t>Backend</t>
        </is>
      </c>
      <c r="C2192" s="17" t="inlineStr">
        <is>
          <t>ledger-service</t>
        </is>
      </c>
      <c r="D2192" s="16" t="inlineStr">
        <is>
          <t>Unit</t>
        </is>
      </c>
      <c r="E2192" s="17" t="inlineStr">
        <is>
          <t>JournalEntryTest</t>
        </is>
      </c>
      <c r="F2192" s="17" t="inlineStr"/>
      <c r="G2192" s="17" t="inlineStr">
        <is>
          <t>Một định khoản thì không có gì để đối ứng</t>
        </is>
      </c>
      <c r="H2192" s="17" t="inlineStr">
        <is>
          <t>mot_dinh_khoan_bi_tu_choi</t>
        </is>
      </c>
      <c r="I2192" s="16" t="inlineStr">
        <is>
          <t>Đạt</t>
        </is>
      </c>
      <c r="J2192" s="16" t="n">
        <v>0.003</v>
      </c>
    </row>
    <row r="2193">
      <c r="A2193" s="16" t="n">
        <v>2189</v>
      </c>
      <c r="B2193" s="16" t="inlineStr">
        <is>
          <t>Backend</t>
        </is>
      </c>
      <c r="C2193" s="17" t="inlineStr">
        <is>
          <t>ledger-service</t>
        </is>
      </c>
      <c r="D2193" s="16" t="inlineStr">
        <is>
          <t>Unit</t>
        </is>
      </c>
      <c r="E2193" s="17" t="inlineStr">
        <is>
          <t>LedgerModelEdgeCaseTest › ButToanDao</t>
        </is>
      </c>
      <c r="F2193" s="17" t="inlineStr">
        <is>
          <t>Bút toán đảo</t>
        </is>
      </c>
      <c r="G2193" s="17" t="inlineStr">
        <is>
          <t>Đảo: khoá chống trùng 'reversal:&lt;id&gt;', loại '_REVERSAL', giữ chứng từ gốc và tổ chức</t>
        </is>
      </c>
      <c r="H2193" s="17" t="inlineStr">
        <is>
          <t>dao_giu_dau_vet</t>
        </is>
      </c>
      <c r="I2193" s="16" t="inlineStr">
        <is>
          <t>Đạt</t>
        </is>
      </c>
      <c r="J2193" s="16" t="n">
        <v>0.003</v>
      </c>
    </row>
    <row r="2194">
      <c r="A2194" s="16" t="n">
        <v>2190</v>
      </c>
      <c r="B2194" s="16" t="inlineStr">
        <is>
          <t>Backend</t>
        </is>
      </c>
      <c r="C2194" s="17" t="inlineStr">
        <is>
          <t>ledger-service</t>
        </is>
      </c>
      <c r="D2194" s="16" t="inlineStr">
        <is>
          <t>Unit</t>
        </is>
      </c>
      <c r="E2194" s="17" t="inlineStr">
        <is>
          <t>LedgerModelEdgeCaseTest › ButToanDao</t>
        </is>
      </c>
      <c r="F2194" s="17" t="inlineStr">
        <is>
          <t>Bút toán đảo</t>
        </is>
      </c>
      <c r="G2194" s="17" t="inlineStr">
        <is>
          <t>Đảo hai lần quay về đúng chiều gốc, mỗi lần có khoá chống trùng riêng</t>
        </is>
      </c>
      <c r="H2194" s="17" t="inlineStr">
        <is>
          <t>dao_cua_dao</t>
        </is>
      </c>
      <c r="I2194" s="16" t="inlineStr">
        <is>
          <t>Đạt</t>
        </is>
      </c>
      <c r="J2194" s="16" t="n">
        <v>0.019</v>
      </c>
    </row>
    <row r="2195">
      <c r="A2195" s="16" t="n">
        <v>2191</v>
      </c>
      <c r="B2195" s="16" t="inlineStr">
        <is>
          <t>Backend</t>
        </is>
      </c>
      <c r="C2195" s="17" t="inlineStr">
        <is>
          <t>ledger-service</t>
        </is>
      </c>
      <c r="D2195" s="16" t="inlineStr">
        <is>
          <t>Unit</t>
        </is>
      </c>
      <c r="E2195" s="17" t="inlineStr">
        <is>
          <t>LedgerModelEdgeCaseTest › CanBang</t>
        </is>
      </c>
      <c r="F2195" s="17" t="inlineStr">
        <is>
          <t>Cân bằng</t>
        </is>
      </c>
      <c r="G2195" s="17" t="inlineStr">
        <is>
          <t>Không có định khoản nào: bị chặn</t>
        </is>
      </c>
      <c r="H2195" s="17" t="inlineStr">
        <is>
          <t>khong_co_dinh_khoan</t>
        </is>
      </c>
      <c r="I2195" s="16" t="inlineStr">
        <is>
          <t>Đạt</t>
        </is>
      </c>
      <c r="J2195" s="16" t="n">
        <v>0.005</v>
      </c>
    </row>
    <row r="2196">
      <c r="A2196" s="16" t="n">
        <v>2192</v>
      </c>
      <c r="B2196" s="16" t="inlineStr">
        <is>
          <t>Backend</t>
        </is>
      </c>
      <c r="C2196" s="17" t="inlineStr">
        <is>
          <t>ledger-service</t>
        </is>
      </c>
      <c r="D2196" s="16" t="inlineStr">
        <is>
          <t>Unit</t>
        </is>
      </c>
      <c r="E2196" s="17" t="inlineStr">
        <is>
          <t>LedgerModelEdgeCaseTest › CanBang</t>
        </is>
      </c>
      <c r="F2196" s="17" t="inlineStr">
        <is>
          <t>Cân bằng</t>
        </is>
      </c>
      <c r="G2196" s="17" t="inlineStr">
        <is>
          <t>Số tiền cực lớn cộng tràn long: ném lỗi chứ không quay vòng thành số sai</t>
        </is>
      </c>
      <c r="H2196" s="17" t="inlineStr">
        <is>
          <t>tran_so</t>
        </is>
      </c>
      <c r="I2196" s="16" t="inlineStr">
        <is>
          <t>Đạt</t>
        </is>
      </c>
      <c r="J2196" s="16" t="n">
        <v>0.004</v>
      </c>
    </row>
    <row r="2197">
      <c r="A2197" s="16" t="n">
        <v>2193</v>
      </c>
      <c r="B2197" s="16" t="inlineStr">
        <is>
          <t>Backend</t>
        </is>
      </c>
      <c r="C2197" s="17" t="inlineStr">
        <is>
          <t>ledger-service</t>
        </is>
      </c>
      <c r="D2197" s="16" t="inlineStr">
        <is>
          <t>Unit</t>
        </is>
      </c>
      <c r="E2197" s="17" t="inlineStr">
        <is>
          <t>LedgerModelEdgeCaseTest › CanBang</t>
        </is>
      </c>
      <c r="F2197" s="17" t="inlineStr">
        <is>
          <t>Cân bằng</t>
        </is>
      </c>
      <c r="G2197" s="17" t="inlineStr">
        <is>
          <t>Nhiều dòng Nợ và nhiều dòng Có: cân thì lập được, tổng là tổng một phía</t>
        </is>
      </c>
      <c r="H2197" s="17" t="inlineStr">
        <is>
          <t>nhieu_dong_hai_phia</t>
        </is>
      </c>
      <c r="I2197" s="16" t="inlineStr">
        <is>
          <t>Đạt</t>
        </is>
      </c>
      <c r="J2197" s="16" t="n">
        <v>0.004</v>
      </c>
    </row>
    <row r="2198">
      <c r="A2198" s="16" t="n">
        <v>2194</v>
      </c>
      <c r="B2198" s="16" t="inlineStr">
        <is>
          <t>Backend</t>
        </is>
      </c>
      <c r="C2198" s="17" t="inlineStr">
        <is>
          <t>ledger-service</t>
        </is>
      </c>
      <c r="D2198" s="16" t="inlineStr">
        <is>
          <t>Unit</t>
        </is>
      </c>
      <c r="E2198" s="17" t="inlineStr">
        <is>
          <t>LedgerModelEdgeCaseTest › CanBang</t>
        </is>
      </c>
      <c r="F2198" s="17" t="inlineStr">
        <is>
          <t>Cân bằng</t>
        </is>
      </c>
      <c r="G2198" s="17" t="inlineStr">
        <is>
          <t>Thừa bên Nợ một đồng cũng bị chặn — lệch chiều nào cũng là lệch</t>
        </is>
      </c>
      <c r="H2198" s="17" t="inlineStr">
        <is>
          <t>thua_ben_no</t>
        </is>
      </c>
      <c r="I2198" s="16" t="inlineStr">
        <is>
          <t>Đạt</t>
        </is>
      </c>
      <c r="J2198" s="16" t="n">
        <v>0.003</v>
      </c>
    </row>
    <row r="2199">
      <c r="A2199" s="16" t="n">
        <v>2195</v>
      </c>
      <c r="B2199" s="16" t="inlineStr">
        <is>
          <t>Backend</t>
        </is>
      </c>
      <c r="C2199" s="17" t="inlineStr">
        <is>
          <t>ledger-service</t>
        </is>
      </c>
      <c r="D2199" s="16" t="inlineStr">
        <is>
          <t>Unit</t>
        </is>
      </c>
      <c r="E2199" s="17" t="inlineStr">
        <is>
          <t>LedgerModelEdgeCaseTest › CanBang</t>
        </is>
      </c>
      <c r="F2199" s="17" t="inlineStr">
        <is>
          <t>Cân bằng</t>
        </is>
      </c>
      <c r="G2199" s="17" t="inlineStr">
        <is>
          <t>Danh sách định khoản trả ra không sửa được</t>
        </is>
      </c>
      <c r="H2199" s="17" t="inlineStr">
        <is>
          <t>postings_bat_bien</t>
        </is>
      </c>
      <c r="I2199" s="16" t="inlineStr">
        <is>
          <t>Đạt</t>
        </is>
      </c>
      <c r="J2199" s="16" t="n">
        <v>0.005</v>
      </c>
    </row>
    <row r="2200">
      <c r="A2200" s="16" t="n">
        <v>2196</v>
      </c>
      <c r="B2200" s="16" t="inlineStr">
        <is>
          <t>Backend</t>
        </is>
      </c>
      <c r="C2200" s="17" t="inlineStr">
        <is>
          <t>ledger-service</t>
        </is>
      </c>
      <c r="D2200" s="16" t="inlineStr">
        <is>
          <t>Unit</t>
        </is>
      </c>
      <c r="E2200" s="17" t="inlineStr">
        <is>
          <t>LedgerModelEdgeCaseTest › CanBang</t>
        </is>
      </c>
      <c r="F2200" s="17" t="inlineStr">
        <is>
          <t>Cân bằng</t>
        </is>
      </c>
      <c r="G2200" s="17" t="inlineStr">
        <is>
          <t>Chỉ có dòng Có (hai dòng): không cân — Nợ 0 khác Có</t>
        </is>
      </c>
      <c r="H2200" s="17" t="inlineStr">
        <is>
          <t>chi_co_dong_co</t>
        </is>
      </c>
      <c r="I2200" s="16" t="inlineStr">
        <is>
          <t>Đạt</t>
        </is>
      </c>
      <c r="J2200" s="16" t="n">
        <v>0.002</v>
      </c>
    </row>
    <row r="2201">
      <c r="A2201" s="16" t="n">
        <v>2197</v>
      </c>
      <c r="B2201" s="16" t="inlineStr">
        <is>
          <t>Backend</t>
        </is>
      </c>
      <c r="C2201" s="17" t="inlineStr">
        <is>
          <t>ledger-service</t>
        </is>
      </c>
      <c r="D2201" s="16" t="inlineStr">
        <is>
          <t>Unit</t>
        </is>
      </c>
      <c r="E2201" s="17" t="inlineStr">
        <is>
          <t>LedgerModelEdgeCaseTest › GiaTri</t>
        </is>
      </c>
      <c r="F2201" s="17" t="inlineStr">
        <is>
          <t>Posting, AccountCode, Direction</t>
        </is>
      </c>
      <c r="G2201" s="17" t="inlineStr">
        <is>
          <t>Số tiền âm không tồn tại trong sổ: chiều tiền là Direction, không phải dấu</t>
        </is>
      </c>
      <c r="H2201" s="17" t="inlineStr">
        <is>
          <t>khong_co_tien_am</t>
        </is>
      </c>
      <c r="I2201" s="16" t="inlineStr">
        <is>
          <t>Đạt</t>
        </is>
      </c>
      <c r="J2201" s="16" t="n">
        <v>0.008999999999999999</v>
      </c>
    </row>
    <row r="2202">
      <c r="A2202" s="16" t="n">
        <v>2198</v>
      </c>
      <c r="B2202" s="16" t="inlineStr">
        <is>
          <t>Backend</t>
        </is>
      </c>
      <c r="C2202" s="17" t="inlineStr">
        <is>
          <t>ledger-service</t>
        </is>
      </c>
      <c r="D2202" s="16" t="inlineStr">
        <is>
          <t>Unit</t>
        </is>
      </c>
      <c r="E2202" s="17" t="inlineStr">
        <is>
          <t>LedgerModelEdgeCaseTest › GiaTri</t>
        </is>
      </c>
      <c r="F2202" s="17" t="inlineStr">
        <is>
          <t>Posting, AccountCode, Direction</t>
        </is>
      </c>
      <c r="G2202" s="17" t="inlineStr">
        <is>
          <t>Mã tài khoản null: từ chối; mã hợp lệ in ra đúng 4 chữ số</t>
        </is>
      </c>
      <c r="H2202" s="17" t="inlineStr">
        <is>
          <t>ma_tai_khoan_null_va_hop_le</t>
        </is>
      </c>
      <c r="I2202" s="16" t="inlineStr">
        <is>
          <t>Đạt</t>
        </is>
      </c>
      <c r="J2202" s="16" t="n">
        <v>0.004</v>
      </c>
    </row>
    <row r="2203">
      <c r="A2203" s="16" t="n">
        <v>2199</v>
      </c>
      <c r="B2203" s="16" t="inlineStr">
        <is>
          <t>Backend</t>
        </is>
      </c>
      <c r="C2203" s="17" t="inlineStr">
        <is>
          <t>ledger-service</t>
        </is>
      </c>
      <c r="D2203" s="16" t="inlineStr">
        <is>
          <t>Unit</t>
        </is>
      </c>
      <c r="E2203" s="17" t="inlineStr">
        <is>
          <t>LedgerModelEdgeCaseTest › GiaTri</t>
        </is>
      </c>
      <c r="F2203" s="17" t="inlineStr">
        <is>
          <t>Posting, AccountCode, Direction</t>
        </is>
      </c>
      <c r="G2203" s="17" t="inlineStr">
        <is>
          <t>lineNo nhỏ hơn 1: từ chối</t>
        </is>
      </c>
      <c r="H2203" s="17" t="inlineStr">
        <is>
          <t>line_no_khong_hop_le(int)[1]</t>
        </is>
      </c>
      <c r="I2203" s="16" t="inlineStr">
        <is>
          <t>Đạt</t>
        </is>
      </c>
      <c r="J2203" s="16" t="n">
        <v>0.007</v>
      </c>
    </row>
    <row r="2204">
      <c r="A2204" s="16" t="n">
        <v>2200</v>
      </c>
      <c r="B2204" s="16" t="inlineStr">
        <is>
          <t>Backend</t>
        </is>
      </c>
      <c r="C2204" s="17" t="inlineStr">
        <is>
          <t>ledger-service</t>
        </is>
      </c>
      <c r="D2204" s="16" t="inlineStr">
        <is>
          <t>Unit</t>
        </is>
      </c>
      <c r="E2204" s="17" t="inlineStr">
        <is>
          <t>LedgerModelEdgeCaseTest › GiaTri</t>
        </is>
      </c>
      <c r="F2204" s="17" t="inlineStr">
        <is>
          <t>Posting, AccountCode, Direction</t>
        </is>
      </c>
      <c r="G2204" s="17" t="inlineStr">
        <is>
          <t>lineNo nhỏ hơn 1: từ chối</t>
        </is>
      </c>
      <c r="H2204" s="17" t="inlineStr">
        <is>
          <t>line_no_khong_hop_le(int)[2]</t>
        </is>
      </c>
      <c r="I2204" s="16" t="inlineStr">
        <is>
          <t>Đạt</t>
        </is>
      </c>
      <c r="J2204" s="16" t="n">
        <v>0.005</v>
      </c>
    </row>
    <row r="2205">
      <c r="A2205" s="16" t="n">
        <v>2201</v>
      </c>
      <c r="B2205" s="16" t="inlineStr">
        <is>
          <t>Backend</t>
        </is>
      </c>
      <c r="C2205" s="17" t="inlineStr">
        <is>
          <t>ledger-service</t>
        </is>
      </c>
      <c r="D2205" s="16" t="inlineStr">
        <is>
          <t>Unit</t>
        </is>
      </c>
      <c r="E2205" s="17" t="inlineStr">
        <is>
          <t>LedgerModelEdgeCaseTest › GiaTri</t>
        </is>
      </c>
      <c r="F2205" s="17" t="inlineStr">
        <is>
          <t>Posting, AccountCode, Direction</t>
        </is>
      </c>
      <c r="G2205" s="17" t="inlineStr">
        <is>
          <t>Chiều tiền: đảo hai lần về chính nó; dấu dương khi trùng chiều số dư thường</t>
        </is>
      </c>
      <c r="H2205" s="17" t="inlineStr">
        <is>
          <t>chieu_tien</t>
        </is>
      </c>
      <c r="I2205" s="16" t="inlineStr">
        <is>
          <t>Đạt</t>
        </is>
      </c>
      <c r="J2205" s="16" t="n">
        <v>0.01</v>
      </c>
    </row>
    <row r="2206">
      <c r="A2206" s="16" t="n">
        <v>2202</v>
      </c>
      <c r="B2206" s="16" t="inlineStr">
        <is>
          <t>Backend</t>
        </is>
      </c>
      <c r="C2206" s="17" t="inlineStr">
        <is>
          <t>ledger-service</t>
        </is>
      </c>
      <c r="D2206" s="16" t="inlineStr">
        <is>
          <t>Unit</t>
        </is>
      </c>
      <c r="E2206" s="17" t="inlineStr">
        <is>
          <t>LedgerModelEdgeCaseTest › GiaTri</t>
        </is>
      </c>
      <c r="F2206" s="17" t="inlineStr">
        <is>
          <t>Posting, AccountCode, Direction</t>
        </is>
      </c>
      <c r="G2206" s="17" t="inlineStr">
        <is>
          <t>Mã tài khoản không phải đúng 4 chữ số: từ chối</t>
        </is>
      </c>
      <c r="H2206" s="17" t="inlineStr">
        <is>
          <t>ma_tai_khoan_sai(String)[1]</t>
        </is>
      </c>
      <c r="I2206" s="16" t="inlineStr">
        <is>
          <t>Đạt</t>
        </is>
      </c>
      <c r="J2206" s="16" t="n">
        <v>0.004</v>
      </c>
    </row>
    <row r="2207">
      <c r="A2207" s="16" t="n">
        <v>2203</v>
      </c>
      <c r="B2207" s="16" t="inlineStr">
        <is>
          <t>Backend</t>
        </is>
      </c>
      <c r="C2207" s="17" t="inlineStr">
        <is>
          <t>ledger-service</t>
        </is>
      </c>
      <c r="D2207" s="16" t="inlineStr">
        <is>
          <t>Unit</t>
        </is>
      </c>
      <c r="E2207" s="17" t="inlineStr">
        <is>
          <t>LedgerModelEdgeCaseTest › GiaTri</t>
        </is>
      </c>
      <c r="F2207" s="17" t="inlineStr">
        <is>
          <t>Posting, AccountCode, Direction</t>
        </is>
      </c>
      <c r="G2207" s="17" t="inlineStr">
        <is>
          <t>Mã tài khoản không phải đúng 4 chữ số: từ chối</t>
        </is>
      </c>
      <c r="H2207" s="17" t="inlineStr">
        <is>
          <t>ma_tai_khoan_sai(String)[2]</t>
        </is>
      </c>
      <c r="I2207" s="16" t="inlineStr">
        <is>
          <t>Đạt</t>
        </is>
      </c>
      <c r="J2207" s="16" t="n">
        <v>0.002</v>
      </c>
    </row>
    <row r="2208">
      <c r="A2208" s="16" t="n">
        <v>2204</v>
      </c>
      <c r="B2208" s="16" t="inlineStr">
        <is>
          <t>Backend</t>
        </is>
      </c>
      <c r="C2208" s="17" t="inlineStr">
        <is>
          <t>ledger-service</t>
        </is>
      </c>
      <c r="D2208" s="16" t="inlineStr">
        <is>
          <t>Unit</t>
        </is>
      </c>
      <c r="E2208" s="17" t="inlineStr">
        <is>
          <t>LedgerModelEdgeCaseTest › GiaTri</t>
        </is>
      </c>
      <c r="F2208" s="17" t="inlineStr">
        <is>
          <t>Posting, AccountCode, Direction</t>
        </is>
      </c>
      <c r="G2208" s="17" t="inlineStr">
        <is>
          <t>Mã tài khoản không phải đúng 4 chữ số: từ chối</t>
        </is>
      </c>
      <c r="H2208" s="17" t="inlineStr">
        <is>
          <t>ma_tai_khoan_sai(String)[3]</t>
        </is>
      </c>
      <c r="I2208" s="16" t="inlineStr">
        <is>
          <t>Đạt</t>
        </is>
      </c>
      <c r="J2208" s="16" t="n">
        <v>0.002</v>
      </c>
    </row>
    <row r="2209">
      <c r="A2209" s="16" t="n">
        <v>2205</v>
      </c>
      <c r="B2209" s="16" t="inlineStr">
        <is>
          <t>Backend</t>
        </is>
      </c>
      <c r="C2209" s="17" t="inlineStr">
        <is>
          <t>ledger-service</t>
        </is>
      </c>
      <c r="D2209" s="16" t="inlineStr">
        <is>
          <t>Unit</t>
        </is>
      </c>
      <c r="E2209" s="17" t="inlineStr">
        <is>
          <t>LedgerModelEdgeCaseTest › GiaTri</t>
        </is>
      </c>
      <c r="F2209" s="17" t="inlineStr">
        <is>
          <t>Posting, AccountCode, Direction</t>
        </is>
      </c>
      <c r="G2209" s="17" t="inlineStr">
        <is>
          <t>Mã tài khoản không phải đúng 4 chữ số: từ chối</t>
        </is>
      </c>
      <c r="H2209" s="17" t="inlineStr">
        <is>
          <t>ma_tai_khoan_sai(String)[4]</t>
        </is>
      </c>
      <c r="I2209" s="16" t="inlineStr">
        <is>
          <t>Đạt</t>
        </is>
      </c>
      <c r="J2209" s="16" t="n">
        <v>0.001</v>
      </c>
    </row>
    <row r="2210">
      <c r="A2210" s="16" t="n">
        <v>2206</v>
      </c>
      <c r="B2210" s="16" t="inlineStr">
        <is>
          <t>Backend</t>
        </is>
      </c>
      <c r="C2210" s="17" t="inlineStr">
        <is>
          <t>ledger-service</t>
        </is>
      </c>
      <c r="D2210" s="16" t="inlineStr">
        <is>
          <t>Unit</t>
        </is>
      </c>
      <c r="E2210" s="17" t="inlineStr">
        <is>
          <t>LedgerModelEdgeCaseTest › GiaTri</t>
        </is>
      </c>
      <c r="F2210" s="17" t="inlineStr">
        <is>
          <t>Posting, AccountCode, Direction</t>
        </is>
      </c>
      <c r="G2210" s="17" t="inlineStr">
        <is>
          <t>Mã tài khoản không phải đúng 4 chữ số: từ chối</t>
        </is>
      </c>
      <c r="H2210" s="17" t="inlineStr">
        <is>
          <t>ma_tai_khoan_sai(String)[5]</t>
        </is>
      </c>
      <c r="I2210" s="16" t="inlineStr">
        <is>
          <t>Đạt</t>
        </is>
      </c>
      <c r="J2210" s="16" t="n">
        <v>0.001</v>
      </c>
    </row>
    <row r="2211">
      <c r="A2211" s="16" t="n">
        <v>2207</v>
      </c>
      <c r="B2211" s="16" t="inlineStr">
        <is>
          <t>Backend</t>
        </is>
      </c>
      <c r="C2211" s="17" t="inlineStr">
        <is>
          <t>ledger-service</t>
        </is>
      </c>
      <c r="D2211" s="16" t="inlineStr">
        <is>
          <t>Unit</t>
        </is>
      </c>
      <c r="E2211" s="17" t="inlineStr">
        <is>
          <t>LedgerModelEdgeCaseTest › GiaTri</t>
        </is>
      </c>
      <c r="F2211" s="17" t="inlineStr">
        <is>
          <t>Posting, AccountCode, Direction</t>
        </is>
      </c>
      <c r="G2211" s="17" t="inlineStr">
        <is>
          <t>Posting thiếu tài khoản, chiều hoặc số tiền: từ chối</t>
        </is>
      </c>
      <c r="H2211" s="17" t="inlineStr">
        <is>
          <t>posting_thieu_truong</t>
        </is>
      </c>
      <c r="I2211" s="16" t="inlineStr">
        <is>
          <t>Đạt</t>
        </is>
      </c>
      <c r="J2211" s="16" t="n">
        <v>0.005</v>
      </c>
    </row>
    <row r="2212">
      <c r="A2212" s="16" t="n">
        <v>2208</v>
      </c>
      <c r="B2212" s="16" t="inlineStr">
        <is>
          <t>Backend</t>
        </is>
      </c>
      <c r="C2212" s="17" t="inlineStr">
        <is>
          <t>ledger-service</t>
        </is>
      </c>
      <c r="D2212" s="16" t="inlineStr">
        <is>
          <t>Unit</t>
        </is>
      </c>
      <c r="E2212" s="17" t="inlineStr">
        <is>
          <t>LedgerModelEdgeCaseTest › TruongBatBuoc</t>
        </is>
      </c>
      <c r="F2212" s="17" t="inlineStr">
        <is>
          <t>Trường bắt buộc</t>
        </is>
      </c>
      <c r="G2212" s="17" t="inlineStr">
        <is>
          <t>Thiếu entryType, occurredAt, source hoặc createdBy: không lập được</t>
        </is>
      </c>
      <c r="H2212" s="17" t="inlineStr">
        <is>
          <t>thieu_truong_khac</t>
        </is>
      </c>
      <c r="I2212" s="16" t="inlineStr">
        <is>
          <t>Đạt</t>
        </is>
      </c>
      <c r="J2212" s="16" t="n">
        <v>0.007</v>
      </c>
    </row>
    <row r="2213">
      <c r="A2213" s="16" t="n">
        <v>2209</v>
      </c>
      <c r="B2213" s="16" t="inlineStr">
        <is>
          <t>Backend</t>
        </is>
      </c>
      <c r="C2213" s="17" t="inlineStr">
        <is>
          <t>ledger-service</t>
        </is>
      </c>
      <c r="D2213" s="16" t="inlineStr">
        <is>
          <t>Unit</t>
        </is>
      </c>
      <c r="E2213" s="17" t="inlineStr">
        <is>
          <t>LedgerModelEdgeCaseTest › TruongBatBuoc</t>
        </is>
      </c>
      <c r="F2213" s="17" t="inlineStr">
        <is>
          <t>Trường bắt buộc</t>
        </is>
      </c>
      <c r="G2213" s="17" t="inlineStr">
        <is>
          <t>Thiếu idempotencyKey: không lập được — consumer retry sẽ ghi sổ hai lần</t>
        </is>
      </c>
      <c r="H2213" s="17" t="inlineStr">
        <is>
          <t>thieu_idempotency_key</t>
        </is>
      </c>
      <c r="I2213" s="16" t="inlineStr">
        <is>
          <t>Đạt</t>
        </is>
      </c>
      <c r="J2213" s="16" t="n">
        <v>0.002</v>
      </c>
    </row>
    <row r="2214">
      <c r="A2214" s="16" t="n">
        <v>2210</v>
      </c>
      <c r="B2214" s="16" t="inlineStr">
        <is>
          <t>Backend</t>
        </is>
      </c>
      <c r="C2214" s="17" t="inlineStr">
        <is>
          <t>ledger-service</t>
        </is>
      </c>
      <c r="D2214" s="16" t="inlineStr">
        <is>
          <t>Unit</t>
        </is>
      </c>
      <c r="E2214" s="17" t="inlineStr">
        <is>
          <t>OrderPaidListenerTest › Hong</t>
        </is>
      </c>
      <c r="F2214" s="17" t="inlineStr">
        <is>
          <t>Message hỏng: ack và bỏ qua, không ghi sổ</t>
        </is>
      </c>
      <c r="G2214" s="17" t="inlineStr">
        <is>
          <t>orderId không phải UUID: ack, không ném — nếu không sẽ chặn cả hàng đợi tuần tự</t>
        </is>
      </c>
      <c r="H2214" s="17" t="inlineStr">
        <is>
          <t>order_id_khong_phai_uuid</t>
        </is>
      </c>
      <c r="I2214" s="16" t="inlineStr">
        <is>
          <t>Đạt</t>
        </is>
      </c>
      <c r="J2214" s="16" t="n">
        <v>0.508</v>
      </c>
    </row>
    <row r="2215">
      <c r="A2215" s="16" t="n">
        <v>2211</v>
      </c>
      <c r="B2215" s="16" t="inlineStr">
        <is>
          <t>Backend</t>
        </is>
      </c>
      <c r="C2215" s="17" t="inlineStr">
        <is>
          <t>ledger-service</t>
        </is>
      </c>
      <c r="D2215" s="16" t="inlineStr">
        <is>
          <t>Unit</t>
        </is>
      </c>
      <c r="E2215" s="17" t="inlineStr">
        <is>
          <t>OrderPaidListenerTest › Hong</t>
        </is>
      </c>
      <c r="F2215" s="17" t="inlineStr">
        <is>
          <t>Message hỏng: ack và bỏ qua, không ghi sổ</t>
        </is>
      </c>
      <c r="G2215" s="17" t="inlineStr">
        <is>
          <t>Thiếu orderId, organizationId hoặc paidAt</t>
        </is>
      </c>
      <c r="H2215" s="17" t="inlineStr">
        <is>
          <t>thieu_truong</t>
        </is>
      </c>
      <c r="I2215" s="16" t="inlineStr">
        <is>
          <t>Đạt</t>
        </is>
      </c>
      <c r="J2215" s="16" t="n">
        <v>0.021</v>
      </c>
    </row>
    <row r="2216">
      <c r="A2216" s="16" t="n">
        <v>2212</v>
      </c>
      <c r="B2216" s="16" t="inlineStr">
        <is>
          <t>Backend</t>
        </is>
      </c>
      <c r="C2216" s="17" t="inlineStr">
        <is>
          <t>ledger-service</t>
        </is>
      </c>
      <c r="D2216" s="16" t="inlineStr">
        <is>
          <t>Unit</t>
        </is>
      </c>
      <c r="E2216" s="17" t="inlineStr">
        <is>
          <t>OrderPaidListenerTest › Hong</t>
        </is>
      </c>
      <c r="F2216" s="17" t="inlineStr">
        <is>
          <t>Message hỏng: ack và bỏ qua, không ghi sổ</t>
        </is>
      </c>
      <c r="G2216" s="17" t="inlineStr">
        <is>
          <t>totalVnd âm: ack, không ném</t>
        </is>
      </c>
      <c r="H2216" s="17" t="inlineStr">
        <is>
          <t>tong_am</t>
        </is>
      </c>
      <c r="I2216" s="16" t="inlineStr">
        <is>
          <t>Đạt</t>
        </is>
      </c>
      <c r="J2216" s="16" t="n">
        <v>0.024</v>
      </c>
    </row>
    <row r="2217">
      <c r="A2217" s="16" t="n">
        <v>2213</v>
      </c>
      <c r="B2217" s="16" t="inlineStr">
        <is>
          <t>Backend</t>
        </is>
      </c>
      <c r="C2217" s="17" t="inlineStr">
        <is>
          <t>ledger-service</t>
        </is>
      </c>
      <c r="D2217" s="16" t="inlineStr">
        <is>
          <t>Unit</t>
        </is>
      </c>
      <c r="E2217" s="17" t="inlineStr">
        <is>
          <t>OrderPaidListenerTest › Hong</t>
        </is>
      </c>
      <c r="F2217" s="17" t="inlineStr">
        <is>
          <t>Message hỏng: ack và bỏ qua, không ghi sổ</t>
        </is>
      </c>
      <c r="G2217" s="17" t="inlineStr">
        <is>
          <t>Body không phải JSON</t>
        </is>
      </c>
      <c r="H2217" s="17" t="inlineStr">
        <is>
          <t>body_khong_phai_json</t>
        </is>
      </c>
      <c r="I2217" s="16" t="inlineStr">
        <is>
          <t>Đạt</t>
        </is>
      </c>
      <c r="J2217" s="16" t="n">
        <v>0.025</v>
      </c>
    </row>
    <row r="2218">
      <c r="A2218" s="16" t="n">
        <v>2214</v>
      </c>
      <c r="B2218" s="16" t="inlineStr">
        <is>
          <t>Backend</t>
        </is>
      </c>
      <c r="C2218" s="17" t="inlineStr">
        <is>
          <t>ledger-service</t>
        </is>
      </c>
      <c r="D2218" s="16" t="inlineStr">
        <is>
          <t>Unit</t>
        </is>
      </c>
      <c r="E2218" s="17" t="inlineStr">
        <is>
          <t>OrderPaidListenerTest › Hong</t>
        </is>
      </c>
      <c r="F2218" s="17" t="inlineStr">
        <is>
          <t>Message hỏng: ack và bỏ qua, không ghi sổ</t>
        </is>
      </c>
      <c r="G2218" s="17" t="inlineStr">
        <is>
          <t>Không có messageId</t>
        </is>
      </c>
      <c r="H2218" s="17" t="inlineStr">
        <is>
          <t>khong_message_id</t>
        </is>
      </c>
      <c r="I2218" s="16" t="inlineStr">
        <is>
          <t>Đạt</t>
        </is>
      </c>
      <c r="J2218" s="16" t="n">
        <v>0.017</v>
      </c>
    </row>
    <row r="2219">
      <c r="A2219" s="16" t="n">
        <v>2215</v>
      </c>
      <c r="B2219" s="16" t="inlineStr">
        <is>
          <t>Backend</t>
        </is>
      </c>
      <c r="C2219" s="17" t="inlineStr">
        <is>
          <t>ledger-service</t>
        </is>
      </c>
      <c r="D2219" s="16" t="inlineStr">
        <is>
          <t>Unit</t>
        </is>
      </c>
      <c r="E2219" s="17" t="inlineStr">
        <is>
          <t>OrderPaidListenerTest › Hong</t>
        </is>
      </c>
      <c r="F2219" s="17" t="inlineStr">
        <is>
          <t>Message hỏng: ack và bỏ qua, không ghi sổ</t>
        </is>
      </c>
      <c r="G2219" s="17" t="inlineStr">
        <is>
          <t>paidAt sai định dạng: không đoán một mốc thời gian</t>
        </is>
      </c>
      <c r="H2219" s="17" t="inlineStr">
        <is>
          <t>paid_at_sai</t>
        </is>
      </c>
      <c r="I2219" s="16" t="inlineStr">
        <is>
          <t>Đạt</t>
        </is>
      </c>
      <c r="J2219" s="16" t="n">
        <v>0.01</v>
      </c>
    </row>
    <row r="2220">
      <c r="A2220" s="16" t="n">
        <v>2216</v>
      </c>
      <c r="B2220" s="16" t="inlineStr">
        <is>
          <t>Backend</t>
        </is>
      </c>
      <c r="C2220" s="17" t="inlineStr">
        <is>
          <t>ledger-service</t>
        </is>
      </c>
      <c r="D2220" s="16" t="inlineStr">
        <is>
          <t>Unit</t>
        </is>
      </c>
      <c r="E2220" s="17" t="inlineStr">
        <is>
          <t>OrderPaidListenerTest › HopLe</t>
        </is>
      </c>
      <c r="F2220" s="17" t="inlineStr">
        <is>
          <t>Message hợp lệ</t>
        </is>
      </c>
      <c r="G2220" s="17" t="inlineStr">
        <is>
          <t>Dịch đúng: khoá theo đơn, hoa hồng NGUYÊN từ message, thời điểm là paidAt</t>
        </is>
      </c>
      <c r="H2220" s="17" t="inlineStr">
        <is>
          <t>dich_dung</t>
        </is>
      </c>
      <c r="I2220" s="16" t="inlineStr">
        <is>
          <t>Đạt</t>
        </is>
      </c>
      <c r="J2220" s="16" t="n">
        <v>0.06</v>
      </c>
    </row>
    <row r="2221">
      <c r="A2221" s="16" t="n">
        <v>2217</v>
      </c>
      <c r="B2221" s="16" t="inlineStr">
        <is>
          <t>Backend</t>
        </is>
      </c>
      <c r="C2221" s="17" t="inlineStr">
        <is>
          <t>ledger-service</t>
        </is>
      </c>
      <c r="D2221" s="16" t="inlineStr">
        <is>
          <t>Unit</t>
        </is>
      </c>
      <c r="E2221" s="17" t="inlineStr">
        <is>
          <t>OrderPaidListenerTest › HopLe</t>
        </is>
      </c>
      <c r="F2221" s="17" t="inlineStr">
        <is>
          <t>Message hợp lệ</t>
        </is>
      </c>
      <c r="G2221" s="17" t="inlineStr">
        <is>
          <t>Cùng một đơn tới bằng hai message khác messageId: cùng một khoá chống trùng</t>
        </is>
      </c>
      <c r="H2221" s="17" t="inlineStr">
        <is>
          <t>hai_message_cung_don</t>
        </is>
      </c>
      <c r="I2221" s="16" t="inlineStr">
        <is>
          <t>Đạt</t>
        </is>
      </c>
      <c r="J2221" s="16" t="n">
        <v>0.036</v>
      </c>
    </row>
    <row r="2222">
      <c r="A2222" s="16" t="n">
        <v>2218</v>
      </c>
      <c r="B2222" s="16" t="inlineStr">
        <is>
          <t>Backend</t>
        </is>
      </c>
      <c r="C2222" s="17" t="inlineStr">
        <is>
          <t>ledger-service</t>
        </is>
      </c>
      <c r="D2222" s="16" t="inlineStr">
        <is>
          <t>API slice</t>
        </is>
      </c>
      <c r="E2222" s="17" t="inlineStr">
        <is>
          <t>PlatformLedgerControllerWebTest › PhanQuyen</t>
        </is>
      </c>
      <c r="F2222" s="17" t="inlineStr">
        <is>
          <t>Phân quyền</t>
        </is>
      </c>
      <c r="G2222" s="17" t="inlineStr">
        <is>
          <t>Superadmin: số dư một tổ chức bất kỳ (không phải thành viên) — 200, không bị TenantFilter chặn 404</t>
        </is>
      </c>
      <c r="H2222" s="17" t="inlineStr">
        <is>
          <t>superadmin_so_du_to_chuc_khac</t>
        </is>
      </c>
      <c r="I2222" s="16" t="inlineStr">
        <is>
          <t>Đạt</t>
        </is>
      </c>
      <c r="J2222" s="16" t="n">
        <v>0.326</v>
      </c>
    </row>
    <row r="2223">
      <c r="A2223" s="16" t="n">
        <v>2219</v>
      </c>
      <c r="B2223" s="16" t="inlineStr">
        <is>
          <t>Backend</t>
        </is>
      </c>
      <c r="C2223" s="17" t="inlineStr">
        <is>
          <t>ledger-service</t>
        </is>
      </c>
      <c r="D2223" s="16" t="inlineStr">
        <is>
          <t>API slice</t>
        </is>
      </c>
      <c r="E2223" s="17" t="inlineStr">
        <is>
          <t>PlatformLedgerControllerWebTest › PhanQuyen</t>
        </is>
      </c>
      <c r="F2223" s="17" t="inlineStr">
        <is>
          <t>Phân quyền</t>
        </is>
      </c>
      <c r="G2223" s="17" t="inlineStr">
        <is>
          <t>Chủ tổ chức hỏi số dư CỦA CHÍNH tổ chức mình: vẫn 403 — sổ cái là dữ liệu nền tảng</t>
        </is>
      </c>
      <c r="H2223" s="17" t="inlineStr">
        <is>
          <t>chu_to_chuc_so_du_cua_minh_403</t>
        </is>
      </c>
      <c r="I2223" s="16" t="inlineStr">
        <is>
          <t>Đạt</t>
        </is>
      </c>
      <c r="J2223" s="16" t="n">
        <v>0.033</v>
      </c>
    </row>
    <row r="2224">
      <c r="A2224" s="16" t="n">
        <v>2220</v>
      </c>
      <c r="B2224" s="16" t="inlineStr">
        <is>
          <t>Backend</t>
        </is>
      </c>
      <c r="C2224" s="17" t="inlineStr">
        <is>
          <t>ledger-service</t>
        </is>
      </c>
      <c r="D2224" s="16" t="inlineStr">
        <is>
          <t>API slice</t>
        </is>
      </c>
      <c r="E2224" s="17" t="inlineStr">
        <is>
          <t>PlatformLedgerControllerWebTest › PhanQuyen</t>
        </is>
      </c>
      <c r="F2224" s="17" t="inlineStr">
        <is>
          <t>Phân quyền</t>
        </is>
      </c>
      <c r="G2224" s="17" t="inlineStr">
        <is>
          <t>Superadmin: bảng cân đối 200 với đủ ba trường</t>
        </is>
      </c>
      <c r="H2224" s="17" t="inlineStr">
        <is>
          <t>superadmin_can_doi</t>
        </is>
      </c>
      <c r="I2224" s="16" t="inlineStr">
        <is>
          <t>Đạt</t>
        </is>
      </c>
      <c r="J2224" s="16" t="n">
        <v>0.029</v>
      </c>
    </row>
    <row r="2225">
      <c r="A2225" s="16" t="n">
        <v>2221</v>
      </c>
      <c r="B2225" s="16" t="inlineStr">
        <is>
          <t>Backend</t>
        </is>
      </c>
      <c r="C2225" s="17" t="inlineStr">
        <is>
          <t>ledger-service</t>
        </is>
      </c>
      <c r="D2225" s="16" t="inlineStr">
        <is>
          <t>API slice</t>
        </is>
      </c>
      <c r="E2225" s="17" t="inlineStr">
        <is>
          <t>PlatformLedgerControllerWebTest › PhanQuyen</t>
        </is>
      </c>
      <c r="F2225" s="17" t="inlineStr">
        <is>
          <t>Phân quyền</t>
        </is>
      </c>
      <c r="G2225" s="17" t="inlineStr">
        <is>
          <t>Chủ tổ chức hỏi bảng cân đối: 403 FORBIDDEN</t>
        </is>
      </c>
      <c r="H2225" s="17" t="inlineStr">
        <is>
          <t>chu_to_chuc_can_doi_403</t>
        </is>
      </c>
      <c r="I2225" s="16" t="inlineStr">
        <is>
          <t>Đạt</t>
        </is>
      </c>
      <c r="J2225" s="16" t="n">
        <v>0.022</v>
      </c>
    </row>
    <row r="2226">
      <c r="A2226" s="16" t="n">
        <v>2222</v>
      </c>
      <c r="B2226" s="16" t="inlineStr">
        <is>
          <t>Backend</t>
        </is>
      </c>
      <c r="C2226" s="17" t="inlineStr">
        <is>
          <t>ledger-service</t>
        </is>
      </c>
      <c r="D2226" s="16" t="inlineStr">
        <is>
          <t>API slice</t>
        </is>
      </c>
      <c r="E2226" s="17" t="inlineStr">
        <is>
          <t>PlatformLedgerControllerWebTest › ThamSo</t>
        </is>
      </c>
      <c r="F2226" s="17" t="inlineStr">
        <is>
          <t>Tham số</t>
        </is>
      </c>
      <c r="G2226" s="17" t="inlineStr">
        <is>
          <t>organizationId không phải UUID: 400, không đọc sổ</t>
        </is>
      </c>
      <c r="H2226" s="17" t="inlineStr">
        <is>
          <t>id_khong_phai_uuid</t>
        </is>
      </c>
      <c r="I2226" s="16" t="inlineStr">
        <is>
          <t>Đạt</t>
        </is>
      </c>
      <c r="J2226" s="16" t="n">
        <v>0.926</v>
      </c>
    </row>
    <row r="2227">
      <c r="A2227" s="16" t="n">
        <v>2223</v>
      </c>
      <c r="B2227" s="16" t="inlineStr">
        <is>
          <t>Backend</t>
        </is>
      </c>
      <c r="C2227" s="17" t="inlineStr">
        <is>
          <t>ledger-service</t>
        </is>
      </c>
      <c r="D2227" s="16" t="inlineStr">
        <is>
          <t>API slice</t>
        </is>
      </c>
      <c r="E2227" s="17" t="inlineStr">
        <is>
          <t>PlatformLedgerControllerWebTest › XacThuc</t>
        </is>
      </c>
      <c r="F2227" s="17" t="inlineStr">
        <is>
          <t>Xác thực</t>
        </is>
      </c>
      <c r="G2227" s="17" t="inlineStr">
        <is>
          <t>Token hợp lệ nhưng identity không biết người này: 401 UNAUTHENTICATED dạng RFC 7807</t>
        </is>
      </c>
      <c r="H2227" s="17" t="inlineStr">
        <is>
          <t>nguoi_la</t>
        </is>
      </c>
      <c r="I2227" s="16" t="inlineStr">
        <is>
          <t>Đạt</t>
        </is>
      </c>
      <c r="J2227" s="16" t="n">
        <v>0.019</v>
      </c>
    </row>
    <row r="2228">
      <c r="A2228" s="16" t="n">
        <v>2224</v>
      </c>
      <c r="B2228" s="16" t="inlineStr">
        <is>
          <t>Backend</t>
        </is>
      </c>
      <c r="C2228" s="17" t="inlineStr">
        <is>
          <t>ledger-service</t>
        </is>
      </c>
      <c r="D2228" s="16" t="inlineStr">
        <is>
          <t>API slice</t>
        </is>
      </c>
      <c r="E2228" s="17" t="inlineStr">
        <is>
          <t>PlatformLedgerControllerWebTest › XacThuc</t>
        </is>
      </c>
      <c r="F2228" s="17" t="inlineStr">
        <is>
          <t>Xác thực</t>
        </is>
      </c>
      <c r="G2228" s="17" t="inlineStr">
        <is>
          <t>Token hỏng: 401 kèm WWW-Authenticate, không đọc sổ</t>
        </is>
      </c>
      <c r="H2228" s="17" t="inlineStr">
        <is>
          <t>token_hong</t>
        </is>
      </c>
      <c r="I2228" s="16" t="inlineStr">
        <is>
          <t>Đạt</t>
        </is>
      </c>
      <c r="J2228" s="16" t="n">
        <v>0.029</v>
      </c>
    </row>
    <row r="2229">
      <c r="A2229" s="16" t="n">
        <v>2225</v>
      </c>
      <c r="B2229" s="16" t="inlineStr">
        <is>
          <t>Backend</t>
        </is>
      </c>
      <c r="C2229" s="17" t="inlineStr">
        <is>
          <t>ledger-service</t>
        </is>
      </c>
      <c r="D2229" s="16" t="inlineStr">
        <is>
          <t>API slice</t>
        </is>
      </c>
      <c r="E2229" s="17" t="inlineStr">
        <is>
          <t>PlatformLedgerControllerWebTest › XacThuc</t>
        </is>
      </c>
      <c r="F2229" s="17" t="inlineStr">
        <is>
          <t>Xác thực</t>
        </is>
      </c>
      <c r="G2229" s="17" t="inlineStr">
        <is>
          <t>Không có token: 401, không đọc sổ</t>
        </is>
      </c>
      <c r="H2229" s="17" t="inlineStr">
        <is>
          <t>khong_token</t>
        </is>
      </c>
      <c r="I2229" s="16" t="inlineStr">
        <is>
          <t>Đạt</t>
        </is>
      </c>
      <c r="J2229" s="16" t="n">
        <v>0.015</v>
      </c>
    </row>
    <row r="2230">
      <c r="A2230" s="16" t="n">
        <v>2226</v>
      </c>
      <c r="B2230" s="16" t="inlineStr">
        <is>
          <t>Backend</t>
        </is>
      </c>
      <c r="C2230" s="17" t="inlineStr">
        <is>
          <t>notification-service</t>
        </is>
      </c>
      <c r="D2230" s="16" t="inlineStr">
        <is>
          <t>Unit</t>
        </is>
      </c>
      <c r="E2230" s="17" t="inlineStr">
        <is>
          <t>NotificationHandlersTest › Dispatch</t>
        </is>
      </c>
      <c r="F2230" s="17" t="inlineStr">
        <is>
          <t>DispatchNotificationsJob</t>
        </is>
      </c>
      <c r="G2230" s="17" t="inlineStr">
        <is>
          <t>lỗi thứ năm: thư thành DEAD và vẫn được lưu</t>
        </is>
      </c>
      <c r="H2230" s="17" t="inlineStr">
        <is>
          <t>loi_thu_nam_thanh_dead</t>
        </is>
      </c>
      <c r="I2230" s="16" t="inlineStr">
        <is>
          <t>Đạt</t>
        </is>
      </c>
      <c r="J2230" s="16" t="n">
        <v>0.336</v>
      </c>
    </row>
    <row r="2231">
      <c r="A2231" s="16" t="n">
        <v>2227</v>
      </c>
      <c r="B2231" s="16" t="inlineStr">
        <is>
          <t>Backend</t>
        </is>
      </c>
      <c r="C2231" s="17" t="inlineStr">
        <is>
          <t>notification-service</t>
        </is>
      </c>
      <c r="D2231" s="16" t="inlineStr">
        <is>
          <t>Unit</t>
        </is>
      </c>
      <c r="E2231" s="17" t="inlineStr">
        <is>
          <t>NotificationHandlersTest › Dispatch</t>
        </is>
      </c>
      <c r="F2231" s="17" t="inlineStr">
        <is>
          <t>DispatchNotificationsJob</t>
        </is>
      </c>
      <c r="G2231" s="17" t="inlineStr">
        <is>
          <t>một thư hỏng không chặn cả lô: thư sau vẫn được gửi, thư hỏng được lên lịch thử lại</t>
        </is>
      </c>
      <c r="H2231" s="17" t="inlineStr">
        <is>
          <t>mot_thu_hong_khong_chan_lo</t>
        </is>
      </c>
      <c r="I2231" s="16" t="inlineStr">
        <is>
          <t>Đạt</t>
        </is>
      </c>
      <c r="J2231" s="16" t="n">
        <v>0.016</v>
      </c>
    </row>
    <row r="2232">
      <c r="A2232" s="16" t="n">
        <v>2228</v>
      </c>
      <c r="B2232" s="16" t="inlineStr">
        <is>
          <t>Backend</t>
        </is>
      </c>
      <c r="C2232" s="17" t="inlineStr">
        <is>
          <t>notification-service</t>
        </is>
      </c>
      <c r="D2232" s="16" t="inlineStr">
        <is>
          <t>Unit</t>
        </is>
      </c>
      <c r="E2232" s="17" t="inlineStr">
        <is>
          <t>NotificationHandlersTest › Dispatch</t>
        </is>
      </c>
      <c r="F2232" s="17" t="inlineStr">
        <is>
          <t>DispatchNotificationsJob</t>
        </is>
      </c>
      <c r="G2232" s="17" t="inlineStr">
        <is>
          <t>hỏi đúng thời điểm hiện tại và lô 100</t>
        </is>
      </c>
      <c r="H2232" s="17" t="inlineStr">
        <is>
          <t>hoi_dung_tham_so</t>
        </is>
      </c>
      <c r="I2232" s="16" t="inlineStr">
        <is>
          <t>Đạt</t>
        </is>
      </c>
      <c r="J2232" s="16" t="n">
        <v>0.003</v>
      </c>
    </row>
    <row r="2233">
      <c r="A2233" s="16" t="n">
        <v>2229</v>
      </c>
      <c r="B2233" s="16" t="inlineStr">
        <is>
          <t>Backend</t>
        </is>
      </c>
      <c r="C2233" s="17" t="inlineStr">
        <is>
          <t>notification-service</t>
        </is>
      </c>
      <c r="D2233" s="16" t="inlineStr">
        <is>
          <t>Unit</t>
        </is>
      </c>
      <c r="E2233" s="17" t="inlineStr">
        <is>
          <t>NotificationHandlersTest › Dispatch</t>
        </is>
      </c>
      <c r="F2233" s="17" t="inlineStr">
        <is>
          <t>DispatchNotificationsJob</t>
        </is>
      </c>
      <c r="G2233" s="17" t="inlineStr">
        <is>
          <t>gửi thành công: markSent, lưu lại, đếm vào kết quả</t>
        </is>
      </c>
      <c r="H2233" s="17" t="inlineStr">
        <is>
          <t>gui_thanh_cong</t>
        </is>
      </c>
      <c r="I2233" s="16" t="inlineStr">
        <is>
          <t>Đạt</t>
        </is>
      </c>
      <c r="J2233" s="16" t="n">
        <v>0.003</v>
      </c>
    </row>
    <row r="2234">
      <c r="A2234" s="16" t="n">
        <v>2230</v>
      </c>
      <c r="B2234" s="16" t="inlineStr">
        <is>
          <t>Backend</t>
        </is>
      </c>
      <c r="C2234" s="17" t="inlineStr">
        <is>
          <t>notification-service</t>
        </is>
      </c>
      <c r="D2234" s="16" t="inlineStr">
        <is>
          <t>Unit</t>
        </is>
      </c>
      <c r="E2234" s="17" t="inlineStr">
        <is>
          <t>NotificationHandlersTest › Dispatch</t>
        </is>
      </c>
      <c r="F2234" s="17" t="inlineStr">
        <is>
          <t>DispatchNotificationsJob</t>
        </is>
      </c>
      <c r="G2234" s="17" t="inlineStr">
        <is>
          <t>không có thư đến hạn: trả 0, không gửi gì</t>
        </is>
      </c>
      <c r="H2234" s="17" t="inlineStr">
        <is>
          <t>khong_co_thu</t>
        </is>
      </c>
      <c r="I2234" s="16" t="inlineStr">
        <is>
          <t>Đạt</t>
        </is>
      </c>
      <c r="J2234" s="16" t="n">
        <v>0.003</v>
      </c>
    </row>
    <row r="2235">
      <c r="A2235" s="16" t="n">
        <v>2231</v>
      </c>
      <c r="B2235" s="16" t="inlineStr">
        <is>
          <t>Backend</t>
        </is>
      </c>
      <c r="C2235" s="17" t="inlineStr">
        <is>
          <t>notification-service</t>
        </is>
      </c>
      <c r="D2235" s="16" t="inlineStr">
        <is>
          <t>Unit</t>
        </is>
      </c>
      <c r="E2235" s="17" t="inlineStr">
        <is>
          <t>NotificationHandlersTest › Queue</t>
        </is>
      </c>
      <c r="F2235" s="17" t="inlineStr">
        <is>
          <t>QueueNotificationHandler</t>
        </is>
      </c>
      <c r="G2235" s="17" t="inlineStr">
        <is>
          <t>không bao giờ gọi sender: gửi là việc của job, không nằm trong consumer</t>
        </is>
      </c>
      <c r="H2235" s="17" t="inlineStr">
        <is>
          <t>khong_gui_trong_consumer</t>
        </is>
      </c>
      <c r="I2235" s="16" t="inlineStr">
        <is>
          <t>Đạt</t>
        </is>
      </c>
      <c r="J2235" s="16" t="n">
        <v>0.004</v>
      </c>
    </row>
    <row r="2236">
      <c r="A2236" s="16" t="n">
        <v>2232</v>
      </c>
      <c r="B2236" s="16" t="inlineStr">
        <is>
          <t>Backend</t>
        </is>
      </c>
      <c r="C2236" s="17" t="inlineStr">
        <is>
          <t>notification-service</t>
        </is>
      </c>
      <c r="D2236" s="16" t="inlineStr">
        <is>
          <t>Unit</t>
        </is>
      </c>
      <c r="E2236" s="17" t="inlineStr">
        <is>
          <t>NotificationHandlersTest › Queue</t>
        </is>
      </c>
      <c r="F2236" s="17" t="inlineStr">
        <is>
          <t>QueueNotificationHandler</t>
        </is>
      </c>
      <c r="G2236" s="17" t="inlineStr">
        <is>
          <t>sự kiện trùng (repository trả false): handler trả false, không ném</t>
        </is>
      </c>
      <c r="H2236" s="17" t="inlineStr">
        <is>
          <t>su_kien_trung</t>
        </is>
      </c>
      <c r="I2236" s="16" t="inlineStr">
        <is>
          <t>Đạt</t>
        </is>
      </c>
      <c r="J2236" s="16" t="n">
        <v>0.002</v>
      </c>
    </row>
    <row r="2237">
      <c r="A2237" s="16" t="n">
        <v>2233</v>
      </c>
      <c r="B2237" s="16" t="inlineStr">
        <is>
          <t>Backend</t>
        </is>
      </c>
      <c r="C2237" s="17" t="inlineStr">
        <is>
          <t>notification-service</t>
        </is>
      </c>
      <c r="D2237" s="16" t="inlineStr">
        <is>
          <t>Unit</t>
        </is>
      </c>
      <c r="E2237" s="17" t="inlineStr">
        <is>
          <t>NotificationHandlersTest › Queue</t>
        </is>
      </c>
      <c r="F2237" s="17" t="inlineStr">
        <is>
          <t>QueueNotificationHandler</t>
        </is>
      </c>
      <c r="G2237" s="17" t="inlineStr">
        <is>
          <t>headline null: dùng chuỗi rỗng, không NPE trong Map.of</t>
        </is>
      </c>
      <c r="H2237" s="17" t="inlineStr">
        <is>
          <t>headline_null</t>
        </is>
      </c>
      <c r="I2237" s="16" t="inlineStr">
        <is>
          <t>Đạt</t>
        </is>
      </c>
      <c r="J2237" s="16" t="n">
        <v>0.02</v>
      </c>
    </row>
    <row r="2238">
      <c r="A2238" s="16" t="n">
        <v>2234</v>
      </c>
      <c r="B2238" s="16" t="inlineStr">
        <is>
          <t>Backend</t>
        </is>
      </c>
      <c r="C2238" s="17" t="inlineStr">
        <is>
          <t>notification-service</t>
        </is>
      </c>
      <c r="D2238" s="16" t="inlineStr">
        <is>
          <t>Unit</t>
        </is>
      </c>
      <c r="E2238" s="17" t="inlineStr">
        <is>
          <t>NotificationHandlersTest › Queue</t>
        </is>
      </c>
      <c r="F2238" s="17" t="inlineStr">
        <is>
          <t>QueueNotificationHandler</t>
        </is>
      </c>
      <c r="G2238" s="17" t="inlineStr">
        <is>
          <t>sự kiện mới: xếp một thư PENDING với đúng người nhận, mẫu và eventId</t>
        </is>
      </c>
      <c r="H2238" s="17" t="inlineStr">
        <is>
          <t>su_kien_moi</t>
        </is>
      </c>
      <c r="I2238" s="16" t="inlineStr">
        <is>
          <t>Đạt</t>
        </is>
      </c>
      <c r="J2238" s="16" t="n">
        <v>0.003</v>
      </c>
    </row>
    <row r="2239">
      <c r="A2239" s="16" t="n">
        <v>2235</v>
      </c>
      <c r="B2239" s="16" t="inlineStr">
        <is>
          <t>Backend</t>
        </is>
      </c>
      <c r="C2239" s="17" t="inlineStr">
        <is>
          <t>notification-service</t>
        </is>
      </c>
      <c r="D2239" s="16" t="inlineStr">
        <is>
          <t>ArchUnit</t>
        </is>
      </c>
      <c r="E2239" s="17" t="inlineStr">
        <is>
          <t>ArchitectureTest</t>
        </is>
      </c>
      <c r="F2239" s="17" t="inlineStr"/>
      <c r="G2239" s="17" t="inlineStr">
        <is>
          <t>domain thuan nghiep vu</t>
        </is>
      </c>
      <c r="H2239" s="17" t="inlineStr">
        <is>
          <t>domain_thuan_nghiep_vu</t>
        </is>
      </c>
      <c r="I2239" s="16" t="inlineStr">
        <is>
          <t>Đạt</t>
        </is>
      </c>
      <c r="J2239" s="16" t="n">
        <v>2.624</v>
      </c>
    </row>
    <row r="2240">
      <c r="A2240" s="16" t="n">
        <v>2236</v>
      </c>
      <c r="B2240" s="16" t="inlineStr">
        <is>
          <t>Backend</t>
        </is>
      </c>
      <c r="C2240" s="17" t="inlineStr">
        <is>
          <t>notification-service</t>
        </is>
      </c>
      <c r="D2240" s="16" t="inlineStr">
        <is>
          <t>ArchUnit</t>
        </is>
      </c>
      <c r="E2240" s="17" t="inlineStr">
        <is>
          <t>ArchitectureTest</t>
        </is>
      </c>
      <c r="F2240" s="17" t="inlineStr"/>
      <c r="G2240" s="17" t="inlineStr">
        <is>
          <t>chieu phu thuoc hexagonal</t>
        </is>
      </c>
      <c r="H2240" s="17" t="inlineStr">
        <is>
          <t>chieu_phu_thuoc_hexagonal</t>
        </is>
      </c>
      <c r="I2240" s="16" t="inlineStr">
        <is>
          <t>Đạt</t>
        </is>
      </c>
      <c r="J2240" s="16" t="n">
        <v>0.231</v>
      </c>
    </row>
    <row r="2241">
      <c r="A2241" s="16" t="n">
        <v>2237</v>
      </c>
      <c r="B2241" s="16" t="inlineStr">
        <is>
          <t>Backend</t>
        </is>
      </c>
      <c r="C2241" s="17" t="inlineStr">
        <is>
          <t>notification-service</t>
        </is>
      </c>
      <c r="D2241" s="16" t="inlineStr">
        <is>
          <t>ArchUnit</t>
        </is>
      </c>
      <c r="E2241" s="17" t="inlineStr">
        <is>
          <t>ArchitectureTest</t>
        </is>
      </c>
      <c r="F2241" s="17" t="inlineStr"/>
      <c r="G2241" s="17" t="inlineStr">
        <is>
          <t>khong import cheo context</t>
        </is>
      </c>
      <c r="H2241" s="17" t="inlineStr">
        <is>
          <t>khong_import_cheo_context</t>
        </is>
      </c>
      <c r="I2241" s="16" t="inlineStr">
        <is>
          <t>Đạt</t>
        </is>
      </c>
      <c r="J2241" s="16" t="n">
        <v>0.008999999999999999</v>
      </c>
    </row>
    <row r="2242">
      <c r="A2242" s="16" t="n">
        <v>2238</v>
      </c>
      <c r="B2242" s="16" t="inlineStr">
        <is>
          <t>Backend</t>
        </is>
      </c>
      <c r="C2242" s="17" t="inlineStr">
        <is>
          <t>notification-service</t>
        </is>
      </c>
      <c r="D2242" s="16" t="inlineStr">
        <is>
          <t>Unit</t>
        </is>
      </c>
      <c r="E2242" s="17" t="inlineStr">
        <is>
          <t>NotificationModelTest › Lifecycle</t>
        </is>
      </c>
      <c r="F2242" s="17" t="inlineStr">
        <is>
          <t>Vòng đời gửi thư</t>
        </is>
      </c>
      <c r="G2242" s="17" t="inlineStr">
        <is>
          <t>thư mới xếp hàng: PENDING, chưa thử lần nào</t>
        </is>
      </c>
      <c r="H2242" s="17" t="inlineStr">
        <is>
          <t>thu_moi</t>
        </is>
      </c>
      <c r="I2242" s="16" t="inlineStr">
        <is>
          <t>Đạt</t>
        </is>
      </c>
      <c r="J2242" s="16" t="n">
        <v>0.001</v>
      </c>
    </row>
    <row r="2243">
      <c r="A2243" s="16" t="n">
        <v>2239</v>
      </c>
      <c r="B2243" s="16" t="inlineStr">
        <is>
          <t>Backend</t>
        </is>
      </c>
      <c r="C2243" s="17" t="inlineStr">
        <is>
          <t>notification-service</t>
        </is>
      </c>
      <c r="D2243" s="16" t="inlineStr">
        <is>
          <t>Unit</t>
        </is>
      </c>
      <c r="E2243" s="17" t="inlineStr">
        <is>
          <t>NotificationModelTest › Lifecycle</t>
        </is>
      </c>
      <c r="F2243" s="17" t="inlineStr">
        <is>
          <t>Vòng đời gửi thư</t>
        </is>
      </c>
      <c r="G2243" s="17" t="inlineStr">
        <is>
          <t>backoff mũ: lần hỏng thứ 1,2,3,4 thử lại sau 1,2,4,8 phút và vẫn PENDING</t>
        </is>
      </c>
      <c r="H2243" s="17" t="inlineStr">
        <is>
          <t>backoff_mu</t>
        </is>
      </c>
      <c r="I2243" s="16" t="inlineStr">
        <is>
          <t>Đạt</t>
        </is>
      </c>
      <c r="J2243" s="16" t="n">
        <v>0.003</v>
      </c>
    </row>
    <row r="2244">
      <c r="A2244" s="16" t="n">
        <v>2240</v>
      </c>
      <c r="B2244" s="16" t="inlineStr">
        <is>
          <t>Backend</t>
        </is>
      </c>
      <c r="C2244" s="17" t="inlineStr">
        <is>
          <t>notification-service</t>
        </is>
      </c>
      <c r="D2244" s="16" t="inlineStr">
        <is>
          <t>Unit</t>
        </is>
      </c>
      <c r="E2244" s="17" t="inlineStr">
        <is>
          <t>NotificationModelTest › Lifecycle</t>
        </is>
      </c>
      <c r="F2244" s="17" t="inlineStr">
        <is>
          <t>Vòng đời gửi thư</t>
        </is>
      </c>
      <c r="G2244" s="17" t="inlineStr">
        <is>
          <t>markSent: SENT kèm thời điểm gửi</t>
        </is>
      </c>
      <c r="H2244" s="17" t="inlineStr">
        <is>
          <t>mark_sent</t>
        </is>
      </c>
      <c r="I2244" s="16" t="inlineStr">
        <is>
          <t>Đạt</t>
        </is>
      </c>
      <c r="J2244" s="16" t="n">
        <v>0.001</v>
      </c>
    </row>
    <row r="2245">
      <c r="A2245" s="16" t="n">
        <v>2241</v>
      </c>
      <c r="B2245" s="16" t="inlineStr">
        <is>
          <t>Backend</t>
        </is>
      </c>
      <c r="C2245" s="17" t="inlineStr">
        <is>
          <t>notification-service</t>
        </is>
      </c>
      <c r="D2245" s="16" t="inlineStr">
        <is>
          <t>Unit</t>
        </is>
      </c>
      <c r="E2245" s="17" t="inlineStr">
        <is>
          <t>NotificationModelTest › Lifecycle</t>
        </is>
      </c>
      <c r="F2245" s="17" t="inlineStr">
        <is>
          <t>Vòng đời gửi thư</t>
        </is>
      </c>
      <c r="G2245" s="17" t="inlineStr">
        <is>
          <t>lỗi dài bị cắt còn 500 ký tự; lỗi null được chấp nhận</t>
        </is>
      </c>
      <c r="H2245" s="17" t="inlineStr">
        <is>
          <t>cat_loi_dai</t>
        </is>
      </c>
      <c r="I2245" s="16" t="inlineStr">
        <is>
          <t>Đạt</t>
        </is>
      </c>
      <c r="J2245" s="16" t="n">
        <v>0.002</v>
      </c>
    </row>
    <row r="2246">
      <c r="A2246" s="16" t="n">
        <v>2242</v>
      </c>
      <c r="B2246" s="16" t="inlineStr">
        <is>
          <t>Backend</t>
        </is>
      </c>
      <c r="C2246" s="17" t="inlineStr">
        <is>
          <t>notification-service</t>
        </is>
      </c>
      <c r="D2246" s="16" t="inlineStr">
        <is>
          <t>Unit</t>
        </is>
      </c>
      <c r="E2246" s="17" t="inlineStr">
        <is>
          <t>NotificationModelTest › Lifecycle</t>
        </is>
      </c>
      <c r="F2246" s="17" t="inlineStr">
        <is>
          <t>Vòng đời gửi thư</t>
        </is>
      </c>
      <c r="G2246" s="17" t="inlineStr">
        <is>
          <t>lần hỏng thứ 5: DEAD, không còn lịch thử lại — phải có người nhìn</t>
        </is>
      </c>
      <c r="H2246" s="17" t="inlineStr">
        <is>
          <t>het_luot_thi_chet</t>
        </is>
      </c>
      <c r="I2246" s="16" t="inlineStr">
        <is>
          <t>Đạt</t>
        </is>
      </c>
      <c r="J2246" s="16" t="n">
        <v>0.001</v>
      </c>
    </row>
    <row r="2247">
      <c r="A2247" s="16" t="n">
        <v>2243</v>
      </c>
      <c r="B2247" s="16" t="inlineStr">
        <is>
          <t>Backend</t>
        </is>
      </c>
      <c r="C2247" s="17" t="inlineStr">
        <is>
          <t>notification-service</t>
        </is>
      </c>
      <c r="D2247" s="16" t="inlineStr">
        <is>
          <t>Unit</t>
        </is>
      </c>
      <c r="E2247" s="17" t="inlineStr">
        <is>
          <t>NotificationModelTest › Lifecycle</t>
        </is>
      </c>
      <c r="F2247" s="17" t="inlineStr">
        <is>
          <t>Vòng đời gửi thư</t>
        </is>
      </c>
      <c r="G2247" s="17" t="inlineStr">
        <is>
          <t>payload được sao chép phòng thủ: sửa map gốc không đổi nội dung thư</t>
        </is>
      </c>
      <c r="H2247" s="17" t="inlineStr">
        <is>
          <t>payload_sao_chep_phong_thu</t>
        </is>
      </c>
      <c r="I2247" s="16" t="inlineStr">
        <is>
          <t>Đạt</t>
        </is>
      </c>
      <c r="J2247" s="16" t="n">
        <v>0.001</v>
      </c>
    </row>
    <row r="2248">
      <c r="A2248" s="16" t="n">
        <v>2244</v>
      </c>
      <c r="B2248" s="16" t="inlineStr">
        <is>
          <t>Backend</t>
        </is>
      </c>
      <c r="C2248" s="17" t="inlineStr">
        <is>
          <t>notification-service</t>
        </is>
      </c>
      <c r="D2248" s="16" t="inlineStr">
        <is>
          <t>Unit</t>
        </is>
      </c>
      <c r="E2248" s="17" t="inlineStr">
        <is>
          <t>NotificationModelTest › Lifecycle</t>
        </is>
      </c>
      <c r="F2248" s="17" t="inlineStr">
        <is>
          <t>Vòng đời gửi thư</t>
        </is>
      </c>
      <c r="G2248" s="17" t="inlineStr">
        <is>
          <t>rehydrate giữ nguyên trạng thái và số lần đã thử từ database</t>
        </is>
      </c>
      <c r="H2248" s="17" t="inlineStr">
        <is>
          <t>rehydrate</t>
        </is>
      </c>
      <c r="I2248" s="16" t="inlineStr">
        <is>
          <t>Đạt</t>
        </is>
      </c>
      <c r="J2248" s="16" t="n">
        <v>0</v>
      </c>
    </row>
    <row r="2249">
      <c r="A2249" s="16" t="n">
        <v>2245</v>
      </c>
      <c r="B2249" s="16" t="inlineStr">
        <is>
          <t>Backend</t>
        </is>
      </c>
      <c r="C2249" s="17" t="inlineStr">
        <is>
          <t>notification-service</t>
        </is>
      </c>
      <c r="D2249" s="16" t="inlineStr">
        <is>
          <t>Unit</t>
        </is>
      </c>
      <c r="E2249" s="17" t="inlineStr">
        <is>
          <t>NotificationModelTest › Templates</t>
        </is>
      </c>
      <c r="F2249" s="17" t="inlineStr">
        <is>
          <t>Mẫu thư</t>
        </is>
      </c>
      <c r="G2249" s="17" t="inlineStr">
        <is>
          <t>thiếu headline: dùng chuỗi rỗng, không NPE</t>
        </is>
      </c>
      <c r="H2249" s="17" t="inlineStr">
        <is>
          <t>thieu_headline</t>
        </is>
      </c>
      <c r="I2249" s="16" t="inlineStr">
        <is>
          <t>Đạt</t>
        </is>
      </c>
      <c r="J2249" s="16" t="n">
        <v>0.003</v>
      </c>
    </row>
    <row r="2250">
      <c r="A2250" s="16" t="n">
        <v>2246</v>
      </c>
      <c r="B2250" s="16" t="inlineStr">
        <is>
          <t>Backend</t>
        </is>
      </c>
      <c r="C2250" s="17" t="inlineStr">
        <is>
          <t>notification-service</t>
        </is>
      </c>
      <c r="D2250" s="16" t="inlineStr">
        <is>
          <t>Unit</t>
        </is>
      </c>
      <c r="E2250" s="17" t="inlineStr">
        <is>
          <t>NotificationModelTest › Templates</t>
        </is>
      </c>
      <c r="F2250" s="17" t="inlineStr">
        <is>
          <t>Mẫu thư</t>
        </is>
      </c>
      <c r="G2250" s="17" t="inlineStr">
        <is>
          <t>không mẫu nào chứa mã QR hay token — thư chỉ dẫn khách mở ứng dụng</t>
        </is>
      </c>
      <c r="H2250" s="17" t="inlineStr">
        <is>
          <t>khong_chua_qr_hay_token(EmailTemplate)[1]</t>
        </is>
      </c>
      <c r="I2250" s="16" t="inlineStr">
        <is>
          <t>Đạt</t>
        </is>
      </c>
      <c r="J2250" s="16" t="n">
        <v>0.013</v>
      </c>
    </row>
    <row r="2251">
      <c r="A2251" s="16" t="n">
        <v>2247</v>
      </c>
      <c r="B2251" s="16" t="inlineStr">
        <is>
          <t>Backend</t>
        </is>
      </c>
      <c r="C2251" s="17" t="inlineStr">
        <is>
          <t>notification-service</t>
        </is>
      </c>
      <c r="D2251" s="16" t="inlineStr">
        <is>
          <t>Unit</t>
        </is>
      </c>
      <c r="E2251" s="17" t="inlineStr">
        <is>
          <t>NotificationModelTest › Templates</t>
        </is>
      </c>
      <c r="F2251" s="17" t="inlineStr">
        <is>
          <t>Mẫu thư</t>
        </is>
      </c>
      <c r="G2251" s="17" t="inlineStr">
        <is>
          <t>không mẫu nào chứa mã QR hay token — thư chỉ dẫn khách mở ứng dụng</t>
        </is>
      </c>
      <c r="H2251" s="17" t="inlineStr">
        <is>
          <t>khong_chua_qr_hay_token(EmailTemplate)[2]</t>
        </is>
      </c>
      <c r="I2251" s="16" t="inlineStr">
        <is>
          <t>Đạt</t>
        </is>
      </c>
      <c r="J2251" s="16" t="n">
        <v>0.001</v>
      </c>
    </row>
    <row r="2252">
      <c r="A2252" s="16" t="n">
        <v>2248</v>
      </c>
      <c r="B2252" s="16" t="inlineStr">
        <is>
          <t>Backend</t>
        </is>
      </c>
      <c r="C2252" s="17" t="inlineStr">
        <is>
          <t>notification-service</t>
        </is>
      </c>
      <c r="D2252" s="16" t="inlineStr">
        <is>
          <t>Unit</t>
        </is>
      </c>
      <c r="E2252" s="17" t="inlineStr">
        <is>
          <t>NotificationModelTest › Templates</t>
        </is>
      </c>
      <c r="F2252" s="17" t="inlineStr">
        <is>
          <t>Mẫu thư</t>
        </is>
      </c>
      <c r="G2252" s="17" t="inlineStr">
        <is>
          <t>không mẫu nào chứa mã QR hay token — thư chỉ dẫn khách mở ứng dụng</t>
        </is>
      </c>
      <c r="H2252" s="17" t="inlineStr">
        <is>
          <t>khong_chua_qr_hay_token(EmailTemplate)[3]</t>
        </is>
      </c>
      <c r="I2252" s="16" t="inlineStr">
        <is>
          <t>Đạt</t>
        </is>
      </c>
      <c r="J2252" s="16" t="n">
        <v>0.001</v>
      </c>
    </row>
    <row r="2253">
      <c r="A2253" s="16" t="n">
        <v>2249</v>
      </c>
      <c r="B2253" s="16" t="inlineStr">
        <is>
          <t>Backend</t>
        </is>
      </c>
      <c r="C2253" s="17" t="inlineStr">
        <is>
          <t>notification-service</t>
        </is>
      </c>
      <c r="D2253" s="16" t="inlineStr">
        <is>
          <t>Unit</t>
        </is>
      </c>
      <c r="E2253" s="17" t="inlineStr">
        <is>
          <t>NotificationModelTest › Templates</t>
        </is>
      </c>
      <c r="F2253" s="17" t="inlineStr">
        <is>
          <t>Mẫu thư</t>
        </is>
      </c>
      <c r="G2253" s="17" t="inlineStr">
        <is>
          <t>không mẫu nào chứa mã QR hay token — thư chỉ dẫn khách mở ứng dụng</t>
        </is>
      </c>
      <c r="H2253" s="17" t="inlineStr">
        <is>
          <t>khong_chua_qr_hay_token(EmailTemplate)[4]</t>
        </is>
      </c>
      <c r="I2253" s="16" t="inlineStr">
        <is>
          <t>Đạt</t>
        </is>
      </c>
      <c r="J2253" s="16" t="n">
        <v>0</v>
      </c>
    </row>
    <row r="2254">
      <c r="A2254" s="16" t="n">
        <v>2250</v>
      </c>
      <c r="B2254" s="16" t="inlineStr">
        <is>
          <t>Backend</t>
        </is>
      </c>
      <c r="C2254" s="17" t="inlineStr">
        <is>
          <t>notification-service</t>
        </is>
      </c>
      <c r="D2254" s="16" t="inlineStr">
        <is>
          <t>Unit</t>
        </is>
      </c>
      <c r="E2254" s="17" t="inlineStr">
        <is>
          <t>NotificationModelTest › Templates</t>
        </is>
      </c>
      <c r="F2254" s="17" t="inlineStr">
        <is>
          <t>Mẫu thư</t>
        </is>
      </c>
      <c r="G2254" s="17" t="inlineStr">
        <is>
          <t>không mẫu nào chứa mã QR hay token — thư chỉ dẫn khách mở ứng dụng</t>
        </is>
      </c>
      <c r="H2254" s="17" t="inlineStr">
        <is>
          <t>khong_chua_qr_hay_token(EmailTemplate)[5]</t>
        </is>
      </c>
      <c r="I2254" s="16" t="inlineStr">
        <is>
          <t>Đạt</t>
        </is>
      </c>
      <c r="J2254" s="16" t="n">
        <v>0.001</v>
      </c>
    </row>
    <row r="2255">
      <c r="A2255" s="16" t="n">
        <v>2251</v>
      </c>
      <c r="B2255" s="16" t="inlineStr">
        <is>
          <t>Backend</t>
        </is>
      </c>
      <c r="C2255" s="17" t="inlineStr">
        <is>
          <t>notification-service</t>
        </is>
      </c>
      <c r="D2255" s="16" t="inlineStr">
        <is>
          <t>Unit</t>
        </is>
      </c>
      <c r="E2255" s="17" t="inlineStr">
        <is>
          <t>NotificationModelTest › Templates</t>
        </is>
      </c>
      <c r="F2255" s="17" t="inlineStr">
        <is>
          <t>Mẫu thư</t>
        </is>
      </c>
      <c r="G2255" s="17" t="inlineStr">
        <is>
          <t>mọi mẫu: tiêu đề và thân đều nhắc tên (headline) và không bỏ trống</t>
        </is>
      </c>
      <c r="H2255" s="17" t="inlineStr">
        <is>
          <t>moi_mau_nhac_headline(EmailTemplate)[1]</t>
        </is>
      </c>
      <c r="I2255" s="16" t="inlineStr">
        <is>
          <t>Đạt</t>
        </is>
      </c>
      <c r="J2255" s="16" t="n">
        <v>0.002</v>
      </c>
    </row>
    <row r="2256">
      <c r="A2256" s="16" t="n">
        <v>2252</v>
      </c>
      <c r="B2256" s="16" t="inlineStr">
        <is>
          <t>Backend</t>
        </is>
      </c>
      <c r="C2256" s="17" t="inlineStr">
        <is>
          <t>notification-service</t>
        </is>
      </c>
      <c r="D2256" s="16" t="inlineStr">
        <is>
          <t>Unit</t>
        </is>
      </c>
      <c r="E2256" s="17" t="inlineStr">
        <is>
          <t>NotificationModelTest › Templates</t>
        </is>
      </c>
      <c r="F2256" s="17" t="inlineStr">
        <is>
          <t>Mẫu thư</t>
        </is>
      </c>
      <c r="G2256" s="17" t="inlineStr">
        <is>
          <t>mọi mẫu: tiêu đề và thân đều nhắc tên (headline) và không bỏ trống</t>
        </is>
      </c>
      <c r="H2256" s="17" t="inlineStr">
        <is>
          <t>moi_mau_nhac_headline(EmailTemplate)[2]</t>
        </is>
      </c>
      <c r="I2256" s="16" t="inlineStr">
        <is>
          <t>Đạt</t>
        </is>
      </c>
      <c r="J2256" s="16" t="n">
        <v>0.001</v>
      </c>
    </row>
    <row r="2257">
      <c r="A2257" s="16" t="n">
        <v>2253</v>
      </c>
      <c r="B2257" s="16" t="inlineStr">
        <is>
          <t>Backend</t>
        </is>
      </c>
      <c r="C2257" s="17" t="inlineStr">
        <is>
          <t>notification-service</t>
        </is>
      </c>
      <c r="D2257" s="16" t="inlineStr">
        <is>
          <t>Unit</t>
        </is>
      </c>
      <c r="E2257" s="17" t="inlineStr">
        <is>
          <t>NotificationModelTest › Templates</t>
        </is>
      </c>
      <c r="F2257" s="17" t="inlineStr">
        <is>
          <t>Mẫu thư</t>
        </is>
      </c>
      <c r="G2257" s="17" t="inlineStr">
        <is>
          <t>mọi mẫu: tiêu đề và thân đều nhắc tên (headline) và không bỏ trống</t>
        </is>
      </c>
      <c r="H2257" s="17" t="inlineStr">
        <is>
          <t>moi_mau_nhac_headline(EmailTemplate)[3]</t>
        </is>
      </c>
      <c r="I2257" s="16" t="inlineStr">
        <is>
          <t>Đạt</t>
        </is>
      </c>
      <c r="J2257" s="16" t="n">
        <v>0.001</v>
      </c>
    </row>
    <row r="2258">
      <c r="A2258" s="16" t="n">
        <v>2254</v>
      </c>
      <c r="B2258" s="16" t="inlineStr">
        <is>
          <t>Backend</t>
        </is>
      </c>
      <c r="C2258" s="17" t="inlineStr">
        <is>
          <t>notification-service</t>
        </is>
      </c>
      <c r="D2258" s="16" t="inlineStr">
        <is>
          <t>Unit</t>
        </is>
      </c>
      <c r="E2258" s="17" t="inlineStr">
        <is>
          <t>NotificationModelTest › Templates</t>
        </is>
      </c>
      <c r="F2258" s="17" t="inlineStr">
        <is>
          <t>Mẫu thư</t>
        </is>
      </c>
      <c r="G2258" s="17" t="inlineStr">
        <is>
          <t>mọi mẫu: tiêu đề và thân đều nhắc tên (headline) và không bỏ trống</t>
        </is>
      </c>
      <c r="H2258" s="17" t="inlineStr">
        <is>
          <t>moi_mau_nhac_headline(EmailTemplate)[4]</t>
        </is>
      </c>
      <c r="I2258" s="16" t="inlineStr">
        <is>
          <t>Đạt</t>
        </is>
      </c>
      <c r="J2258" s="16" t="n">
        <v>0.002</v>
      </c>
    </row>
    <row r="2259">
      <c r="A2259" s="16" t="n">
        <v>2255</v>
      </c>
      <c r="B2259" s="16" t="inlineStr">
        <is>
          <t>Backend</t>
        </is>
      </c>
      <c r="C2259" s="17" t="inlineStr">
        <is>
          <t>notification-service</t>
        </is>
      </c>
      <c r="D2259" s="16" t="inlineStr">
        <is>
          <t>Unit</t>
        </is>
      </c>
      <c r="E2259" s="17" t="inlineStr">
        <is>
          <t>NotificationModelTest › Templates</t>
        </is>
      </c>
      <c r="F2259" s="17" t="inlineStr">
        <is>
          <t>Mẫu thư</t>
        </is>
      </c>
      <c r="G2259" s="17" t="inlineStr">
        <is>
          <t>mọi mẫu: tiêu đề và thân đều nhắc tên (headline) và không bỏ trống</t>
        </is>
      </c>
      <c r="H2259" s="17" t="inlineStr">
        <is>
          <t>moi_mau_nhac_headline(EmailTemplate)[5]</t>
        </is>
      </c>
      <c r="I2259" s="16" t="inlineStr">
        <is>
          <t>Đạt</t>
        </is>
      </c>
      <c r="J2259" s="16" t="n">
        <v>0.001</v>
      </c>
    </row>
    <row r="2260">
      <c r="A2260" s="16" t="n">
        <v>2256</v>
      </c>
      <c r="B2260" s="16" t="inlineStr">
        <is>
          <t>Backend</t>
        </is>
      </c>
      <c r="C2260" s="17" t="inlineStr">
        <is>
          <t>notification-service</t>
        </is>
      </c>
      <c r="D2260" s="16" t="inlineStr">
        <is>
          <t>Unit</t>
        </is>
      </c>
      <c r="E2260" s="17" t="inlineStr">
        <is>
          <t>NotificationModelTest › Templates</t>
        </is>
      </c>
      <c r="F2260" s="17" t="inlineStr">
        <is>
          <t>Mẫu thư</t>
        </is>
      </c>
      <c r="G2260" s="17" t="inlineStr">
        <is>
          <t>tiêu đề đúng mẫu tiếng Việt cho từng loại</t>
        </is>
      </c>
      <c r="H2260" s="17" t="inlineStr">
        <is>
          <t>tieu_de_dung_mau</t>
        </is>
      </c>
      <c r="I2260" s="16" t="inlineStr">
        <is>
          <t>Đạt</t>
        </is>
      </c>
      <c r="J2260" s="16" t="n">
        <v>0</v>
      </c>
    </row>
    <row r="2261">
      <c r="A2261" s="16" t="n">
        <v>2257</v>
      </c>
      <c r="B2261" s="16" t="inlineStr">
        <is>
          <t>Backend</t>
        </is>
      </c>
      <c r="C2261" s="17" t="inlineStr">
        <is>
          <t>notification-service</t>
        </is>
      </c>
      <c r="D2261" s="16" t="inlineStr">
        <is>
          <t>Unit</t>
        </is>
      </c>
      <c r="E2261" s="17" t="inlineStr">
        <is>
          <t>NotificationModelTest › Templates</t>
        </is>
      </c>
      <c r="F2261" s="17" t="inlineStr">
        <is>
          <t>Mẫu thư</t>
        </is>
      </c>
      <c r="G2261" s="17" t="inlineStr">
        <is>
          <t>headline chứa ký tự định dạng %s %n không làm vỡ mẫu</t>
        </is>
      </c>
      <c r="H2261" s="17" t="inlineStr">
        <is>
          <t>headline_chua_ky_tu_dinh_dang</t>
        </is>
      </c>
      <c r="I2261" s="16" t="inlineStr">
        <is>
          <t>Đạt</t>
        </is>
      </c>
      <c r="J2261" s="16" t="n">
        <v>0</v>
      </c>
    </row>
    <row r="2262">
      <c r="A2262" s="16" t="n">
        <v>2258</v>
      </c>
      <c r="B2262" s="16" t="inlineStr">
        <is>
          <t>Backend</t>
        </is>
      </c>
      <c r="C2262" s="17" t="inlineStr">
        <is>
          <t>notification-service</t>
        </is>
      </c>
      <c r="D2262" s="16" t="inlineStr">
        <is>
          <t>Unit</t>
        </is>
      </c>
      <c r="E2262" s="17" t="inlineStr">
        <is>
          <t>NotificationModelTest › Templates</t>
        </is>
      </c>
      <c r="F2262" s="17" t="inlineStr">
        <is>
          <t>Mẫu thư</t>
        </is>
      </c>
      <c r="G2262" s="17" t="inlineStr">
        <is>
          <t>headline có CR/LF không được tạo ra tiêu đề nhiều dòng (chống chèn header SMTP)</t>
        </is>
      </c>
      <c r="H2262" s="17" t="inlineStr">
        <is>
          <t>headline_khong_chen_header</t>
        </is>
      </c>
      <c r="I2262" s="16" t="inlineStr">
        <is>
          <t>Đạt</t>
        </is>
      </c>
      <c r="J2262" s="16" t="n">
        <v>0</v>
      </c>
    </row>
    <row r="2263">
      <c r="A2263" s="16" t="n">
        <v>2259</v>
      </c>
      <c r="B2263" s="16" t="inlineStr">
        <is>
          <t>Backend</t>
        </is>
      </c>
      <c r="C2263" s="17" t="inlineStr">
        <is>
          <t>notification-service</t>
        </is>
      </c>
      <c r="D2263" s="16" t="inlineStr">
        <is>
          <t>Unit</t>
        </is>
      </c>
      <c r="E2263" s="17" t="inlineStr">
        <is>
          <t>NotificationListenersTest › Identity</t>
        </is>
      </c>
      <c r="F2263" s="17" t="inlineStr">
        <is>
          <t>IdentityEventsListener</t>
        </is>
      </c>
      <c r="G2263" s="17" t="inlineStr">
        <is>
          <t>message hỏng (không messageId, JSON sai): bỏ qua, không ném</t>
        </is>
      </c>
      <c r="H2263" s="17" t="inlineStr">
        <is>
          <t>message_hong</t>
        </is>
      </c>
      <c r="I2263" s="16" t="inlineStr">
        <is>
          <t>Đạt</t>
        </is>
      </c>
      <c r="J2263" s="16" t="n">
        <v>0.008</v>
      </c>
    </row>
    <row r="2264">
      <c r="A2264" s="16" t="n">
        <v>2260</v>
      </c>
      <c r="B2264" s="16" t="inlineStr">
        <is>
          <t>Backend</t>
        </is>
      </c>
      <c r="C2264" s="17" t="inlineStr">
        <is>
          <t>notification-service</t>
        </is>
      </c>
      <c r="D2264" s="16" t="inlineStr">
        <is>
          <t>Unit</t>
        </is>
      </c>
      <c r="E2264" s="17" t="inlineStr">
        <is>
          <t>NotificationListenersTest › Identity</t>
        </is>
      </c>
      <c r="F2264" s="17" t="inlineStr">
        <is>
          <t>IdentityEventsListener</t>
        </is>
      </c>
      <c r="G2264" s="17" t="inlineStr">
        <is>
          <t>organization.created: người nhận là ownerEmail, headline là name</t>
        </is>
      </c>
      <c r="H2264" s="17" t="inlineStr">
        <is>
          <t>to_chuc_moi</t>
        </is>
      </c>
      <c r="I2264" s="16" t="inlineStr">
        <is>
          <t>Đạt</t>
        </is>
      </c>
      <c r="J2264" s="16" t="n">
        <v>0.001</v>
      </c>
    </row>
    <row r="2265">
      <c r="A2265" s="16" t="n">
        <v>2261</v>
      </c>
      <c r="B2265" s="16" t="inlineStr">
        <is>
          <t>Backend</t>
        </is>
      </c>
      <c r="C2265" s="17" t="inlineStr">
        <is>
          <t>notification-service</t>
        </is>
      </c>
      <c r="D2265" s="16" t="inlineStr">
        <is>
          <t>Unit</t>
        </is>
      </c>
      <c r="E2265" s="17" t="inlineStr">
        <is>
          <t>NotificationListenersTest › Identity</t>
        </is>
      </c>
      <c r="F2265" s="17" t="inlineStr">
        <is>
          <t>IdentityEventsListener</t>
        </is>
      </c>
      <c r="G2265" s="17" t="inlineStr">
        <is>
          <t>member.invited: người nhận là email trong payload, mẫu lời mời, headline là tên tổ chức</t>
        </is>
      </c>
      <c r="H2265" s="17" t="inlineStr">
        <is>
          <t>loi_moi</t>
        </is>
      </c>
      <c r="I2265" s="16" t="inlineStr">
        <is>
          <t>Đạt</t>
        </is>
      </c>
      <c r="J2265" s="16" t="n">
        <v>0.001</v>
      </c>
    </row>
    <row r="2266">
      <c r="A2266" s="16" t="n">
        <v>2262</v>
      </c>
      <c r="B2266" s="16" t="inlineStr">
        <is>
          <t>Backend</t>
        </is>
      </c>
      <c r="C2266" s="17" t="inlineStr">
        <is>
          <t>notification-service</t>
        </is>
      </c>
      <c r="D2266" s="16" t="inlineStr">
        <is>
          <t>Unit</t>
        </is>
      </c>
      <c r="E2266" s="17" t="inlineStr">
        <is>
          <t>NotificationListenersTest › Identity</t>
        </is>
      </c>
      <c r="F2266" s="17" t="inlineStr">
        <is>
          <t>IdentityEventsListener</t>
        </is>
      </c>
      <c r="G2266" s="17" t="inlineStr">
        <is>
          <t>thiếu tên tổ chức: vẫn gửi với headline null</t>
        </is>
      </c>
      <c r="H2266" s="17" t="inlineStr">
        <is>
          <t>thieu_ten_van_gui</t>
        </is>
      </c>
      <c r="I2266" s="16" t="inlineStr">
        <is>
          <t>Đạt</t>
        </is>
      </c>
      <c r="J2266" s="16" t="n">
        <v>0.002</v>
      </c>
    </row>
    <row r="2267">
      <c r="A2267" s="16" t="n">
        <v>2263</v>
      </c>
      <c r="B2267" s="16" t="inlineStr">
        <is>
          <t>Backend</t>
        </is>
      </c>
      <c r="C2267" s="17" t="inlineStr">
        <is>
          <t>notification-service</t>
        </is>
      </c>
      <c r="D2267" s="16" t="inlineStr">
        <is>
          <t>Unit</t>
        </is>
      </c>
      <c r="E2267" s="17" t="inlineStr">
        <is>
          <t>NotificationListenersTest › Identity</t>
        </is>
      </c>
      <c r="F2267" s="17" t="inlineStr">
        <is>
          <t>IdentityEventsListener</t>
        </is>
      </c>
      <c r="G2267" s="17" t="inlineStr">
        <is>
          <t>thiếu hoặc trống email: bỏ qua, không xếp thư, không ném</t>
        </is>
      </c>
      <c r="H2267" s="17" t="inlineStr">
        <is>
          <t>thieu_email</t>
        </is>
      </c>
      <c r="I2267" s="16" t="inlineStr">
        <is>
          <t>Đạt</t>
        </is>
      </c>
      <c r="J2267" s="16" t="n">
        <v>0.002</v>
      </c>
    </row>
    <row r="2268">
      <c r="A2268" s="16" t="n">
        <v>2264</v>
      </c>
      <c r="B2268" s="16" t="inlineStr">
        <is>
          <t>Backend</t>
        </is>
      </c>
      <c r="C2268" s="17" t="inlineStr">
        <is>
          <t>notification-service</t>
        </is>
      </c>
      <c r="D2268" s="16" t="inlineStr">
        <is>
          <t>Unit</t>
        </is>
      </c>
      <c r="E2268" s="17" t="inlineStr">
        <is>
          <t>NotificationListenersTest › Orders</t>
        </is>
      </c>
      <c r="F2268" s="17" t="inlineStr">
        <is>
          <t>OrderEventsListener</t>
        </is>
      </c>
      <c r="G2268" s="17" t="inlineStr">
        <is>
          <t>order.expired: mẫu ORDER_EXPIRED, không lẫn với mẫu đã thanh toán</t>
        </is>
      </c>
      <c r="H2268" s="17" t="inlineStr">
        <is>
          <t>don_het_han</t>
        </is>
      </c>
      <c r="I2268" s="16" t="inlineStr">
        <is>
          <t>Đạt</t>
        </is>
      </c>
      <c r="J2268" s="16" t="n">
        <v>0.004</v>
      </c>
    </row>
    <row r="2269">
      <c r="A2269" s="16" t="n">
        <v>2265</v>
      </c>
      <c r="B2269" s="16" t="inlineStr">
        <is>
          <t>Backend</t>
        </is>
      </c>
      <c r="C2269" s="17" t="inlineStr">
        <is>
          <t>notification-service</t>
        </is>
      </c>
      <c r="D2269" s="16" t="inlineStr">
        <is>
          <t>Unit</t>
        </is>
      </c>
      <c r="E2269" s="17" t="inlineStr">
        <is>
          <t>NotificationListenersTest › Orders</t>
        </is>
      </c>
      <c r="F2269" s="17" t="inlineStr">
        <is>
          <t>OrderEventsListener</t>
        </is>
      </c>
      <c r="G2269" s="17" t="inlineStr">
        <is>
          <t>thiếu orderNumber, thiếu userId hoặc userId sai khuôn: bỏ qua và không hỏi identity</t>
        </is>
      </c>
      <c r="H2269" s="17" t="inlineStr">
        <is>
          <t>thieu_truong</t>
        </is>
      </c>
      <c r="I2269" s="16" t="inlineStr">
        <is>
          <t>Đạt</t>
        </is>
      </c>
      <c r="J2269" s="16" t="n">
        <v>0.002</v>
      </c>
    </row>
    <row r="2270">
      <c r="A2270" s="16" t="n">
        <v>2266</v>
      </c>
      <c r="B2270" s="16" t="inlineStr">
        <is>
          <t>Backend</t>
        </is>
      </c>
      <c r="C2270" s="17" t="inlineStr">
        <is>
          <t>notification-service</t>
        </is>
      </c>
      <c r="D2270" s="16" t="inlineStr">
        <is>
          <t>Unit</t>
        </is>
      </c>
      <c r="E2270" s="17" t="inlineStr">
        <is>
          <t>NotificationListenersTest › Orders</t>
        </is>
      </c>
      <c r="F2270" s="17" t="inlineStr">
        <is>
          <t>OrderEventsListener</t>
        </is>
      </c>
      <c r="G2270" s="17" t="inlineStr">
        <is>
          <t>message hỏng: bỏ qua, không ném</t>
        </is>
      </c>
      <c r="H2270" s="17" t="inlineStr">
        <is>
          <t>message_hong</t>
        </is>
      </c>
      <c r="I2270" s="16" t="inlineStr">
        <is>
          <t>Đạt</t>
        </is>
      </c>
      <c r="J2270" s="16" t="n">
        <v>0.001</v>
      </c>
    </row>
    <row r="2271">
      <c r="A2271" s="16" t="n">
        <v>2267</v>
      </c>
      <c r="B2271" s="16" t="inlineStr">
        <is>
          <t>Backend</t>
        </is>
      </c>
      <c r="C2271" s="17" t="inlineStr">
        <is>
          <t>notification-service</t>
        </is>
      </c>
      <c r="D2271" s="16" t="inlineStr">
        <is>
          <t>Unit</t>
        </is>
      </c>
      <c r="E2271" s="17" t="inlineStr">
        <is>
          <t>NotificationListenersTest › Orders</t>
        </is>
      </c>
      <c r="F2271" s="17" t="inlineStr">
        <is>
          <t>OrderEventsListener</t>
        </is>
      </c>
      <c r="G2271" s="17" t="inlineStr">
        <is>
          <t>order.paid: tra email từ identity theo userId, mẫu ORDER_PAID, headline là mã đơn</t>
        </is>
      </c>
      <c r="H2271" s="17" t="inlineStr">
        <is>
          <t>don_da_thanh_toan</t>
        </is>
      </c>
      <c r="I2271" s="16" t="inlineStr">
        <is>
          <t>Đạt</t>
        </is>
      </c>
      <c r="J2271" s="16" t="n">
        <v>0.002</v>
      </c>
    </row>
    <row r="2272">
      <c r="A2272" s="16" t="n">
        <v>2268</v>
      </c>
      <c r="B2272" s="16" t="inlineStr">
        <is>
          <t>Backend</t>
        </is>
      </c>
      <c r="C2272" s="17" t="inlineStr">
        <is>
          <t>notification-service</t>
        </is>
      </c>
      <c r="D2272" s="16" t="inlineStr">
        <is>
          <t>Unit</t>
        </is>
      </c>
      <c r="E2272" s="17" t="inlineStr">
        <is>
          <t>NotificationListenersTest › Orders</t>
        </is>
      </c>
      <c r="F2272" s="17" t="inlineStr">
        <is>
          <t>OrderEventsListener</t>
        </is>
      </c>
      <c r="G2272" s="17" t="inlineStr">
        <is>
          <t>không tra được người nhận: bỏ qua, không xếp thư, không ném</t>
        </is>
      </c>
      <c r="H2272" s="17" t="inlineStr">
        <is>
          <t>khong_co_nguoi_nhan</t>
        </is>
      </c>
      <c r="I2272" s="16" t="inlineStr">
        <is>
          <t>Đạt</t>
        </is>
      </c>
      <c r="J2272" s="16" t="n">
        <v>0.003</v>
      </c>
    </row>
    <row r="2273">
      <c r="A2273" s="16" t="n">
        <v>2269</v>
      </c>
      <c r="B2273" s="16" t="inlineStr">
        <is>
          <t>Backend</t>
        </is>
      </c>
      <c r="C2273" s="17" t="inlineStr">
        <is>
          <t>notification-service</t>
        </is>
      </c>
      <c r="D2273" s="16" t="inlineStr">
        <is>
          <t>Unit</t>
        </is>
      </c>
      <c r="E2273" s="17" t="inlineStr">
        <is>
          <t>NotificationListenersTest › Tickets</t>
        </is>
      </c>
      <c r="F2273" s="17" t="inlineStr">
        <is>
          <t>TicketEventsListener</t>
        </is>
      </c>
      <c r="G2273" s="17" t="inlineStr">
        <is>
          <t>thiếu ticketId hoặc userId: bỏ qua</t>
        </is>
      </c>
      <c r="H2273" s="17" t="inlineStr">
        <is>
          <t>thieu_truong</t>
        </is>
      </c>
      <c r="I2273" s="16" t="inlineStr">
        <is>
          <t>Đạt</t>
        </is>
      </c>
      <c r="J2273" s="16" t="n">
        <v>0.096</v>
      </c>
    </row>
    <row r="2274">
      <c r="A2274" s="16" t="n">
        <v>2270</v>
      </c>
      <c r="B2274" s="16" t="inlineStr">
        <is>
          <t>Backend</t>
        </is>
      </c>
      <c r="C2274" s="17" t="inlineStr">
        <is>
          <t>notification-service</t>
        </is>
      </c>
      <c r="D2274" s="16" t="inlineStr">
        <is>
          <t>Unit</t>
        </is>
      </c>
      <c r="E2274" s="17" t="inlineStr">
        <is>
          <t>NotificationListenersTest › Tickets</t>
        </is>
      </c>
      <c r="F2274" s="17" t="inlineStr">
        <is>
          <t>TicketEventsListener</t>
        </is>
      </c>
      <c r="G2274" s="17" t="inlineStr">
        <is>
          <t>thiếu tên sự kiện: dùng 'sự kiện'; thiếu giờ: chỉ có tên; giờ sai khuôn: chỉ có tên</t>
        </is>
      </c>
      <c r="H2274" s="17" t="inlineStr">
        <is>
          <t>headline_du_phong</t>
        </is>
      </c>
      <c r="I2274" s="16" t="inlineStr">
        <is>
          <t>Đạt</t>
        </is>
      </c>
      <c r="J2274" s="16" t="n">
        <v>0.016</v>
      </c>
    </row>
    <row r="2275">
      <c r="A2275" s="16" t="n">
        <v>2271</v>
      </c>
      <c r="B2275" s="16" t="inlineStr">
        <is>
          <t>Backend</t>
        </is>
      </c>
      <c r="C2275" s="17" t="inlineStr">
        <is>
          <t>notification-service</t>
        </is>
      </c>
      <c r="D2275" s="16" t="inlineStr">
        <is>
          <t>Unit</t>
        </is>
      </c>
      <c r="E2275" s="17" t="inlineStr">
        <is>
          <t>NotificationListenersTest › Tickets</t>
        </is>
      </c>
      <c r="F2275" s="17" t="inlineStr">
        <is>
          <t>TicketEventsListener</t>
        </is>
      </c>
      <c r="G2275" s="17" t="inlineStr">
        <is>
          <t>message hỏng: bỏ qua, không ném</t>
        </is>
      </c>
      <c r="H2275" s="17" t="inlineStr">
        <is>
          <t>message_hong</t>
        </is>
      </c>
      <c r="I2275" s="16" t="inlineStr">
        <is>
          <t>Đạt</t>
        </is>
      </c>
      <c r="J2275" s="16" t="n">
        <v>0.002</v>
      </c>
    </row>
    <row r="2276">
      <c r="A2276" s="16" t="n">
        <v>2272</v>
      </c>
      <c r="B2276" s="16" t="inlineStr">
        <is>
          <t>Backend</t>
        </is>
      </c>
      <c r="C2276" s="17" t="inlineStr">
        <is>
          <t>notification-service</t>
        </is>
      </c>
      <c r="D2276" s="16" t="inlineStr">
        <is>
          <t>Unit</t>
        </is>
      </c>
      <c r="E2276" s="17" t="inlineStr">
        <is>
          <t>NotificationListenersTest › Tickets</t>
        </is>
      </c>
      <c r="F2276" s="17" t="inlineStr">
        <is>
          <t>TicketEventsListener</t>
        </is>
      </c>
      <c r="G2276" s="17" t="inlineStr">
        <is>
          <t>khoá chống trùng suy từ vé: hai message khác id của cùng một vé cho cùng eventId</t>
        </is>
      </c>
      <c r="H2276" s="17" t="inlineStr">
        <is>
          <t>khoa_chong_trung_theo_ve</t>
        </is>
      </c>
      <c r="I2276" s="16" t="inlineStr">
        <is>
          <t>Đạt</t>
        </is>
      </c>
      <c r="J2276" s="16" t="n">
        <v>0.004</v>
      </c>
    </row>
    <row r="2277">
      <c r="A2277" s="16" t="n">
        <v>2273</v>
      </c>
      <c r="B2277" s="16" t="inlineStr">
        <is>
          <t>Backend</t>
        </is>
      </c>
      <c r="C2277" s="17" t="inlineStr">
        <is>
          <t>notification-service</t>
        </is>
      </c>
      <c r="D2277" s="16" t="inlineStr">
        <is>
          <t>Unit</t>
        </is>
      </c>
      <c r="E2277" s="17" t="inlineStr">
        <is>
          <t>NotificationListenersTest › Tickets</t>
        </is>
      </c>
      <c r="F2277" s="17" t="inlineStr">
        <is>
          <t>TicketEventsListener</t>
        </is>
      </c>
      <c r="G2277" s="17" t="inlineStr">
        <is>
          <t>không tra được người nhận: bỏ qua</t>
        </is>
      </c>
      <c r="H2277" s="17" t="inlineStr">
        <is>
          <t>khong_co_nguoi_nhan</t>
        </is>
      </c>
      <c r="I2277" s="16" t="inlineStr">
        <is>
          <t>Đạt</t>
        </is>
      </c>
      <c r="J2277" s="16" t="n">
        <v>0.002</v>
      </c>
    </row>
    <row r="2278">
      <c r="A2278" s="16" t="n">
        <v>2274</v>
      </c>
      <c r="B2278" s="16" t="inlineStr">
        <is>
          <t>Backend</t>
        </is>
      </c>
      <c r="C2278" s="17" t="inlineStr">
        <is>
          <t>notification-service</t>
        </is>
      </c>
      <c r="D2278" s="16" t="inlineStr">
        <is>
          <t>Unit</t>
        </is>
      </c>
      <c r="E2278" s="17" t="inlineStr">
        <is>
          <t>NotificationListenersTest › Tickets</t>
        </is>
      </c>
      <c r="F2278" s="17" t="inlineStr">
        <is>
          <t>TicketEventsListener</t>
        </is>
      </c>
      <c r="G2278" s="17" t="inlineStr">
        <is>
          <t>giờ check-in được in theo giờ Việt Nam (UTC+7), kèm tên sự kiện</t>
        </is>
      </c>
      <c r="H2278" s="17" t="inlineStr">
        <is>
          <t>gio_viet_nam</t>
        </is>
      </c>
      <c r="I2278" s="16" t="inlineStr">
        <is>
          <t>Đạt</t>
        </is>
      </c>
      <c r="J2278" s="16" t="n">
        <v>0.01</v>
      </c>
    </row>
    <row r="2279">
      <c r="A2279" s="16" t="n">
        <v>2275</v>
      </c>
      <c r="B2279" s="16" t="inlineStr">
        <is>
          <t>Backend</t>
        </is>
      </c>
      <c r="C2279" s="17" t="inlineStr">
        <is>
          <t>notification-service</t>
        </is>
      </c>
      <c r="D2279" s="16" t="inlineStr">
        <is>
          <t>Unit</t>
        </is>
      </c>
      <c r="E2279" s="17" t="inlineStr">
        <is>
          <t>NotificationAdaptersTest</t>
        </is>
      </c>
      <c r="F2279" s="17" t="inlineStr"/>
      <c r="G2279" s="17" t="inlineStr">
        <is>
          <t>NotificationScheduler: mỗi nhịp gọi đúng một lượt runOnce</t>
        </is>
      </c>
      <c r="H2279" s="17" t="inlineStr">
        <is>
          <t>scheduler_goi_job</t>
        </is>
      </c>
      <c r="I2279" s="16" t="inlineStr">
        <is>
          <t>Đạt</t>
        </is>
      </c>
      <c r="J2279" s="16" t="n">
        <v>0.035</v>
      </c>
    </row>
    <row r="2280">
      <c r="A2280" s="16" t="n">
        <v>2276</v>
      </c>
      <c r="B2280" s="16" t="inlineStr">
        <is>
          <t>Backend</t>
        </is>
      </c>
      <c r="C2280" s="17" t="inlineStr">
        <is>
          <t>notification-service</t>
        </is>
      </c>
      <c r="D2280" s="16" t="inlineStr">
        <is>
          <t>Unit</t>
        </is>
      </c>
      <c r="E2280" s="17" t="inlineStr">
        <is>
          <t>NotificationAdaptersTest › Identity</t>
        </is>
      </c>
      <c r="F2280" s="17" t="inlineStr">
        <is>
          <t>IdentityHttpAdapter</t>
        </is>
      </c>
      <c r="G2280" s="17" t="inlineStr">
        <is>
          <t>email null hoặc trống: rỗng — không gửi mù</t>
        </is>
      </c>
      <c r="H2280" s="17" t="inlineStr">
        <is>
          <t>email_trong</t>
        </is>
      </c>
      <c r="I2280" s="16" t="inlineStr">
        <is>
          <t>Đạt</t>
        </is>
      </c>
      <c r="J2280" s="16" t="n">
        <v>0.931</v>
      </c>
    </row>
    <row r="2281">
      <c r="A2281" s="16" t="n">
        <v>2277</v>
      </c>
      <c r="B2281" s="16" t="inlineStr">
        <is>
          <t>Backend</t>
        </is>
      </c>
      <c r="C2281" s="17" t="inlineStr">
        <is>
          <t>notification-service</t>
        </is>
      </c>
      <c r="D2281" s="16" t="inlineStr">
        <is>
          <t>Unit</t>
        </is>
      </c>
      <c r="E2281" s="17" t="inlineStr">
        <is>
          <t>NotificationAdaptersTest › Identity</t>
        </is>
      </c>
      <c r="F2281" s="17" t="inlineStr">
        <is>
          <t>IdentityHttpAdapter</t>
        </is>
      </c>
      <c r="G2281" s="17" t="inlineStr">
        <is>
          <t>không kết nối được: rỗng, không ném</t>
        </is>
      </c>
      <c r="H2281" s="17" t="inlineStr">
        <is>
          <t>khong_ket_noi_duoc</t>
        </is>
      </c>
      <c r="I2281" s="16" t="inlineStr">
        <is>
          <t>Đạt</t>
        </is>
      </c>
      <c r="J2281" s="16" t="n">
        <v>0.032</v>
      </c>
    </row>
    <row r="2282">
      <c r="A2282" s="16" t="n">
        <v>2278</v>
      </c>
      <c r="B2282" s="16" t="inlineStr">
        <is>
          <t>Backend</t>
        </is>
      </c>
      <c r="C2282" s="17" t="inlineStr">
        <is>
          <t>notification-service</t>
        </is>
      </c>
      <c r="D2282" s="16" t="inlineStr">
        <is>
          <t>Unit</t>
        </is>
      </c>
      <c r="E2282" s="17" t="inlineStr">
        <is>
          <t>NotificationAdaptersTest › Identity</t>
        </is>
      </c>
      <c r="F2282" s="17" t="inlineStr">
        <is>
          <t>IdentityHttpAdapter</t>
        </is>
      </c>
      <c r="G2282" s="17" t="inlineStr">
        <is>
          <t>500: rỗng, không ném</t>
        </is>
      </c>
      <c r="H2282" s="17" t="inlineStr">
        <is>
          <t>loi_may_chu</t>
        </is>
      </c>
      <c r="I2282" s="16" t="inlineStr">
        <is>
          <t>Đạt</t>
        </is>
      </c>
      <c r="J2282" s="16" t="n">
        <v>0.032</v>
      </c>
    </row>
    <row r="2283">
      <c r="A2283" s="16" t="n">
        <v>2279</v>
      </c>
      <c r="B2283" s="16" t="inlineStr">
        <is>
          <t>Backend</t>
        </is>
      </c>
      <c r="C2283" s="17" t="inlineStr">
        <is>
          <t>notification-service</t>
        </is>
      </c>
      <c r="D2283" s="16" t="inlineStr">
        <is>
          <t>Unit</t>
        </is>
      </c>
      <c r="E2283" s="17" t="inlineStr">
        <is>
          <t>NotificationAdaptersTest › Identity</t>
        </is>
      </c>
      <c r="F2283" s="17" t="inlineStr">
        <is>
          <t>IdentityHttpAdapter</t>
        </is>
      </c>
      <c r="G2283" s="17" t="inlineStr">
        <is>
          <t>404 (người dùng đã xoá): rỗng, không ném — consumer sẽ ack và bỏ qua</t>
        </is>
      </c>
      <c r="H2283" s="17" t="inlineStr">
        <is>
          <t>khong_tim_thay</t>
        </is>
      </c>
      <c r="I2283" s="16" t="inlineStr">
        <is>
          <t>Đạt</t>
        </is>
      </c>
      <c r="J2283" s="16" t="n">
        <v>0.026</v>
      </c>
    </row>
    <row r="2284">
      <c r="A2284" s="16" t="n">
        <v>2280</v>
      </c>
      <c r="B2284" s="16" t="inlineStr">
        <is>
          <t>Backend</t>
        </is>
      </c>
      <c r="C2284" s="17" t="inlineStr">
        <is>
          <t>notification-service</t>
        </is>
      </c>
      <c r="D2284" s="16" t="inlineStr">
        <is>
          <t>Unit</t>
        </is>
      </c>
      <c r="E2284" s="17" t="inlineStr">
        <is>
          <t>NotificationAdaptersTest › Identity</t>
        </is>
      </c>
      <c r="F2284" s="17" t="inlineStr">
        <is>
          <t>IdentityHttpAdapter</t>
        </is>
      </c>
      <c r="G2284" s="17" t="inlineStr">
        <is>
          <t>tra thành công: gọi GET /internal/users/{id} và trả email + tên</t>
        </is>
      </c>
      <c r="H2284" s="17" t="inlineStr">
        <is>
          <t>tra_thanh_cong</t>
        </is>
      </c>
      <c r="I2284" s="16" t="inlineStr">
        <is>
          <t>Đạt</t>
        </is>
      </c>
      <c r="J2284" s="16" t="n">
        <v>0.042</v>
      </c>
    </row>
    <row r="2285">
      <c r="A2285" s="16" t="n">
        <v>2281</v>
      </c>
      <c r="B2285" s="16" t="inlineStr">
        <is>
          <t>Backend</t>
        </is>
      </c>
      <c r="C2285" s="17" t="inlineStr">
        <is>
          <t>notification-service</t>
        </is>
      </c>
      <c r="D2285" s="16" t="inlineStr">
        <is>
          <t>Unit</t>
        </is>
      </c>
      <c r="E2285" s="17" t="inlineStr">
        <is>
          <t>NotificationAdaptersTest › Smtp</t>
        </is>
      </c>
      <c r="F2285" s="17" t="inlineStr">
        <is>
          <t>SmtpEmailSender</t>
        </is>
      </c>
      <c r="G2285" s="17" t="inlineStr">
        <is>
          <t>dựng thư thuần chữ với from, to, subject, text đúng</t>
        </is>
      </c>
      <c r="H2285" s="17" t="inlineStr">
        <is>
          <t>dung_thu</t>
        </is>
      </c>
      <c r="I2285" s="16" t="inlineStr">
        <is>
          <t>Đạt</t>
        </is>
      </c>
      <c r="J2285" s="16" t="n">
        <v>0.023</v>
      </c>
    </row>
    <row r="2286">
      <c r="A2286" s="16" t="n">
        <v>2282</v>
      </c>
      <c r="B2286" s="16" t="inlineStr">
        <is>
          <t>Backend</t>
        </is>
      </c>
      <c r="C2286" s="17" t="inlineStr">
        <is>
          <t>notification-service</t>
        </is>
      </c>
      <c r="D2286" s="16" t="inlineStr">
        <is>
          <t>Unit</t>
        </is>
      </c>
      <c r="E2286" s="17" t="inlineStr">
        <is>
          <t>NotificationAdaptersTest › Smtp</t>
        </is>
      </c>
      <c r="F2286" s="17" t="inlineStr">
        <is>
          <t>SmtpEmailSender</t>
        </is>
      </c>
      <c r="G2286" s="17" t="inlineStr">
        <is>
          <t>mọi lỗi của máy chủ mail bọc thành SendFailedException, giữ nguyên nguyên nhân</t>
        </is>
      </c>
      <c r="H2286" s="17" t="inlineStr">
        <is>
          <t>boc_loi</t>
        </is>
      </c>
      <c r="I2286" s="16" t="inlineStr">
        <is>
          <t>Đạt</t>
        </is>
      </c>
      <c r="J2286" s="16" t="n">
        <v>0.007</v>
      </c>
    </row>
    <row r="2287">
      <c r="A2287" s="16" t="n">
        <v>2283</v>
      </c>
      <c r="B2287" s="16" t="inlineStr">
        <is>
          <t>Backend</t>
        </is>
      </c>
      <c r="C2287" s="17" t="inlineStr">
        <is>
          <t>ordering-service</t>
        </is>
      </c>
      <c r="D2287" s="16" t="inlineStr">
        <is>
          <t>Unit</t>
        </is>
      </c>
      <c r="E2287" s="17" t="inlineStr">
        <is>
          <t>CloseOrderFlowTest › CancelByUser</t>
        </is>
      </c>
      <c r="F2287" s="17" t="inlineStr">
        <is>
          <t>Khách tự huỷ đơn</t>
        </is>
      </c>
      <c r="G2287" s="17" t="inlineStr">
        <is>
          <t>Inventory hỏng khi nhả chỗ: đơn vẫn huỷ, không ném — consumer order.cancelled dọn nốt</t>
        </is>
      </c>
      <c r="H2287" s="17" t="inlineStr">
        <is>
          <t>inventory_hong_van_huy</t>
        </is>
      </c>
      <c r="I2287" s="16" t="inlineStr">
        <is>
          <t>Đạt</t>
        </is>
      </c>
      <c r="J2287" s="16" t="n">
        <v>0.008999999999999999</v>
      </c>
    </row>
    <row r="2288">
      <c r="A2288" s="16" t="n">
        <v>2284</v>
      </c>
      <c r="B2288" s="16" t="inlineStr">
        <is>
          <t>Backend</t>
        </is>
      </c>
      <c r="C2288" s="17" t="inlineStr">
        <is>
          <t>ordering-service</t>
        </is>
      </c>
      <c r="D2288" s="16" t="inlineStr">
        <is>
          <t>Unit</t>
        </is>
      </c>
      <c r="E2288" s="17" t="inlineStr">
        <is>
          <t>CloseOrderFlowTest › CancelByUser</t>
        </is>
      </c>
      <c r="F2288" s="17" t="inlineStr">
        <is>
          <t>Khách tự huỷ đơn</t>
        </is>
      </c>
      <c r="G2288" s="17" t="inlineStr">
        <is>
          <t>Đơn không tồn tại: 404</t>
        </is>
      </c>
      <c r="H2288" s="17" t="inlineStr">
        <is>
          <t>don_khong_ton_tai</t>
        </is>
      </c>
      <c r="I2288" s="16" t="inlineStr">
        <is>
          <t>Đạt</t>
        </is>
      </c>
      <c r="J2288" s="16" t="n">
        <v>0.008</v>
      </c>
    </row>
    <row r="2289">
      <c r="A2289" s="16" t="n">
        <v>2285</v>
      </c>
      <c r="B2289" s="16" t="inlineStr">
        <is>
          <t>Backend</t>
        </is>
      </c>
      <c r="C2289" s="17" t="inlineStr">
        <is>
          <t>ordering-service</t>
        </is>
      </c>
      <c r="D2289" s="16" t="inlineStr">
        <is>
          <t>Unit</t>
        </is>
      </c>
      <c r="E2289" s="17" t="inlineStr">
        <is>
          <t>CloseOrderFlowTest › CancelByUser</t>
        </is>
      </c>
      <c r="F2289" s="17" t="inlineStr">
        <is>
          <t>Khách tự huỷ đơn</t>
        </is>
      </c>
      <c r="G2289" s="17" t="inlineStr">
        <is>
          <t>Huỷ đơn của người khác: 404 (không phải 403), đơn không đổi, không gọi service nào</t>
        </is>
      </c>
      <c r="H2289" s="17" t="inlineStr">
        <is>
          <t>huy_don_nguoi_khac_404</t>
        </is>
      </c>
      <c r="I2289" s="16" t="inlineStr">
        <is>
          <t>Đạt</t>
        </is>
      </c>
      <c r="J2289" s="16" t="n">
        <v>0.008</v>
      </c>
    </row>
    <row r="2290">
      <c r="A2290" s="16" t="n">
        <v>2286</v>
      </c>
      <c r="B2290" s="16" t="inlineStr">
        <is>
          <t>Backend</t>
        </is>
      </c>
      <c r="C2290" s="17" t="inlineStr">
        <is>
          <t>ordering-service</t>
        </is>
      </c>
      <c r="D2290" s="16" t="inlineStr">
        <is>
          <t>Unit</t>
        </is>
      </c>
      <c r="E2290" s="17" t="inlineStr">
        <is>
          <t>CloseOrderFlowTest › CancelByUser</t>
        </is>
      </c>
      <c r="F2290" s="17" t="inlineStr">
        <is>
          <t>Khách tự huỷ đơn</t>
        </is>
      </c>
      <c r="G2290" s="17" t="inlineStr">
        <is>
          <t>Đơn không còn chờ tiền: 409 ORDER_NOT_OPEN, không ghi, không nhả chỗ của đơn đã trả</t>
        </is>
      </c>
      <c r="H2290" s="17" t="inlineStr">
        <is>
          <t>don_khong_mo_409(OrderStatus)[1]</t>
        </is>
      </c>
      <c r="I2290" s="16" t="inlineStr">
        <is>
          <t>Đạt</t>
        </is>
      </c>
      <c r="J2290" s="16" t="n">
        <v>0.02</v>
      </c>
    </row>
    <row r="2291">
      <c r="A2291" s="16" t="n">
        <v>2287</v>
      </c>
      <c r="B2291" s="16" t="inlineStr">
        <is>
          <t>Backend</t>
        </is>
      </c>
      <c r="C2291" s="17" t="inlineStr">
        <is>
          <t>ordering-service</t>
        </is>
      </c>
      <c r="D2291" s="16" t="inlineStr">
        <is>
          <t>Unit</t>
        </is>
      </c>
      <c r="E2291" s="17" t="inlineStr">
        <is>
          <t>CloseOrderFlowTest › CancelByUser</t>
        </is>
      </c>
      <c r="F2291" s="17" t="inlineStr">
        <is>
          <t>Khách tự huỷ đơn</t>
        </is>
      </c>
      <c r="G2291" s="17" t="inlineStr">
        <is>
          <t>Đơn không còn chờ tiền: 409 ORDER_NOT_OPEN, không ghi, không nhả chỗ của đơn đã trả</t>
        </is>
      </c>
      <c r="H2291" s="17" t="inlineStr">
        <is>
          <t>don_khong_mo_409(OrderStatus)[2]</t>
        </is>
      </c>
      <c r="I2291" s="16" t="inlineStr">
        <is>
          <t>Đạt</t>
        </is>
      </c>
      <c r="J2291" s="16" t="n">
        <v>0.005</v>
      </c>
    </row>
    <row r="2292">
      <c r="A2292" s="16" t="n">
        <v>2288</v>
      </c>
      <c r="B2292" s="16" t="inlineStr">
        <is>
          <t>Backend</t>
        </is>
      </c>
      <c r="C2292" s="17" t="inlineStr">
        <is>
          <t>ordering-service</t>
        </is>
      </c>
      <c r="D2292" s="16" t="inlineStr">
        <is>
          <t>Unit</t>
        </is>
      </c>
      <c r="E2292" s="17" t="inlineStr">
        <is>
          <t>CloseOrderFlowTest › CancelByUser</t>
        </is>
      </c>
      <c r="F2292" s="17" t="inlineStr">
        <is>
          <t>Khách tự huỷ đơn</t>
        </is>
      </c>
      <c r="G2292" s="17" t="inlineStr">
        <is>
          <t>Đơn không còn chờ tiền: 409 ORDER_NOT_OPEN, không ghi, không nhả chỗ của đơn đã trả</t>
        </is>
      </c>
      <c r="H2292" s="17" t="inlineStr">
        <is>
          <t>don_khong_mo_409(OrderStatus)[3]</t>
        </is>
      </c>
      <c r="I2292" s="16" t="inlineStr">
        <is>
          <t>Đạt</t>
        </is>
      </c>
      <c r="J2292" s="16" t="n">
        <v>0.003</v>
      </c>
    </row>
    <row r="2293">
      <c r="A2293" s="16" t="n">
        <v>2289</v>
      </c>
      <c r="B2293" s="16" t="inlineStr">
        <is>
          <t>Backend</t>
        </is>
      </c>
      <c r="C2293" s="17" t="inlineStr">
        <is>
          <t>ordering-service</t>
        </is>
      </c>
      <c r="D2293" s="16" t="inlineStr">
        <is>
          <t>Unit</t>
        </is>
      </c>
      <c r="E2293" s="17" t="inlineStr">
        <is>
          <t>CloseOrderFlowTest › CancelByUser</t>
        </is>
      </c>
      <c r="F2293" s="17" t="inlineStr">
        <is>
          <t>Khách tự huỷ đơn</t>
        </is>
      </c>
      <c r="G2293" s="17" t="inlineStr">
        <is>
          <t>Đơn không còn chờ tiền: 409 ORDER_NOT_OPEN, không ghi, không nhả chỗ của đơn đã trả</t>
        </is>
      </c>
      <c r="H2293" s="17" t="inlineStr">
        <is>
          <t>don_khong_mo_409(OrderStatus)[4]</t>
        </is>
      </c>
      <c r="I2293" s="16" t="inlineStr">
        <is>
          <t>Đạt</t>
        </is>
      </c>
      <c r="J2293" s="16" t="n">
        <v>0.002</v>
      </c>
    </row>
    <row r="2294">
      <c r="A2294" s="16" t="n">
        <v>2290</v>
      </c>
      <c r="B2294" s="16" t="inlineStr">
        <is>
          <t>Backend</t>
        </is>
      </c>
      <c r="C2294" s="17" t="inlineStr">
        <is>
          <t>ordering-service</t>
        </is>
      </c>
      <c r="D2294" s="16" t="inlineStr">
        <is>
          <t>Unit</t>
        </is>
      </c>
      <c r="E2294" s="17" t="inlineStr">
        <is>
          <t>CloseOrderFlowTest › CancelByUser</t>
        </is>
      </c>
      <c r="F2294" s="17" t="inlineStr">
        <is>
          <t>Khách tự huỷ đơn</t>
        </is>
      </c>
      <c r="G2294" s="17" t="inlineStr">
        <is>
          <t>Đơn không còn chờ tiền: 409 ORDER_NOT_OPEN, không ghi, không nhả chỗ của đơn đã trả</t>
        </is>
      </c>
      <c r="H2294" s="17" t="inlineStr">
        <is>
          <t>don_khong_mo_409(OrderStatus)[5]</t>
        </is>
      </c>
      <c r="I2294" s="16" t="inlineStr">
        <is>
          <t>Đạt</t>
        </is>
      </c>
      <c r="J2294" s="16" t="n">
        <v>0.003</v>
      </c>
    </row>
    <row r="2295">
      <c r="A2295" s="16" t="n">
        <v>2291</v>
      </c>
      <c r="B2295" s="16" t="inlineStr">
        <is>
          <t>Backend</t>
        </is>
      </c>
      <c r="C2295" s="17" t="inlineStr">
        <is>
          <t>ordering-service</t>
        </is>
      </c>
      <c r="D2295" s="16" t="inlineStr">
        <is>
          <t>Unit</t>
        </is>
      </c>
      <c r="E2295" s="17" t="inlineStr">
        <is>
          <t>CloseOrderFlowTest › CancelByUser</t>
        </is>
      </c>
      <c r="F2295" s="17" t="inlineStr">
        <is>
          <t>Khách tự huỷ đơn</t>
        </is>
      </c>
      <c r="G2295" s="17" t="inlineStr">
        <is>
          <t>Chủ đơn huỷ đơn chờ tiền: CANCELLED, ghi, bắn sự kiện, đóng link TRƯỚC rồi nhả chỗ</t>
        </is>
      </c>
      <c r="H2295" s="17" t="inlineStr">
        <is>
          <t>chu_don_huy_duoc</t>
        </is>
      </c>
      <c r="I2295" s="16" t="inlineStr">
        <is>
          <t>Đạt</t>
        </is>
      </c>
      <c r="J2295" s="16" t="n">
        <v>0.004</v>
      </c>
    </row>
    <row r="2296">
      <c r="A2296" s="16" t="n">
        <v>2292</v>
      </c>
      <c r="B2296" s="16" t="inlineStr">
        <is>
          <t>Backend</t>
        </is>
      </c>
      <c r="C2296" s="17" t="inlineStr">
        <is>
          <t>ordering-service</t>
        </is>
      </c>
      <c r="D2296" s="16" t="inlineStr">
        <is>
          <t>Unit</t>
        </is>
      </c>
      <c r="E2296" s="17" t="inlineStr">
        <is>
          <t>CloseOrderFlowTest › CancelByUser</t>
        </is>
      </c>
      <c r="F2296" s="17" t="inlineStr">
        <is>
          <t>Khách tự huỷ đơn</t>
        </is>
      </c>
      <c r="G2296" s="17" t="inlineStr">
        <is>
          <t>Payment hỏng khi đóng link: đơn vẫn huỷ, ghế vẫn được nhả, không ném ra khách</t>
        </is>
      </c>
      <c r="H2296" s="17" t="inlineStr">
        <is>
          <t>payment_hong_van_nha_cho</t>
        </is>
      </c>
      <c r="I2296" s="16" t="inlineStr">
        <is>
          <t>Đạt</t>
        </is>
      </c>
      <c r="J2296" s="16" t="n">
        <v>0.005</v>
      </c>
    </row>
    <row r="2297">
      <c r="A2297" s="16" t="n">
        <v>2293</v>
      </c>
      <c r="B2297" s="16" t="inlineStr">
        <is>
          <t>Backend</t>
        </is>
      </c>
      <c r="C2297" s="17" t="inlineStr">
        <is>
          <t>ordering-service</t>
        </is>
      </c>
      <c r="D2297" s="16" t="inlineStr">
        <is>
          <t>Unit</t>
        </is>
      </c>
      <c r="E2297" s="17" t="inlineStr">
        <is>
          <t>CloseOrderFlowTest › Expiry</t>
        </is>
      </c>
      <c r="F2297" s="17" t="inlineStr">
        <is>
          <t>Worker hết hạn</t>
        </is>
      </c>
      <c r="G2297" s="17" t="inlineStr">
        <is>
          <t>Một đơn hỏng khi dọn không chặn các đơn sau; mọi đơn vẫn đã đóng</t>
        </is>
      </c>
      <c r="H2297" s="17" t="inlineStr">
        <is>
          <t>mot_don_hong_khong_chan_don_sau</t>
        </is>
      </c>
      <c r="I2297" s="16" t="inlineStr">
        <is>
          <t>Đạt</t>
        </is>
      </c>
      <c r="J2297" s="16" t="n">
        <v>1.822</v>
      </c>
    </row>
    <row r="2298">
      <c r="A2298" s="16" t="n">
        <v>2294</v>
      </c>
      <c r="B2298" s="16" t="inlineStr">
        <is>
          <t>Backend</t>
        </is>
      </c>
      <c r="C2298" s="17" t="inlineStr">
        <is>
          <t>ordering-service</t>
        </is>
      </c>
      <c r="D2298" s="16" t="inlineStr">
        <is>
          <t>Unit</t>
        </is>
      </c>
      <c r="E2298" s="17" t="inlineStr">
        <is>
          <t>CloseOrderFlowTest › Expiry</t>
        </is>
      </c>
      <c r="F2298" s="17" t="inlineStr">
        <is>
          <t>Worker hết hạn</t>
        </is>
      </c>
      <c r="G2298" s="17" t="inlineStr">
        <is>
          <t>Mỗi đơn: đóng link thanh toán TRƯỚC khi nhả ghế</t>
        </is>
      </c>
      <c r="H2298" s="17" t="inlineStr">
        <is>
          <t>dong_link_truoc_nha_ghe</t>
        </is>
      </c>
      <c r="I2298" s="16" t="inlineStr">
        <is>
          <t>Đạt</t>
        </is>
      </c>
      <c r="J2298" s="16" t="n">
        <v>0.015</v>
      </c>
    </row>
    <row r="2299">
      <c r="A2299" s="16" t="n">
        <v>2295</v>
      </c>
      <c r="B2299" s="16" t="inlineStr">
        <is>
          <t>Backend</t>
        </is>
      </c>
      <c r="C2299" s="17" t="inlineStr">
        <is>
          <t>ordering-service</t>
        </is>
      </c>
      <c r="D2299" s="16" t="inlineStr">
        <is>
          <t>Unit</t>
        </is>
      </c>
      <c r="E2299" s="17" t="inlineStr">
        <is>
          <t>CloseOrderFlowTest › Expiry</t>
        </is>
      </c>
      <c r="F2299" s="17" t="inlineStr">
        <is>
          <t>Worker hết hạn</t>
        </is>
      </c>
      <c r="G2299" s="17" t="inlineStr">
        <is>
          <t>Chỉ nhả chỗ cho đơn THỰC SỰ vừa đóng; đơn vừa PAID giữa chừng thì bỏ qua</t>
        </is>
      </c>
      <c r="H2299" s="17" t="inlineStr">
        <is>
          <t>chi_nha_cho_don_vua_dong</t>
        </is>
      </c>
      <c r="I2299" s="16" t="inlineStr">
        <is>
          <t>Đạt</t>
        </is>
      </c>
      <c r="J2299" s="16" t="n">
        <v>0.005</v>
      </c>
    </row>
    <row r="2300">
      <c r="A2300" s="16" t="n">
        <v>2296</v>
      </c>
      <c r="B2300" s="16" t="inlineStr">
        <is>
          <t>Backend</t>
        </is>
      </c>
      <c r="C2300" s="17" t="inlineStr">
        <is>
          <t>ordering-service</t>
        </is>
      </c>
      <c r="D2300" s="16" t="inlineStr">
        <is>
          <t>Unit</t>
        </is>
      </c>
      <c r="E2300" s="17" t="inlineStr">
        <is>
          <t>CloseOrderFlowTest › Expiry</t>
        </is>
      </c>
      <c r="F2300" s="17" t="inlineStr">
        <is>
          <t>Worker hết hạn</t>
        </is>
      </c>
      <c r="G2300" s="17" t="inlineStr">
        <is>
          <t>Không có đơn quá hạn: trả 0, không gọi service nào</t>
        </is>
      </c>
      <c r="H2300" s="17" t="inlineStr">
        <is>
          <t>khong_co_don</t>
        </is>
      </c>
      <c r="I2300" s="16" t="inlineStr">
        <is>
          <t>Đạt</t>
        </is>
      </c>
      <c r="J2300" s="16" t="n">
        <v>0.004</v>
      </c>
    </row>
    <row r="2301">
      <c r="A2301" s="16" t="n">
        <v>2297</v>
      </c>
      <c r="B2301" s="16" t="inlineStr">
        <is>
          <t>Backend</t>
        </is>
      </c>
      <c r="C2301" s="17" t="inlineStr">
        <is>
          <t>ordering-service</t>
        </is>
      </c>
      <c r="D2301" s="16" t="inlineStr">
        <is>
          <t>Unit</t>
        </is>
      </c>
      <c r="E2301" s="17" t="inlineStr">
        <is>
          <t>CompensationSweeperTest</t>
        </is>
      </c>
      <c r="F2301" s="17" t="inlineStr"/>
      <c r="G2301" s="17" t="inlineStr">
        <is>
          <t>Một saga hỏng không chặn saga sau trong cùng lô</t>
        </is>
      </c>
      <c r="H2301" s="17" t="inlineStr">
        <is>
          <t>mot_saga_hong_khong_chan_lo</t>
        </is>
      </c>
      <c r="I2301" s="16" t="inlineStr">
        <is>
          <t>Đạt</t>
        </is>
      </c>
      <c r="J2301" s="16" t="n">
        <v>0.03</v>
      </c>
    </row>
    <row r="2302">
      <c r="A2302" s="16" t="n">
        <v>2298</v>
      </c>
      <c r="B2302" s="16" t="inlineStr">
        <is>
          <t>Backend</t>
        </is>
      </c>
      <c r="C2302" s="17" t="inlineStr">
        <is>
          <t>ordering-service</t>
        </is>
      </c>
      <c r="D2302" s="16" t="inlineStr">
        <is>
          <t>Unit</t>
        </is>
      </c>
      <c r="E2302" s="17" t="inlineStr">
        <is>
          <t>CompensationSweeperTest</t>
        </is>
      </c>
      <c r="F2302" s="17" t="inlineStr"/>
      <c r="G2302" s="17" t="inlineStr">
        <is>
          <t>Bù trừ đủ hai bước, theo thứ tự đóng intent rồi nhả chỗ; saga sang COMPENSATED</t>
        </is>
      </c>
      <c r="H2302" s="17" t="inlineStr">
        <is>
          <t>bu_tru_du_hai_buoc</t>
        </is>
      </c>
      <c r="I2302" s="16" t="inlineStr">
        <is>
          <t>Đạt</t>
        </is>
      </c>
      <c r="J2302" s="16" t="n">
        <v>0.003</v>
      </c>
    </row>
    <row r="2303">
      <c r="A2303" s="16" t="n">
        <v>2299</v>
      </c>
      <c r="B2303" s="16" t="inlineStr">
        <is>
          <t>Backend</t>
        </is>
      </c>
      <c r="C2303" s="17" t="inlineStr">
        <is>
          <t>ordering-service</t>
        </is>
      </c>
      <c r="D2303" s="16" t="inlineStr">
        <is>
          <t>Unit</t>
        </is>
      </c>
      <c r="E2303" s="17" t="inlineStr">
        <is>
          <t>CompensationSweeperTest</t>
        </is>
      </c>
      <c r="F2303" s="17" t="inlineStr"/>
      <c r="G2303" s="17" t="inlineStr">
        <is>
          <t>Chỉ bù trừ bước đã thực sự làm: chưa mở intent thì không gọi payment</t>
        </is>
      </c>
      <c r="H2303" s="17" t="inlineStr">
        <is>
          <t>chi_bu_tru_buoc_da_lam</t>
        </is>
      </c>
      <c r="I2303" s="16" t="inlineStr">
        <is>
          <t>Đạt</t>
        </is>
      </c>
      <c r="J2303" s="16" t="n">
        <v>0.002</v>
      </c>
    </row>
    <row r="2304">
      <c r="A2304" s="16" t="n">
        <v>2300</v>
      </c>
      <c r="B2304" s="16" t="inlineStr">
        <is>
          <t>Backend</t>
        </is>
      </c>
      <c r="C2304" s="17" t="inlineStr">
        <is>
          <t>ordering-service</t>
        </is>
      </c>
      <c r="D2304" s="16" t="inlineStr">
        <is>
          <t>Unit</t>
        </is>
      </c>
      <c r="E2304" s="17" t="inlineStr">
        <is>
          <t>CompensationSweeperTest</t>
        </is>
      </c>
      <c r="F2304" s="17" t="inlineStr"/>
      <c r="G2304" s="17" t="inlineStr">
        <is>
          <t>Vẫn hỏng: giữ COMPENSATION_PENDING, tăng số lần thử, ghi lại lỗi, không đếm là xong</t>
        </is>
      </c>
      <c r="H2304" s="17" t="inlineStr">
        <is>
          <t>van_hong_thi_tang_lan_thu</t>
        </is>
      </c>
      <c r="I2304" s="16" t="inlineStr">
        <is>
          <t>Đạt</t>
        </is>
      </c>
      <c r="J2304" s="16" t="n">
        <v>0.008</v>
      </c>
    </row>
    <row r="2305">
      <c r="A2305" s="16" t="n">
        <v>2301</v>
      </c>
      <c r="B2305" s="16" t="inlineStr">
        <is>
          <t>Backend</t>
        </is>
      </c>
      <c r="C2305" s="17" t="inlineStr">
        <is>
          <t>ordering-service</t>
        </is>
      </c>
      <c r="D2305" s="16" t="inlineStr">
        <is>
          <t>Unit</t>
        </is>
      </c>
      <c r="E2305" s="17" t="inlineStr">
        <is>
          <t>CompensationSweeperTest</t>
        </is>
      </c>
      <c r="F2305" s="17" t="inlineStr"/>
      <c r="G2305" s="17" t="inlineStr">
        <is>
          <t>Chỉ nhận saga đã nằm yên ít nhất 30 giây, mỗi lượt tối đa 50</t>
        </is>
      </c>
      <c r="H2305" s="17" t="inlineStr">
        <is>
          <t>cho_mot_nhip_va_gioi_han_lo</t>
        </is>
      </c>
      <c r="I2305" s="16" t="inlineStr">
        <is>
          <t>Đạt</t>
        </is>
      </c>
      <c r="J2305" s="16" t="n">
        <v>0.001</v>
      </c>
    </row>
    <row r="2306">
      <c r="A2306" s="16" t="n">
        <v>2302</v>
      </c>
      <c r="B2306" s="16" t="inlineStr">
        <is>
          <t>Backend</t>
        </is>
      </c>
      <c r="C2306" s="17" t="inlineStr">
        <is>
          <t>ordering-service</t>
        </is>
      </c>
      <c r="D2306" s="16" t="inlineStr">
        <is>
          <t>Unit</t>
        </is>
      </c>
      <c r="E2306" s="17" t="inlineStr">
        <is>
          <t>ConfirmPaymentHandlerTest</t>
        </is>
      </c>
      <c r="F2306" s="17" t="inlineStr"/>
      <c r="G2306" s="17" t="inlineStr">
        <is>
          <t>Đơn không tồn tại: 404 ORDER_NOT_FOUND, không ghi gì</t>
        </is>
      </c>
      <c r="H2306" s="17" t="inlineStr">
        <is>
          <t>don_khong_ton_tai</t>
        </is>
      </c>
      <c r="I2306" s="16" t="inlineStr">
        <is>
          <t>Đạt</t>
        </is>
      </c>
      <c r="J2306" s="16" t="n">
        <v>0.004</v>
      </c>
    </row>
    <row r="2307">
      <c r="A2307" s="16" t="n">
        <v>2303</v>
      </c>
      <c r="B2307" s="16" t="inlineStr">
        <is>
          <t>Backend</t>
        </is>
      </c>
      <c r="C2307" s="17" t="inlineStr">
        <is>
          <t>ordering-service</t>
        </is>
      </c>
      <c r="D2307" s="16" t="inlineStr">
        <is>
          <t>Unit</t>
        </is>
      </c>
      <c r="E2307" s="17" t="inlineStr">
        <is>
          <t>ConfirmPaymentHandlerTest</t>
        </is>
      </c>
      <c r="F2307" s="17" t="inlineStr"/>
      <c r="G2307" s="17" t="inlineStr">
        <is>
          <t>Đơn chờ tiền: sang PAID với paidAt = giờ đồng hồ, ghi và bắn order.paid đúng một lần</t>
        </is>
      </c>
      <c r="H2307" s="17" t="inlineStr">
        <is>
          <t>don_cho_tien_sang_paid</t>
        </is>
      </c>
      <c r="I2307" s="16" t="inlineStr">
        <is>
          <t>Đạt</t>
        </is>
      </c>
      <c r="J2307" s="16" t="n">
        <v>0.012</v>
      </c>
    </row>
    <row r="2308">
      <c r="A2308" s="16" t="n">
        <v>2304</v>
      </c>
      <c r="B2308" s="16" t="inlineStr">
        <is>
          <t>Backend</t>
        </is>
      </c>
      <c r="C2308" s="17" t="inlineStr">
        <is>
          <t>ordering-service</t>
        </is>
      </c>
      <c r="D2308" s="16" t="inlineStr">
        <is>
          <t>Unit</t>
        </is>
      </c>
      <c r="E2308" s="17" t="inlineStr">
        <is>
          <t>ConfirmPaymentHandlerTest</t>
        </is>
      </c>
      <c r="F2308" s="17" t="inlineStr"/>
      <c r="G2308" s="17" t="inlineStr">
        <is>
          <t>Đơn đã MANUAL_REVIEW nhận xác nhận trùng: vẫn MANUAL_REVIEW, không ghi lại</t>
        </is>
      </c>
      <c r="H2308" s="17" t="inlineStr">
        <is>
          <t>doi_soat_trung</t>
        </is>
      </c>
      <c r="I2308" s="16" t="inlineStr">
        <is>
          <t>Đạt</t>
        </is>
      </c>
      <c r="J2308" s="16" t="n">
        <v>0.002</v>
      </c>
    </row>
    <row r="2309">
      <c r="A2309" s="16" t="n">
        <v>2305</v>
      </c>
      <c r="B2309" s="16" t="inlineStr">
        <is>
          <t>Backend</t>
        </is>
      </c>
      <c r="C2309" s="17" t="inlineStr">
        <is>
          <t>ordering-service</t>
        </is>
      </c>
      <c r="D2309" s="16" t="inlineStr">
        <is>
          <t>Unit</t>
        </is>
      </c>
      <c r="E2309" s="17" t="inlineStr">
        <is>
          <t>ConfirmPaymentHandlerTest</t>
        </is>
      </c>
      <c r="F2309" s="17" t="inlineStr"/>
      <c r="G2309" s="17" t="inlineStr">
        <is>
          <t>Tiền vào đơn đã đóng: MANUAL_REVIEW, ghi lại kèm trạng thái cũ, KHÔNG bắn order.paid</t>
        </is>
      </c>
      <c r="H2309" s="17" t="inlineStr">
        <is>
          <t>tien_vao_don_da_dong(OrderStatus)[1]</t>
        </is>
      </c>
      <c r="I2309" s="16" t="inlineStr">
        <is>
          <t>Đạt</t>
        </is>
      </c>
      <c r="J2309" s="16" t="n">
        <v>0.003</v>
      </c>
    </row>
    <row r="2310">
      <c r="A2310" s="16" t="n">
        <v>2306</v>
      </c>
      <c r="B2310" s="16" t="inlineStr">
        <is>
          <t>Backend</t>
        </is>
      </c>
      <c r="C2310" s="17" t="inlineStr">
        <is>
          <t>ordering-service</t>
        </is>
      </c>
      <c r="D2310" s="16" t="inlineStr">
        <is>
          <t>Unit</t>
        </is>
      </c>
      <c r="E2310" s="17" t="inlineStr">
        <is>
          <t>ConfirmPaymentHandlerTest</t>
        </is>
      </c>
      <c r="F2310" s="17" t="inlineStr"/>
      <c r="G2310" s="17" t="inlineStr">
        <is>
          <t>Tiền vào đơn đã đóng: MANUAL_REVIEW, ghi lại kèm trạng thái cũ, KHÔNG bắn order.paid</t>
        </is>
      </c>
      <c r="H2310" s="17" t="inlineStr">
        <is>
          <t>tien_vao_don_da_dong(OrderStatus)[2]</t>
        </is>
      </c>
      <c r="I2310" s="16" t="inlineStr">
        <is>
          <t>Đạt</t>
        </is>
      </c>
      <c r="J2310" s="16" t="n">
        <v>0.002</v>
      </c>
    </row>
    <row r="2311">
      <c r="A2311" s="16" t="n">
        <v>2307</v>
      </c>
      <c r="B2311" s="16" t="inlineStr">
        <is>
          <t>Backend</t>
        </is>
      </c>
      <c r="C2311" s="17" t="inlineStr">
        <is>
          <t>ordering-service</t>
        </is>
      </c>
      <c r="D2311" s="16" t="inlineStr">
        <is>
          <t>Unit</t>
        </is>
      </c>
      <c r="E2311" s="17" t="inlineStr">
        <is>
          <t>ConfirmPaymentHandlerTest</t>
        </is>
      </c>
      <c r="F2311" s="17" t="inlineStr"/>
      <c r="G2311" s="17" t="inlineStr">
        <is>
          <t>Đơn đã PAID: ALREADY_PAID, không ghi, không bắn sự kiện — ticketing không phát vé đôi</t>
        </is>
      </c>
      <c r="H2311" s="17" t="inlineStr">
        <is>
          <t>da_paid_khong_lam_gi</t>
        </is>
      </c>
      <c r="I2311" s="16" t="inlineStr">
        <is>
          <t>Đạt</t>
        </is>
      </c>
      <c r="J2311" s="16" t="n">
        <v>0.003</v>
      </c>
    </row>
    <row r="2312">
      <c r="A2312" s="16" t="n">
        <v>2308</v>
      </c>
      <c r="B2312" s="16" t="inlineStr">
        <is>
          <t>Backend</t>
        </is>
      </c>
      <c r="C2312" s="17" t="inlineStr">
        <is>
          <t>ordering-service</t>
        </is>
      </c>
      <c r="D2312" s="16" t="inlineStr">
        <is>
          <t>Unit</t>
        </is>
      </c>
      <c r="E2312" s="17" t="inlineStr">
        <is>
          <t>ConfirmPaymentHandlerTest</t>
        </is>
      </c>
      <c r="F2312" s="17" t="inlineStr"/>
      <c r="G2312" s="17" t="inlineStr">
        <is>
          <t>Hai webhook liên tiếp trên cùng đơn: lần một PAID, lần hai ALREADY_PAID, một sự kiện duy nhất</t>
        </is>
      </c>
      <c r="H2312" s="17" t="inlineStr">
        <is>
          <t>hai_webhook_lien_tiep</t>
        </is>
      </c>
      <c r="I2312" s="16" t="inlineStr">
        <is>
          <t>Đạt</t>
        </is>
      </c>
      <c r="J2312" s="16" t="n">
        <v>0.003</v>
      </c>
    </row>
    <row r="2313">
      <c r="A2313" s="16" t="n">
        <v>2309</v>
      </c>
      <c r="B2313" s="16" t="inlineStr">
        <is>
          <t>Backend</t>
        </is>
      </c>
      <c r="C2313" s="17" t="inlineStr">
        <is>
          <t>ordering-service</t>
        </is>
      </c>
      <c r="D2313" s="16" t="inlineStr">
        <is>
          <t>Unit</t>
        </is>
      </c>
      <c r="E2313" s="17" t="inlineStr">
        <is>
          <t>PlaceOrderHandlerTest › FailureRecovery</t>
        </is>
      </c>
      <c r="F2313" s="17" t="inlineStr">
        <is>
          <t>Hỏng và bù trừ</t>
        </is>
      </c>
      <c r="G2313" s="17" t="inlineStr">
        <is>
          <t>Catalog timeout: 503, nhả chỗ</t>
        </is>
      </c>
      <c r="H2313" s="17" t="inlineStr">
        <is>
          <t>catalog_timeout</t>
        </is>
      </c>
      <c r="I2313" s="16" t="inlineStr">
        <is>
          <t>Đạt</t>
        </is>
      </c>
      <c r="J2313" s="16" t="n">
        <v>0.078</v>
      </c>
    </row>
    <row r="2314">
      <c r="A2314" s="16" t="n">
        <v>2310</v>
      </c>
      <c r="B2314" s="16" t="inlineStr">
        <is>
          <t>Backend</t>
        </is>
      </c>
      <c r="C2314" s="17" t="inlineStr">
        <is>
          <t>ordering-service</t>
        </is>
      </c>
      <c r="D2314" s="16" t="inlineStr">
        <is>
          <t>Unit</t>
        </is>
      </c>
      <c r="E2314" s="17" t="inlineStr">
        <is>
          <t>PlaceOrderHandlerTest › FailureRecovery</t>
        </is>
      </c>
      <c r="F2314" s="17" t="inlineStr">
        <is>
          <t>Hỏng và bù trừ</t>
        </is>
      </c>
      <c r="G2314" s="17" t="inlineStr">
        <is>
          <t>Mã khuyến mãi sai: 400 PROMOTION_INVALID, nhả chỗ, không mở link thanh toán</t>
        </is>
      </c>
      <c r="H2314" s="17" t="inlineStr">
        <is>
          <t>khuyen_mai_sai</t>
        </is>
      </c>
      <c r="I2314" s="16" t="inlineStr">
        <is>
          <t>Đạt</t>
        </is>
      </c>
      <c r="J2314" s="16" t="n">
        <v>0.005</v>
      </c>
    </row>
    <row r="2315">
      <c r="A2315" s="16" t="n">
        <v>2311</v>
      </c>
      <c r="B2315" s="16" t="inlineStr">
        <is>
          <t>Backend</t>
        </is>
      </c>
      <c r="C2315" s="17" t="inlineStr">
        <is>
          <t>ordering-service</t>
        </is>
      </c>
      <c r="D2315" s="16" t="inlineStr">
        <is>
          <t>Unit</t>
        </is>
      </c>
      <c r="E2315" s="17" t="inlineStr">
        <is>
          <t>PlaceOrderHandlerTest › FailureRecovery</t>
        </is>
      </c>
      <c r="F2315" s="17" t="inlineStr">
        <is>
          <t>Hỏng và bù trừ</t>
        </is>
      </c>
      <c r="G2315" s="17" t="inlineStr">
        <is>
          <t>Lỗi ngoài dự kiến khi ghi đơn: bù trừ cả hai bước, trả 503 chứ không 500</t>
        </is>
      </c>
      <c r="H2315" s="17" t="inlineStr">
        <is>
          <t>loi_ngoai_du_kien_khi_ghi_don</t>
        </is>
      </c>
      <c r="I2315" s="16" t="inlineStr">
        <is>
          <t>Đạt</t>
        </is>
      </c>
      <c r="J2315" s="16" t="n">
        <v>0.007</v>
      </c>
    </row>
    <row r="2316">
      <c r="A2316" s="16" t="n">
        <v>2312</v>
      </c>
      <c r="B2316" s="16" t="inlineStr">
        <is>
          <t>Backend</t>
        </is>
      </c>
      <c r="C2316" s="17" t="inlineStr">
        <is>
          <t>ordering-service</t>
        </is>
      </c>
      <c r="D2316" s="16" t="inlineStr">
        <is>
          <t>Unit</t>
        </is>
      </c>
      <c r="E2316" s="17" t="inlineStr">
        <is>
          <t>PlaceOrderHandlerTest › FailureRecovery</t>
        </is>
      </c>
      <c r="F2316" s="17" t="inlineStr">
        <is>
          <t>Hỏng và bù trừ</t>
        </is>
      </c>
      <c r="G2316" s="17" t="inlineStr">
        <is>
          <t>Bù trừ cũng hỏng: COMPENSATION_PENDING, cờ còn nguyên cho job quét, khách vẫn nhận 503</t>
        </is>
      </c>
      <c r="H2316" s="17" t="inlineStr">
        <is>
          <t>bu_tru_hong</t>
        </is>
      </c>
      <c r="I2316" s="16" t="inlineStr">
        <is>
          <t>Đạt</t>
        </is>
      </c>
      <c r="J2316" s="16" t="n">
        <v>0.006</v>
      </c>
    </row>
    <row r="2317">
      <c r="A2317" s="16" t="n">
        <v>2313</v>
      </c>
      <c r="B2317" s="16" t="inlineStr">
        <is>
          <t>Backend</t>
        </is>
      </c>
      <c r="C2317" s="17" t="inlineStr">
        <is>
          <t>ordering-service</t>
        </is>
      </c>
      <c r="D2317" s="16" t="inlineStr">
        <is>
          <t>Unit</t>
        </is>
      </c>
      <c r="E2317" s="17" t="inlineStr">
        <is>
          <t>PlaceOrderHandlerTest › FailureRecovery</t>
        </is>
      </c>
      <c r="F2317" s="17" t="inlineStr">
        <is>
          <t>Hỏng và bù trừ</t>
        </is>
      </c>
      <c r="G2317" s="17" t="inlineStr">
        <is>
          <t>Inventory timeout: giả định đã đặt chỗ ⇒ nhả chỗ, không đụng payment, 503</t>
        </is>
      </c>
      <c r="H2317" s="17" t="inlineStr">
        <is>
          <t>inventory_timeout</t>
        </is>
      </c>
      <c r="I2317" s="16" t="inlineStr">
        <is>
          <t>Đạt</t>
        </is>
      </c>
      <c r="J2317" s="16" t="n">
        <v>0.007</v>
      </c>
    </row>
    <row r="2318">
      <c r="A2318" s="16" t="n">
        <v>2314</v>
      </c>
      <c r="B2318" s="16" t="inlineStr">
        <is>
          <t>Backend</t>
        </is>
      </c>
      <c r="C2318" s="17" t="inlineStr">
        <is>
          <t>ordering-service</t>
        </is>
      </c>
      <c r="D2318" s="16" t="inlineStr">
        <is>
          <t>Unit</t>
        </is>
      </c>
      <c r="E2318" s="17" t="inlineStr">
        <is>
          <t>PlaceOrderHandlerTest › FailureRecovery</t>
        </is>
      </c>
      <c r="F2318" s="17" t="inlineStr">
        <is>
          <t>Hỏng và bù trừ</t>
        </is>
      </c>
      <c r="G2318" s="17" t="inlineStr">
        <is>
          <t>Payment timeout: đóng intent TRƯỚC rồi mới nhả chỗ (ngược thứ tự làm), không ghi đơn</t>
        </is>
      </c>
      <c r="H2318" s="17" t="inlineStr">
        <is>
          <t>payment_timeout_bu_tru_nguoc_thu_tu</t>
        </is>
      </c>
      <c r="I2318" s="16" t="inlineStr">
        <is>
          <t>Đạt</t>
        </is>
      </c>
      <c r="J2318" s="16" t="n">
        <v>0.007</v>
      </c>
    </row>
    <row r="2319">
      <c r="A2319" s="16" t="n">
        <v>2315</v>
      </c>
      <c r="B2319" s="16" t="inlineStr">
        <is>
          <t>Backend</t>
        </is>
      </c>
      <c r="C2319" s="17" t="inlineStr">
        <is>
          <t>ordering-service</t>
        </is>
      </c>
      <c r="D2319" s="16" t="inlineStr">
        <is>
          <t>Unit</t>
        </is>
      </c>
      <c r="E2319" s="17" t="inlineStr">
        <is>
          <t>PlaceOrderHandlerTest › FailureRecovery</t>
        </is>
      </c>
      <c r="F2319" s="17" t="inlineStr">
        <is>
          <t>Hỏng và bù trừ</t>
        </is>
      </c>
      <c r="G2319" s="17" t="inlineStr">
        <is>
          <t>Inventory từ chối dứt khoát: dịch mã lỗi, saga FAILED, không bù trừ gì</t>
        </is>
      </c>
      <c r="H2319" s="17" t="inlineStr">
        <is>
          <t>inventory_tu_choi(String, OrderingErrorCode)[1]</t>
        </is>
      </c>
      <c r="I2319" s="16" t="inlineStr">
        <is>
          <t>Đạt</t>
        </is>
      </c>
      <c r="J2319" s="16" t="n">
        <v>0.022</v>
      </c>
    </row>
    <row r="2320">
      <c r="A2320" s="16" t="n">
        <v>2316</v>
      </c>
      <c r="B2320" s="16" t="inlineStr">
        <is>
          <t>Backend</t>
        </is>
      </c>
      <c r="C2320" s="17" t="inlineStr">
        <is>
          <t>ordering-service</t>
        </is>
      </c>
      <c r="D2320" s="16" t="inlineStr">
        <is>
          <t>Unit</t>
        </is>
      </c>
      <c r="E2320" s="17" t="inlineStr">
        <is>
          <t>PlaceOrderHandlerTest › FailureRecovery</t>
        </is>
      </c>
      <c r="F2320" s="17" t="inlineStr">
        <is>
          <t>Hỏng và bù trừ</t>
        </is>
      </c>
      <c r="G2320" s="17" t="inlineStr">
        <is>
          <t>Inventory từ chối dứt khoát: dịch mã lỗi, saga FAILED, không bù trừ gì</t>
        </is>
      </c>
      <c r="H2320" s="17" t="inlineStr">
        <is>
          <t>inventory_tu_choi(String, OrderingErrorCode)[2]</t>
        </is>
      </c>
      <c r="I2320" s="16" t="inlineStr">
        <is>
          <t>Đạt</t>
        </is>
      </c>
      <c r="J2320" s="16" t="n">
        <v>0.004</v>
      </c>
    </row>
    <row r="2321">
      <c r="A2321" s="16" t="n">
        <v>2317</v>
      </c>
      <c r="B2321" s="16" t="inlineStr">
        <is>
          <t>Backend</t>
        </is>
      </c>
      <c r="C2321" s="17" t="inlineStr">
        <is>
          <t>ordering-service</t>
        </is>
      </c>
      <c r="D2321" s="16" t="inlineStr">
        <is>
          <t>Unit</t>
        </is>
      </c>
      <c r="E2321" s="17" t="inlineStr">
        <is>
          <t>PlaceOrderHandlerTest › FailureRecovery</t>
        </is>
      </c>
      <c r="F2321" s="17" t="inlineStr">
        <is>
          <t>Hỏng và bù trừ</t>
        </is>
      </c>
      <c r="G2321" s="17" t="inlineStr">
        <is>
          <t>Inventory từ chối dứt khoát: dịch mã lỗi, saga FAILED, không bù trừ gì</t>
        </is>
      </c>
      <c r="H2321" s="17" t="inlineStr">
        <is>
          <t>inventory_tu_choi(String, OrderingErrorCode)[3]</t>
        </is>
      </c>
      <c r="I2321" s="16" t="inlineStr">
        <is>
          <t>Đạt</t>
        </is>
      </c>
      <c r="J2321" s="16" t="n">
        <v>0.005</v>
      </c>
    </row>
    <row r="2322">
      <c r="A2322" s="16" t="n">
        <v>2318</v>
      </c>
      <c r="B2322" s="16" t="inlineStr">
        <is>
          <t>Backend</t>
        </is>
      </c>
      <c r="C2322" s="17" t="inlineStr">
        <is>
          <t>ordering-service</t>
        </is>
      </c>
      <c r="D2322" s="16" t="inlineStr">
        <is>
          <t>Unit</t>
        </is>
      </c>
      <c r="E2322" s="17" t="inlineStr">
        <is>
          <t>PlaceOrderHandlerTest › FailureRecovery</t>
        </is>
      </c>
      <c r="F2322" s="17" t="inlineStr">
        <is>
          <t>Hỏng và bù trừ</t>
        </is>
      </c>
      <c r="G2322" s="17" t="inlineStr">
        <is>
          <t>Inventory từ chối dứt khoát: dịch mã lỗi, saga FAILED, không bù trừ gì</t>
        </is>
      </c>
      <c r="H2322" s="17" t="inlineStr">
        <is>
          <t>inventory_tu_choi(String, OrderingErrorCode)[4]</t>
        </is>
      </c>
      <c r="I2322" s="16" t="inlineStr">
        <is>
          <t>Đạt</t>
        </is>
      </c>
      <c r="J2322" s="16" t="n">
        <v>0.004</v>
      </c>
    </row>
    <row r="2323">
      <c r="A2323" s="16" t="n">
        <v>2319</v>
      </c>
      <c r="B2323" s="16" t="inlineStr">
        <is>
          <t>Backend</t>
        </is>
      </c>
      <c r="C2323" s="17" t="inlineStr">
        <is>
          <t>ordering-service</t>
        </is>
      </c>
      <c r="D2323" s="16" t="inlineStr">
        <is>
          <t>Unit</t>
        </is>
      </c>
      <c r="E2323" s="17" t="inlineStr">
        <is>
          <t>PlaceOrderHandlerTest › FailureRecovery</t>
        </is>
      </c>
      <c r="F2323" s="17" t="inlineStr">
        <is>
          <t>Hỏng và bù trừ</t>
        </is>
      </c>
      <c r="G2323" s="17" t="inlineStr">
        <is>
          <t>Inventory từ chối dứt khoát: dịch mã lỗi, saga FAILED, không bù trừ gì</t>
        </is>
      </c>
      <c r="H2323" s="17" t="inlineStr">
        <is>
          <t>inventory_tu_choi(String, OrderingErrorCode)[5]</t>
        </is>
      </c>
      <c r="I2323" s="16" t="inlineStr">
        <is>
          <t>Đạt</t>
        </is>
      </c>
      <c r="J2323" s="16" t="n">
        <v>0.002</v>
      </c>
    </row>
    <row r="2324">
      <c r="A2324" s="16" t="n">
        <v>2320</v>
      </c>
      <c r="B2324" s="16" t="inlineStr">
        <is>
          <t>Backend</t>
        </is>
      </c>
      <c r="C2324" s="17" t="inlineStr">
        <is>
          <t>ordering-service</t>
        </is>
      </c>
      <c r="D2324" s="16" t="inlineStr">
        <is>
          <t>Unit</t>
        </is>
      </c>
      <c r="E2324" s="17" t="inlineStr">
        <is>
          <t>PlaceOrderHandlerTest › HappyPath</t>
        </is>
      </c>
      <c r="F2324" s="17" t="inlineStr">
        <is>
          <t>Đường thành công</t>
        </is>
      </c>
      <c r="G2324" s="17" t="inlineStr">
        <is>
          <t>Cờ saga được ghi xuống TRƯỚC mỗi lời gọi có tác dụng phụ</t>
        </is>
      </c>
      <c r="H2324" s="17" t="inlineStr">
        <is>
          <t>ghi_co_truoc_khi_goi</t>
        </is>
      </c>
      <c r="I2324" s="16" t="inlineStr">
        <is>
          <t>Đạt</t>
        </is>
      </c>
      <c r="J2324" s="16" t="n">
        <v>0.007</v>
      </c>
    </row>
    <row r="2325">
      <c r="A2325" s="16" t="n">
        <v>2321</v>
      </c>
      <c r="B2325" s="16" t="inlineStr">
        <is>
          <t>Backend</t>
        </is>
      </c>
      <c r="C2325" s="17" t="inlineStr">
        <is>
          <t>ordering-service</t>
        </is>
      </c>
      <c r="D2325" s="16" t="inlineStr">
        <is>
          <t>Unit</t>
        </is>
      </c>
      <c r="E2325" s="17" t="inlineStr">
        <is>
          <t>PlaceOrderHandlerTest › HappyPath</t>
        </is>
      </c>
      <c r="F2325" s="17" t="inlineStr">
        <is>
          <t>Đường thành công</t>
        </is>
      </c>
      <c r="G2325" s="17" t="inlineStr">
        <is>
          <t>Vé 0đ ở cuối đơn + mã giảm giá: đơn vẫn đặt được, không dòng nào giảm quá giá</t>
        </is>
      </c>
      <c r="H2325" s="17" t="inlineStr">
        <is>
          <t>ve_0d_cuoi_don_kem_giam_gia</t>
        </is>
      </c>
      <c r="I2325" s="16" t="inlineStr">
        <is>
          <t>Đạt</t>
        </is>
      </c>
      <c r="J2325" s="16" t="n">
        <v>0.013</v>
      </c>
    </row>
    <row r="2326">
      <c r="A2326" s="16" t="n">
        <v>2322</v>
      </c>
      <c r="B2326" s="16" t="inlineStr">
        <is>
          <t>Backend</t>
        </is>
      </c>
      <c r="C2326" s="17" t="inlineStr">
        <is>
          <t>ordering-service</t>
        </is>
      </c>
      <c r="D2326" s="16" t="inlineStr">
        <is>
          <t>Unit</t>
        </is>
      </c>
      <c r="E2326" s="17" t="inlineStr">
        <is>
          <t>PlaceOrderHandlerTest › HappyPath</t>
        </is>
      </c>
      <c r="F2326" s="17" t="inlineStr">
        <is>
          <t>Đường thành công</t>
        </is>
      </c>
      <c r="G2326" s="17" t="inlineStr">
        <is>
          <t>Giảm giá chia theo tỷ lệ giá vé, phần dư dồn dòng cuối, tổng dòng = tổng giảm</t>
        </is>
      </c>
      <c r="H2326" s="17" t="inlineStr">
        <is>
          <t>giam_gia_chia_theo_ty_le</t>
        </is>
      </c>
      <c r="I2326" s="16" t="inlineStr">
        <is>
          <t>Đạt</t>
        </is>
      </c>
      <c r="J2326" s="16" t="n">
        <v>0.006</v>
      </c>
    </row>
    <row r="2327">
      <c r="A2327" s="16" t="n">
        <v>2323</v>
      </c>
      <c r="B2327" s="16" t="inlineStr">
        <is>
          <t>Backend</t>
        </is>
      </c>
      <c r="C2327" s="17" t="inlineStr">
        <is>
          <t>ordering-service</t>
        </is>
      </c>
      <c r="D2327" s="16" t="inlineStr">
        <is>
          <t>Unit</t>
        </is>
      </c>
      <c r="E2327" s="17" t="inlineStr">
        <is>
          <t>PlaceOrderHandlerTest › HappyPath</t>
        </is>
      </c>
      <c r="F2327" s="17" t="inlineStr">
        <is>
          <t>Đường thành công</t>
        </is>
      </c>
      <c r="G2327" s="17" t="inlineStr">
        <is>
          <t>Giá lấy từ Inventory, giảm giá từ Catalog; số tiền mở link = tổng server tự tính</t>
        </is>
      </c>
      <c r="H2327" s="17" t="inlineStr">
        <is>
          <t>gia_tinh_o_server</t>
        </is>
      </c>
      <c r="I2327" s="16" t="inlineStr">
        <is>
          <t>Đạt</t>
        </is>
      </c>
      <c r="J2327" s="16" t="n">
        <v>0.005</v>
      </c>
    </row>
    <row r="2328">
      <c r="A2328" s="16" t="n">
        <v>2324</v>
      </c>
      <c r="B2328" s="16" t="inlineStr">
        <is>
          <t>Backend</t>
        </is>
      </c>
      <c r="C2328" s="17" t="inlineStr">
        <is>
          <t>ordering-service</t>
        </is>
      </c>
      <c r="D2328" s="16" t="inlineStr">
        <is>
          <t>Unit</t>
        </is>
      </c>
      <c r="E2328" s="17" t="inlineStr">
        <is>
          <t>PlaceOrderHandlerTest › Idempotency</t>
        </is>
      </c>
      <c r="F2328" s="17" t="inlineStr">
        <is>
          <t>Idempotent theo holdId</t>
        </is>
      </c>
      <c r="G2328" s="17" t="inlineStr">
        <is>
          <t>Đụng unique hold_id lúc ghi: bù trừ phần của mình rồi trả đơn đang có</t>
        </is>
      </c>
      <c r="H2328" s="17" t="inlineStr">
        <is>
          <t>dung_unique_hold_thi_bu_tru_va_tra_don_co</t>
        </is>
      </c>
      <c r="I2328" s="16" t="inlineStr">
        <is>
          <t>Đạt</t>
        </is>
      </c>
      <c r="J2328" s="16" t="n">
        <v>0.021</v>
      </c>
    </row>
    <row r="2329">
      <c r="A2329" s="16" t="n">
        <v>2325</v>
      </c>
      <c r="B2329" s="16" t="inlineStr">
        <is>
          <t>Backend</t>
        </is>
      </c>
      <c r="C2329" s="17" t="inlineStr">
        <is>
          <t>ordering-service</t>
        </is>
      </c>
      <c r="D2329" s="16" t="inlineStr">
        <is>
          <t>Unit</t>
        </is>
      </c>
      <c r="E2329" s="17" t="inlineStr">
        <is>
          <t>PlaceOrderHandlerTest › Idempotency</t>
        </is>
      </c>
      <c r="F2329" s="17" t="inlineStr">
        <is>
          <t>Idempotent theo holdId</t>
        </is>
      </c>
      <c r="G2329" s="17" t="inlineStr">
        <is>
          <t>Đụng unique hold_id mà không đọc lại được đơn: 503 thử lại, không 500</t>
        </is>
      </c>
      <c r="H2329" s="17" t="inlineStr">
        <is>
          <t>dung_unique_ma_khong_thay_don</t>
        </is>
      </c>
      <c r="I2329" s="16" t="inlineStr">
        <is>
          <t>Đạt</t>
        </is>
      </c>
      <c r="J2329" s="16" t="n">
        <v>0.004</v>
      </c>
    </row>
    <row r="2330">
      <c r="A2330" s="16" t="n">
        <v>2326</v>
      </c>
      <c r="B2330" s="16" t="inlineStr">
        <is>
          <t>Backend</t>
        </is>
      </c>
      <c r="C2330" s="17" t="inlineStr">
        <is>
          <t>ordering-service</t>
        </is>
      </c>
      <c r="D2330" s="16" t="inlineStr">
        <is>
          <t>Unit</t>
        </is>
      </c>
      <c r="E2330" s="17" t="inlineStr">
        <is>
          <t>PlaceOrderHandlerTest › Idempotency</t>
        </is>
      </c>
      <c r="F2330" s="17" t="inlineStr">
        <is>
          <t>Idempotent theo holdId</t>
        </is>
      </c>
      <c r="G2330" s="17" t="inlineStr">
        <is>
          <t>Đơn đã có cho lần giữ chỗ này: trả lại đúng đơn cũ, không gọi service nào</t>
        </is>
      </c>
      <c r="H2330" s="17" t="inlineStr">
        <is>
          <t>tra_lai_don_cu</t>
        </is>
      </c>
      <c r="I2330" s="16" t="inlineStr">
        <is>
          <t>Đạt</t>
        </is>
      </c>
      <c r="J2330" s="16" t="n">
        <v>0.003</v>
      </c>
    </row>
    <row r="2331">
      <c r="A2331" s="16" t="n">
        <v>2327</v>
      </c>
      <c r="B2331" s="16" t="inlineStr">
        <is>
          <t>Backend</t>
        </is>
      </c>
      <c r="C2331" s="17" t="inlineStr">
        <is>
          <t>ordering-service</t>
        </is>
      </c>
      <c r="D2331" s="16" t="inlineStr">
        <is>
          <t>Unit</t>
        </is>
      </c>
      <c r="E2331" s="17" t="inlineStr">
        <is>
          <t>PlaceOrderHandlerTest › Idempotency</t>
        </is>
      </c>
      <c r="F2331" s="17" t="inlineStr">
        <is>
          <t>Idempotent theo holdId</t>
        </is>
      </c>
      <c r="G2331" s="17" t="inlineStr">
        <is>
          <t>holdId đã thành đơn của NGƯỜI KHÁC: không được trả đơn đó ra</t>
        </is>
      </c>
      <c r="H2331" s="17" t="inlineStr">
        <is>
          <t>hold_cua_nguoi_khac_khong_tra_don</t>
        </is>
      </c>
      <c r="I2331" s="16" t="inlineStr">
        <is>
          <t>Đạt</t>
        </is>
      </c>
      <c r="J2331" s="16" t="n">
        <v>0.002</v>
      </c>
    </row>
    <row r="2332">
      <c r="A2332" s="16" t="n">
        <v>2328</v>
      </c>
      <c r="B2332" s="16" t="inlineStr">
        <is>
          <t>Backend</t>
        </is>
      </c>
      <c r="C2332" s="17" t="inlineStr">
        <is>
          <t>ordering-service</t>
        </is>
      </c>
      <c r="D2332" s="16" t="inlineStr">
        <is>
          <t>Unit</t>
        </is>
      </c>
      <c r="E2332" s="17" t="inlineStr">
        <is>
          <t>OrderQueriesTest › Customer</t>
        </is>
      </c>
      <c r="F2332" s="17" t="inlineStr">
        <is>
          <t>Khách xem đơn</t>
        </is>
      </c>
      <c r="G2332" s="17" t="inlineStr">
        <is>
          <t>Bản của khách KHÔNG có trường hoa hồng (ADR-1010)</t>
        </is>
      </c>
      <c r="H2332" s="17" t="inlineStr">
        <is>
          <t>ban_cua_khach_khong_co_hoa_hong</t>
        </is>
      </c>
      <c r="I2332" s="16" t="inlineStr">
        <is>
          <t>Đạt</t>
        </is>
      </c>
      <c r="J2332" s="16" t="n">
        <v>0.015</v>
      </c>
    </row>
    <row r="2333">
      <c r="A2333" s="16" t="n">
        <v>2329</v>
      </c>
      <c r="B2333" s="16" t="inlineStr">
        <is>
          <t>Backend</t>
        </is>
      </c>
      <c r="C2333" s="17" t="inlineStr">
        <is>
          <t>ordering-service</t>
        </is>
      </c>
      <c r="D2333" s="16" t="inlineStr">
        <is>
          <t>Unit</t>
        </is>
      </c>
      <c r="E2333" s="17" t="inlineStr">
        <is>
          <t>OrderQueriesTest › Customer</t>
        </is>
      </c>
      <c r="F2333" s="17" t="inlineStr">
        <is>
          <t>Khách xem đơn</t>
        </is>
      </c>
      <c r="G2333" s="17" t="inlineStr">
        <is>
          <t>Danh sách đơn của tôi chỉ hỏi kho theo đúng userId, limit, offset</t>
        </is>
      </c>
      <c r="H2333" s="17" t="inlineStr">
        <is>
          <t>danh_sach_cua_toi</t>
        </is>
      </c>
      <c r="I2333" s="16" t="inlineStr">
        <is>
          <t>Đạt</t>
        </is>
      </c>
      <c r="J2333" s="16" t="n">
        <v>0.002</v>
      </c>
    </row>
    <row r="2334">
      <c r="A2334" s="16" t="n">
        <v>2330</v>
      </c>
      <c r="B2334" s="16" t="inlineStr">
        <is>
          <t>Backend</t>
        </is>
      </c>
      <c r="C2334" s="17" t="inlineStr">
        <is>
          <t>ordering-service</t>
        </is>
      </c>
      <c r="D2334" s="16" t="inlineStr">
        <is>
          <t>Unit</t>
        </is>
      </c>
      <c r="E2334" s="17" t="inlineStr">
        <is>
          <t>OrderQueriesTest › Customer</t>
        </is>
      </c>
      <c r="F2334" s="17" t="inlineStr">
        <is>
          <t>Khách xem đơn</t>
        </is>
      </c>
      <c r="G2334" s="17" t="inlineStr">
        <is>
          <t>Người khác đọc đơn: 404 giống hệt đơn không tồn tại — không lộ đơn có thật</t>
        </is>
      </c>
      <c r="H2334" s="17" t="inlineStr">
        <is>
          <t>nguoi_khac_nhan_404</t>
        </is>
      </c>
      <c r="I2334" s="16" t="inlineStr">
        <is>
          <t>Đạt</t>
        </is>
      </c>
      <c r="J2334" s="16" t="n">
        <v>0.002</v>
      </c>
    </row>
    <row r="2335">
      <c r="A2335" s="16" t="n">
        <v>2331</v>
      </c>
      <c r="B2335" s="16" t="inlineStr">
        <is>
          <t>Backend</t>
        </is>
      </c>
      <c r="C2335" s="17" t="inlineStr">
        <is>
          <t>ordering-service</t>
        </is>
      </c>
      <c r="D2335" s="16" t="inlineStr">
        <is>
          <t>Unit</t>
        </is>
      </c>
      <c r="E2335" s="17" t="inlineStr">
        <is>
          <t>OrderQueriesTest › Customer</t>
        </is>
      </c>
      <c r="F2335" s="17" t="inlineStr">
        <is>
          <t>Khách xem đơn</t>
        </is>
      </c>
      <c r="G2335" s="17" t="inlineStr">
        <is>
          <t>Chủ đơn xem được đơn của mình, số tiền tính từ dòng</t>
        </is>
      </c>
      <c r="H2335" s="17" t="inlineStr">
        <is>
          <t>chu_don_xem_duoc</t>
        </is>
      </c>
      <c r="I2335" s="16" t="inlineStr">
        <is>
          <t>Đạt</t>
        </is>
      </c>
      <c r="J2335" s="16" t="n">
        <v>0.002</v>
      </c>
    </row>
    <row r="2336">
      <c r="A2336" s="16" t="n">
        <v>2332</v>
      </c>
      <c r="B2336" s="16" t="inlineStr">
        <is>
          <t>Backend</t>
        </is>
      </c>
      <c r="C2336" s="17" t="inlineStr">
        <is>
          <t>ordering-service</t>
        </is>
      </c>
      <c r="D2336" s="16" t="inlineStr">
        <is>
          <t>Unit</t>
        </is>
      </c>
      <c r="E2336" s="17" t="inlineStr">
        <is>
          <t>OrderQueriesTest › Internal</t>
        </is>
      </c>
      <c r="F2336" s="17" t="inlineStr">
        <is>
          <t>Open Host Service nội bộ</t>
        </is>
      </c>
      <c r="G2336" s="17" t="inlineStr">
        <is>
          <t>Đơn nội bộ không tồn tại: 404</t>
        </is>
      </c>
      <c r="H2336" s="17" t="inlineStr">
        <is>
          <t>noi_bo_khong_ton_tai</t>
        </is>
      </c>
      <c r="I2336" s="16" t="inlineStr">
        <is>
          <t>Đạt</t>
        </is>
      </c>
      <c r="J2336" s="16" t="n">
        <v>0.003</v>
      </c>
    </row>
    <row r="2337">
      <c r="A2337" s="16" t="n">
        <v>2333</v>
      </c>
      <c r="B2337" s="16" t="inlineStr">
        <is>
          <t>Backend</t>
        </is>
      </c>
      <c r="C2337" s="17" t="inlineStr">
        <is>
          <t>ordering-service</t>
        </is>
      </c>
      <c r="D2337" s="16" t="inlineStr">
        <is>
          <t>Unit</t>
        </is>
      </c>
      <c r="E2337" s="17" t="inlineStr">
        <is>
          <t>OrderQueriesTest › Internal</t>
        </is>
      </c>
      <c r="F2337" s="17" t="inlineStr">
        <is>
          <t>Open Host Service nội bộ</t>
        </is>
      </c>
      <c r="G2337" s="17" t="inlineStr">
        <is>
          <t>Trạng thái hàng loạt chuyển nguyên map — đơn vắng mặt vẫn vắng mặt</t>
        </is>
      </c>
      <c r="H2337" s="17" t="inlineStr">
        <is>
          <t>trang_thai_hang_loat</t>
        </is>
      </c>
      <c r="I2337" s="16" t="inlineStr">
        <is>
          <t>Đạt</t>
        </is>
      </c>
      <c r="J2337" s="16" t="n">
        <v>0.02</v>
      </c>
    </row>
    <row r="2338">
      <c r="A2338" s="16" t="n">
        <v>2334</v>
      </c>
      <c r="B2338" s="16" t="inlineStr">
        <is>
          <t>Backend</t>
        </is>
      </c>
      <c r="C2338" s="17" t="inlineStr">
        <is>
          <t>ordering-service</t>
        </is>
      </c>
      <c r="D2338" s="16" t="inlineStr">
        <is>
          <t>Unit</t>
        </is>
      </c>
      <c r="E2338" s="17" t="inlineStr">
        <is>
          <t>OrderQueriesTest › Internal</t>
        </is>
      </c>
      <c r="F2338" s="17" t="inlineStr">
        <is>
          <t>Open Host Service nội bộ</t>
        </is>
      </c>
      <c r="G2338" s="17" t="inlineStr">
        <is>
          <t>Dòng đơn nội bộ không mang giá — vé không in giá</t>
        </is>
      </c>
      <c r="H2338" s="17" t="inlineStr">
        <is>
          <t>dong_noi_bo_khong_co_gia</t>
        </is>
      </c>
      <c r="I2338" s="16" t="inlineStr">
        <is>
          <t>Đạt</t>
        </is>
      </c>
      <c r="J2338" s="16" t="n">
        <v>0.017</v>
      </c>
    </row>
    <row r="2339">
      <c r="A2339" s="16" t="n">
        <v>2335</v>
      </c>
      <c r="B2339" s="16" t="inlineStr">
        <is>
          <t>Backend</t>
        </is>
      </c>
      <c r="C2339" s="17" t="inlineStr">
        <is>
          <t>ordering-service</t>
        </is>
      </c>
      <c r="D2339" s="16" t="inlineStr">
        <is>
          <t>Unit</t>
        </is>
      </c>
      <c r="E2339" s="17" t="inlineStr">
        <is>
          <t>OrderQueriesTest › Internal</t>
        </is>
      </c>
      <c r="F2339" s="17" t="inlineStr">
        <is>
          <t>Open Host Service nội bộ</t>
        </is>
      </c>
      <c r="G2339" s="17" t="inlineStr">
        <is>
          <t>Bản nội bộ CÓ hoa hồng cộng từ dòng, số vé và dòng để phát vé</t>
        </is>
      </c>
      <c r="H2339" s="17" t="inlineStr">
        <is>
          <t>ban_noi_bo_co_hoa_hong</t>
        </is>
      </c>
      <c r="I2339" s="16" t="inlineStr">
        <is>
          <t>Đạt</t>
        </is>
      </c>
      <c r="J2339" s="16" t="n">
        <v>0.004</v>
      </c>
    </row>
    <row r="2340">
      <c r="A2340" s="16" t="n">
        <v>2336</v>
      </c>
      <c r="B2340" s="16" t="inlineStr">
        <is>
          <t>Backend</t>
        </is>
      </c>
      <c r="C2340" s="17" t="inlineStr">
        <is>
          <t>ordering-service</t>
        </is>
      </c>
      <c r="D2340" s="16" t="inlineStr">
        <is>
          <t>Unit</t>
        </is>
      </c>
      <c r="E2340" s="17" t="inlineStr">
        <is>
          <t>SalesStatsQueryTest › Ids</t>
        </is>
      </c>
      <c r="F2340" s="17" t="inlineStr">
        <is>
          <t>Bộ lọc mã</t>
        </is>
      </c>
      <c r="G2340" s="17" t="inlineStr">
        <is>
          <t>null nghĩa là không lọc: đi xuống database thành danh sách rỗng</t>
        </is>
      </c>
      <c r="H2340" s="17" t="inlineStr">
        <is>
          <t>null_la_khong_loc</t>
        </is>
      </c>
      <c r="I2340" s="16" t="inlineStr">
        <is>
          <t>Đạt</t>
        </is>
      </c>
      <c r="J2340" s="16" t="n">
        <v>0.005</v>
      </c>
    </row>
    <row r="2341">
      <c r="A2341" s="16" t="n">
        <v>2337</v>
      </c>
      <c r="B2341" s="16" t="inlineStr">
        <is>
          <t>Backend</t>
        </is>
      </c>
      <c r="C2341" s="17" t="inlineStr">
        <is>
          <t>ordering-service</t>
        </is>
      </c>
      <c r="D2341" s="16" t="inlineStr">
        <is>
          <t>Unit</t>
        </is>
      </c>
      <c r="E2341" s="17" t="inlineStr">
        <is>
          <t>SalesStatsQueryTest › Ids</t>
        </is>
      </c>
      <c r="F2341" s="17" t="inlineStr">
        <is>
          <t>Bộ lọc mã</t>
        </is>
      </c>
      <c r="G2341" s="17" t="inlineStr">
        <is>
          <t>Đúng 200 mã được, 201 mã bị chặn</t>
        </is>
      </c>
      <c r="H2341" s="17" t="inlineStr">
        <is>
          <t>tran_200_ma</t>
        </is>
      </c>
      <c r="I2341" s="16" t="inlineStr">
        <is>
          <t>Đạt</t>
        </is>
      </c>
      <c r="J2341" s="16" t="n">
        <v>0.015</v>
      </c>
    </row>
    <row r="2342">
      <c r="A2342" s="16" t="n">
        <v>2338</v>
      </c>
      <c r="B2342" s="16" t="inlineStr">
        <is>
          <t>Backend</t>
        </is>
      </c>
      <c r="C2342" s="17" t="inlineStr">
        <is>
          <t>ordering-service</t>
        </is>
      </c>
      <c r="D2342" s="16" t="inlineStr">
        <is>
          <t>Unit</t>
        </is>
      </c>
      <c r="E2342" s="17" t="inlineStr">
        <is>
          <t>SalesStatsQueryTest</t>
        </is>
      </c>
      <c r="F2342" s="17" t="inlineStr"/>
      <c r="G2342" s="17" t="inlineStr">
        <is>
          <t>Khách hàng: người mua mới = tổng người mua − người quay lại</t>
        </is>
      </c>
      <c r="H2342" s="17" t="inlineStr">
        <is>
          <t>khach_hang_moi</t>
        </is>
      </c>
      <c r="I2342" s="16" t="inlineStr">
        <is>
          <t>Đạt</t>
        </is>
      </c>
      <c r="J2342" s="16" t="n">
        <v>0.176</v>
      </c>
    </row>
    <row r="2343">
      <c r="A2343" s="16" t="n">
        <v>2339</v>
      </c>
      <c r="B2343" s="16" t="inlineStr">
        <is>
          <t>Backend</t>
        </is>
      </c>
      <c r="C2343" s="17" t="inlineStr">
        <is>
          <t>ordering-service</t>
        </is>
      </c>
      <c r="D2343" s="16" t="inlineStr">
        <is>
          <t>Unit</t>
        </is>
      </c>
      <c r="E2343" s="17" t="inlineStr">
        <is>
          <t>SalesStatsQueryTest › Orders</t>
        </is>
      </c>
      <c r="F2343" s="17" t="inlineStr">
        <is>
          <t>Danh sách đơn</t>
        </is>
      </c>
      <c r="G2343" s="17" t="inlineStr">
        <is>
          <t>Từ khoá: cắt khoảng trắng; rỗng là không tìm; quá 40 ký tự bị chặn</t>
        </is>
      </c>
      <c r="H2343" s="17" t="inlineStr">
        <is>
          <t>tu_khoa</t>
        </is>
      </c>
      <c r="I2343" s="16" t="inlineStr">
        <is>
          <t>Đạt</t>
        </is>
      </c>
      <c r="J2343" s="16" t="n">
        <v>0.022</v>
      </c>
    </row>
    <row r="2344">
      <c r="A2344" s="16" t="n">
        <v>2340</v>
      </c>
      <c r="B2344" s="16" t="inlineStr">
        <is>
          <t>Backend</t>
        </is>
      </c>
      <c r="C2344" s="17" t="inlineStr">
        <is>
          <t>ordering-service</t>
        </is>
      </c>
      <c r="D2344" s="16" t="inlineStr">
        <is>
          <t>Unit</t>
        </is>
      </c>
      <c r="E2344" s="17" t="inlineStr">
        <is>
          <t>SalesStatsQueryTest › Orders</t>
        </is>
      </c>
      <c r="F2344" s="17" t="inlineStr">
        <is>
          <t>Danh sách đơn</t>
        </is>
      </c>
      <c r="G2344" s="17" t="inlineStr">
        <is>
          <t>Trạng thái lạ: 400, không đọc database</t>
        </is>
      </c>
      <c r="H2344" s="17" t="inlineStr">
        <is>
          <t>trang_thai_la</t>
        </is>
      </c>
      <c r="I2344" s="16" t="inlineStr">
        <is>
          <t>Đạt</t>
        </is>
      </c>
      <c r="J2344" s="16" t="n">
        <v>0.008</v>
      </c>
    </row>
    <row r="2345">
      <c r="A2345" s="16" t="n">
        <v>2341</v>
      </c>
      <c r="B2345" s="16" t="inlineStr">
        <is>
          <t>Backend</t>
        </is>
      </c>
      <c r="C2345" s="17" t="inlineStr">
        <is>
          <t>ordering-service</t>
        </is>
      </c>
      <c r="D2345" s="16" t="inlineStr">
        <is>
          <t>Unit</t>
        </is>
      </c>
      <c r="E2345" s="17" t="inlineStr">
        <is>
          <t>SalesStatsQueryTest › Orders</t>
        </is>
      </c>
      <c r="F2345" s="17" t="inlineStr">
        <is>
          <t>Danh sách đơn</t>
        </is>
      </c>
      <c r="G2345" s="17" t="inlineStr">
        <is>
          <t>Phân trang bị kẹp trong biên, offset = trang × cỡ trang</t>
        </is>
      </c>
      <c r="H2345" s="17" t="inlineStr">
        <is>
          <t>kep_phan_trang(int, int, int, int)[1]</t>
        </is>
      </c>
      <c r="I2345" s="16" t="inlineStr">
        <is>
          <t>Đạt</t>
        </is>
      </c>
      <c r="J2345" s="16" t="n">
        <v>0.008999999999999999</v>
      </c>
    </row>
    <row r="2346">
      <c r="A2346" s="16" t="n">
        <v>2342</v>
      </c>
      <c r="B2346" s="16" t="inlineStr">
        <is>
          <t>Backend</t>
        </is>
      </c>
      <c r="C2346" s="17" t="inlineStr">
        <is>
          <t>ordering-service</t>
        </is>
      </c>
      <c r="D2346" s="16" t="inlineStr">
        <is>
          <t>Unit</t>
        </is>
      </c>
      <c r="E2346" s="17" t="inlineStr">
        <is>
          <t>SalesStatsQueryTest › Orders</t>
        </is>
      </c>
      <c r="F2346" s="17" t="inlineStr">
        <is>
          <t>Danh sách đơn</t>
        </is>
      </c>
      <c r="G2346" s="17" t="inlineStr">
        <is>
          <t>Phân trang bị kẹp trong biên, offset = trang × cỡ trang</t>
        </is>
      </c>
      <c r="H2346" s="17" t="inlineStr">
        <is>
          <t>kep_phan_trang(int, int, int, int)[2]</t>
        </is>
      </c>
      <c r="I2346" s="16" t="inlineStr">
        <is>
          <t>Đạt</t>
        </is>
      </c>
      <c r="J2346" s="16" t="n">
        <v>0.004</v>
      </c>
    </row>
    <row r="2347">
      <c r="A2347" s="16" t="n">
        <v>2343</v>
      </c>
      <c r="B2347" s="16" t="inlineStr">
        <is>
          <t>Backend</t>
        </is>
      </c>
      <c r="C2347" s="17" t="inlineStr">
        <is>
          <t>ordering-service</t>
        </is>
      </c>
      <c r="D2347" s="16" t="inlineStr">
        <is>
          <t>Unit</t>
        </is>
      </c>
      <c r="E2347" s="17" t="inlineStr">
        <is>
          <t>SalesStatsQueryTest › Orders</t>
        </is>
      </c>
      <c r="F2347" s="17" t="inlineStr">
        <is>
          <t>Danh sách đơn</t>
        </is>
      </c>
      <c r="G2347" s="17" t="inlineStr">
        <is>
          <t>Phân trang bị kẹp trong biên, offset = trang × cỡ trang</t>
        </is>
      </c>
      <c r="H2347" s="17" t="inlineStr">
        <is>
          <t>kep_phan_trang(int, int, int, int)[3]</t>
        </is>
      </c>
      <c r="I2347" s="16" t="inlineStr">
        <is>
          <t>Đạt</t>
        </is>
      </c>
      <c r="J2347" s="16" t="n">
        <v>0.003</v>
      </c>
    </row>
    <row r="2348">
      <c r="A2348" s="16" t="n">
        <v>2344</v>
      </c>
      <c r="B2348" s="16" t="inlineStr">
        <is>
          <t>Backend</t>
        </is>
      </c>
      <c r="C2348" s="17" t="inlineStr">
        <is>
          <t>ordering-service</t>
        </is>
      </c>
      <c r="D2348" s="16" t="inlineStr">
        <is>
          <t>Unit</t>
        </is>
      </c>
      <c r="E2348" s="17" t="inlineStr">
        <is>
          <t>SalesStatsQueryTest › Orders</t>
        </is>
      </c>
      <c r="F2348" s="17" t="inlineStr">
        <is>
          <t>Danh sách đơn</t>
        </is>
      </c>
      <c r="G2348" s="17" t="inlineStr">
        <is>
          <t>Phân trang bị kẹp trong biên, offset = trang × cỡ trang</t>
        </is>
      </c>
      <c r="H2348" s="17" t="inlineStr">
        <is>
          <t>kep_phan_trang(int, int, int, int)[4]</t>
        </is>
      </c>
      <c r="I2348" s="16" t="inlineStr">
        <is>
          <t>Đạt</t>
        </is>
      </c>
      <c r="J2348" s="16" t="n">
        <v>0.003</v>
      </c>
    </row>
    <row r="2349">
      <c r="A2349" s="16" t="n">
        <v>2345</v>
      </c>
      <c r="B2349" s="16" t="inlineStr">
        <is>
          <t>Backend</t>
        </is>
      </c>
      <c r="C2349" s="17" t="inlineStr">
        <is>
          <t>ordering-service</t>
        </is>
      </c>
      <c r="D2349" s="16" t="inlineStr">
        <is>
          <t>Unit</t>
        </is>
      </c>
      <c r="E2349" s="17" t="inlineStr">
        <is>
          <t>SalesStatsQueryTest › Orders</t>
        </is>
      </c>
      <c r="F2349" s="17" t="inlineStr">
        <is>
          <t>Danh sách đơn</t>
        </is>
      </c>
      <c r="G2349" s="17" t="inlineStr">
        <is>
          <t>Phân trang bị kẹp trong biên, offset = trang × cỡ trang</t>
        </is>
      </c>
      <c r="H2349" s="17" t="inlineStr">
        <is>
          <t>kep_phan_trang(int, int, int, int)[5]</t>
        </is>
      </c>
      <c r="I2349" s="16" t="inlineStr">
        <is>
          <t>Đạt</t>
        </is>
      </c>
      <c r="J2349" s="16" t="n">
        <v>0.003</v>
      </c>
    </row>
    <row r="2350">
      <c r="A2350" s="16" t="n">
        <v>2346</v>
      </c>
      <c r="B2350" s="16" t="inlineStr">
        <is>
          <t>Backend</t>
        </is>
      </c>
      <c r="C2350" s="17" t="inlineStr">
        <is>
          <t>ordering-service</t>
        </is>
      </c>
      <c r="D2350" s="16" t="inlineStr">
        <is>
          <t>Unit</t>
        </is>
      </c>
      <c r="E2350" s="17" t="inlineStr">
        <is>
          <t>SalesStatsQueryTest › Orders</t>
        </is>
      </c>
      <c r="F2350" s="17" t="inlineStr">
        <is>
          <t>Danh sách đơn</t>
        </is>
      </c>
      <c r="G2350" s="17" t="inlineStr">
        <is>
          <t>Trạng thái chữ thường được chuẩn hoá và bỏ trùng</t>
        </is>
      </c>
      <c r="H2350" s="17" t="inlineStr">
        <is>
          <t>trang_thai_chuan_hoa</t>
        </is>
      </c>
      <c r="I2350" s="16" t="inlineStr">
        <is>
          <t>Đạt</t>
        </is>
      </c>
      <c r="J2350" s="16" t="n">
        <v>0.003</v>
      </c>
    </row>
    <row r="2351">
      <c r="A2351" s="16" t="n">
        <v>2347</v>
      </c>
      <c r="B2351" s="16" t="inlineStr">
        <is>
          <t>Backend</t>
        </is>
      </c>
      <c r="C2351" s="17" t="inlineStr">
        <is>
          <t>ordering-service</t>
        </is>
      </c>
      <c r="D2351" s="16" t="inlineStr">
        <is>
          <t>Unit</t>
        </is>
      </c>
      <c r="E2351" s="17" t="inlineStr">
        <is>
          <t>SalesStatsQueryTest › Period</t>
        </is>
      </c>
      <c r="F2351" s="17" t="inlineStr">
        <is>
          <t>Kỳ báo cáo</t>
        </is>
      </c>
      <c r="G2351" s="17" t="inlineStr">
        <is>
          <t>Thiếu from hoặc to: 400, không chạm database</t>
        </is>
      </c>
      <c r="H2351" s="17" t="inlineStr">
        <is>
          <t>thieu_moc</t>
        </is>
      </c>
      <c r="I2351" s="16" t="inlineStr">
        <is>
          <t>Đạt</t>
        </is>
      </c>
      <c r="J2351" s="16" t="n">
        <v>0.005</v>
      </c>
    </row>
    <row r="2352">
      <c r="A2352" s="16" t="n">
        <v>2348</v>
      </c>
      <c r="B2352" s="16" t="inlineStr">
        <is>
          <t>Backend</t>
        </is>
      </c>
      <c r="C2352" s="17" t="inlineStr">
        <is>
          <t>ordering-service</t>
        </is>
      </c>
      <c r="D2352" s="16" t="inlineStr">
        <is>
          <t>Unit</t>
        </is>
      </c>
      <c r="E2352" s="17" t="inlineStr">
        <is>
          <t>SalesStatsQueryTest › Period</t>
        </is>
      </c>
      <c r="F2352" s="17" t="inlineStr">
        <is>
          <t>Kỳ báo cáo</t>
        </is>
      </c>
      <c r="G2352" s="17" t="inlineStr">
        <is>
          <t>Một ngày (from = to) hợp lệ</t>
        </is>
      </c>
      <c r="H2352" s="17" t="inlineStr">
        <is>
          <t>mot_ngay</t>
        </is>
      </c>
      <c r="I2352" s="16" t="inlineStr">
        <is>
          <t>Đạt</t>
        </is>
      </c>
      <c r="J2352" s="16" t="n">
        <v>0.004</v>
      </c>
    </row>
    <row r="2353">
      <c r="A2353" s="16" t="n">
        <v>2349</v>
      </c>
      <c r="B2353" s="16" t="inlineStr">
        <is>
          <t>Backend</t>
        </is>
      </c>
      <c r="C2353" s="17" t="inlineStr">
        <is>
          <t>ordering-service</t>
        </is>
      </c>
      <c r="D2353" s="16" t="inlineStr">
        <is>
          <t>Unit</t>
        </is>
      </c>
      <c r="E2353" s="17" t="inlineStr">
        <is>
          <t>SalesStatsQueryTest › Period</t>
        </is>
      </c>
      <c r="F2353" s="17" t="inlineStr">
        <is>
          <t>Kỳ báo cáo</t>
        </is>
      </c>
      <c r="G2353" s="17" t="inlineStr">
        <is>
          <t>Đúng 731 ngày được, 732 ngày bị chặn</t>
        </is>
      </c>
      <c r="H2353" s="17" t="inlineStr">
        <is>
          <t>tran_731_ngay</t>
        </is>
      </c>
      <c r="I2353" s="16" t="inlineStr">
        <is>
          <t>Đạt</t>
        </is>
      </c>
      <c r="J2353" s="16" t="n">
        <v>0.005</v>
      </c>
    </row>
    <row r="2354">
      <c r="A2354" s="16" t="n">
        <v>2350</v>
      </c>
      <c r="B2354" s="16" t="inlineStr">
        <is>
          <t>Backend</t>
        </is>
      </c>
      <c r="C2354" s="17" t="inlineStr">
        <is>
          <t>ordering-service</t>
        </is>
      </c>
      <c r="D2354" s="16" t="inlineStr">
        <is>
          <t>Unit</t>
        </is>
      </c>
      <c r="E2354" s="17" t="inlineStr">
        <is>
          <t>SalesStatsQueryTest › Period</t>
        </is>
      </c>
      <c r="F2354" s="17" t="inlineStr">
        <is>
          <t>Kỳ báo cáo</t>
        </is>
      </c>
      <c r="G2354" s="17" t="inlineStr">
        <is>
          <t>So sánh: kỳ trước liền kề và cùng độ dài; không so sánh thì chỉ một lượt đọc</t>
        </is>
      </c>
      <c r="H2354" s="17" t="inlineStr">
        <is>
          <t>ky_truoc_cung_do_dai</t>
        </is>
      </c>
      <c r="I2354" s="16" t="inlineStr">
        <is>
          <t>Đạt</t>
        </is>
      </c>
      <c r="J2354" s="16" t="n">
        <v>0.003</v>
      </c>
    </row>
    <row r="2355">
      <c r="A2355" s="16" t="n">
        <v>2351</v>
      </c>
      <c r="B2355" s="16" t="inlineStr">
        <is>
          <t>Backend</t>
        </is>
      </c>
      <c r="C2355" s="17" t="inlineStr">
        <is>
          <t>ordering-service</t>
        </is>
      </c>
      <c r="D2355" s="16" t="inlineStr">
        <is>
          <t>Unit</t>
        </is>
      </c>
      <c r="E2355" s="17" t="inlineStr">
        <is>
          <t>SalesStatsQueryTest › Period</t>
        </is>
      </c>
      <c r="F2355" s="17" t="inlineStr">
        <is>
          <t>Kỳ báo cáo</t>
        </is>
      </c>
      <c r="G2355" s="17" t="inlineStr">
        <is>
          <t>Gom theo giờ: 14 ngày được, 15 ngày bị chặn</t>
        </is>
      </c>
      <c r="H2355" s="17" t="inlineStr">
        <is>
          <t>tran_theo_gio</t>
        </is>
      </c>
      <c r="I2355" s="16" t="inlineStr">
        <is>
          <t>Đạt</t>
        </is>
      </c>
      <c r="J2355" s="16" t="n">
        <v>0.005</v>
      </c>
    </row>
    <row r="2356">
      <c r="A2356" s="16" t="n">
        <v>2352</v>
      </c>
      <c r="B2356" s="16" t="inlineStr">
        <is>
          <t>Backend</t>
        </is>
      </c>
      <c r="C2356" s="17" t="inlineStr">
        <is>
          <t>ordering-service</t>
        </is>
      </c>
      <c r="D2356" s="16" t="inlineStr">
        <is>
          <t>Unit</t>
        </is>
      </c>
      <c r="E2356" s="17" t="inlineStr">
        <is>
          <t>SalesStatsQueryTest › Period</t>
        </is>
      </c>
      <c r="F2356" s="17" t="inlineStr">
        <is>
          <t>Kỳ báo cáo</t>
        </is>
      </c>
      <c r="G2356" s="17" t="inlineStr">
        <is>
          <t>Ngày hiểu theo giờ Việt Nam: [00:00 ngày đầu, 00:00 ngày sau ngày cuối) quy ra UTC</t>
        </is>
      </c>
      <c r="H2356" s="17" t="inlineStr">
        <is>
          <t>ranh_gioi_theo_gio_viet_nam</t>
        </is>
      </c>
      <c r="I2356" s="16" t="inlineStr">
        <is>
          <t>Đạt</t>
        </is>
      </c>
      <c r="J2356" s="16" t="n">
        <v>0.004</v>
      </c>
    </row>
    <row r="2357">
      <c r="A2357" s="16" t="n">
        <v>2353</v>
      </c>
      <c r="B2357" s="16" t="inlineStr">
        <is>
          <t>Backend</t>
        </is>
      </c>
      <c r="C2357" s="17" t="inlineStr">
        <is>
          <t>ordering-service</t>
        </is>
      </c>
      <c r="D2357" s="16" t="inlineStr">
        <is>
          <t>Unit</t>
        </is>
      </c>
      <c r="E2357" s="17" t="inlineStr">
        <is>
          <t>SalesStatsQueryTest › Period</t>
        </is>
      </c>
      <c r="F2357" s="17" t="inlineStr">
        <is>
          <t>Kỳ báo cáo</t>
        </is>
      </c>
      <c r="G2357" s="17" t="inlineStr">
        <is>
          <t>to trước from: 400</t>
        </is>
      </c>
      <c r="H2357" s="17" t="inlineStr">
        <is>
          <t>to_truoc_from</t>
        </is>
      </c>
      <c r="I2357" s="16" t="inlineStr">
        <is>
          <t>Đạt</t>
        </is>
      </c>
      <c r="J2357" s="16" t="n">
        <v>0.004</v>
      </c>
    </row>
    <row r="2358">
      <c r="A2358" s="16" t="n">
        <v>2354</v>
      </c>
      <c r="B2358" s="16" t="inlineStr">
        <is>
          <t>Backend</t>
        </is>
      </c>
      <c r="C2358" s="17" t="inlineStr">
        <is>
          <t>ordering-service</t>
        </is>
      </c>
      <c r="D2358" s="16" t="inlineStr">
        <is>
          <t>Unit</t>
        </is>
      </c>
      <c r="E2358" s="17" t="inlineStr">
        <is>
          <t>SalesStatsQueryTest › Series</t>
        </is>
      </c>
      <c r="F2358" s="17" t="inlineStr">
        <is>
          <t>Chuỗi thời gian</t>
        </is>
      </c>
      <c r="G2358" s="17" t="inlineStr">
        <is>
          <t>So sánh: kỳ trước cũng được lấp đủ ô</t>
        </is>
      </c>
      <c r="H2358" s="17" t="inlineStr">
        <is>
          <t>so_sanh_cung_lap_o</t>
        </is>
      </c>
      <c r="I2358" s="16" t="inlineStr">
        <is>
          <t>Đạt</t>
        </is>
      </c>
      <c r="J2358" s="16" t="n">
        <v>0.019</v>
      </c>
    </row>
    <row r="2359">
      <c r="A2359" s="16" t="n">
        <v>2355</v>
      </c>
      <c r="B2359" s="16" t="inlineStr">
        <is>
          <t>Backend</t>
        </is>
      </c>
      <c r="C2359" s="17" t="inlineStr">
        <is>
          <t>ordering-service</t>
        </is>
      </c>
      <c r="D2359" s="16" t="inlineStr">
        <is>
          <t>Unit</t>
        </is>
      </c>
      <c r="E2359" s="17" t="inlineStr">
        <is>
          <t>SalesStatsQueryTest › Series</t>
        </is>
      </c>
      <c r="F2359" s="17" t="inlineStr">
        <is>
          <t>Chuỗi thời gian</t>
        </is>
      </c>
      <c r="G2359" s="17" t="inlineStr">
        <is>
          <t>Lấp ô trống bằng 0 và giữ nguyên ô có dữ liệu, đúng thứ tự thời gian</t>
        </is>
      </c>
      <c r="H2359" s="17" t="inlineStr">
        <is>
          <t>lap_o_trong</t>
        </is>
      </c>
      <c r="I2359" s="16" t="inlineStr">
        <is>
          <t>Đạt</t>
        </is>
      </c>
      <c r="J2359" s="16" t="n">
        <v>0.01</v>
      </c>
    </row>
    <row r="2360">
      <c r="A2360" s="16" t="n">
        <v>2356</v>
      </c>
      <c r="B2360" s="16" t="inlineStr">
        <is>
          <t>Backend</t>
        </is>
      </c>
      <c r="C2360" s="17" t="inlineStr">
        <is>
          <t>ordering-service</t>
        </is>
      </c>
      <c r="D2360" s="16" t="inlineStr">
        <is>
          <t>Unit</t>
        </is>
      </c>
      <c r="E2360" s="17" t="inlineStr">
        <is>
          <t>SalesStatsQueryTest › Series</t>
        </is>
      </c>
      <c r="F2360" s="17" t="inlineStr">
        <is>
          <t>Chuỗi thời gian</t>
        </is>
      </c>
      <c r="G2360" s="17" t="inlineStr">
        <is>
          <t>bucket lạ: 400</t>
        </is>
      </c>
      <c r="H2360" s="17" t="inlineStr">
        <is>
          <t>bucket_la</t>
        </is>
      </c>
      <c r="I2360" s="16" t="inlineStr">
        <is>
          <t>Đạt</t>
        </is>
      </c>
      <c r="J2360" s="16" t="n">
        <v>0.004</v>
      </c>
    </row>
    <row r="2361">
      <c r="A2361" s="16" t="n">
        <v>2357</v>
      </c>
      <c r="B2361" s="16" t="inlineStr">
        <is>
          <t>Backend</t>
        </is>
      </c>
      <c r="C2361" s="17" t="inlineStr">
        <is>
          <t>ordering-service</t>
        </is>
      </c>
      <c r="D2361" s="16" t="inlineStr">
        <is>
          <t>Unit</t>
        </is>
      </c>
      <c r="E2361" s="17" t="inlineStr">
        <is>
          <t>SalesStatsQueryTest › Series</t>
        </is>
      </c>
      <c r="F2361" s="17" t="inlineStr">
        <is>
          <t>Chuỗi thời gian</t>
        </is>
      </c>
      <c r="G2361" s="17" t="inlineStr">
        <is>
          <t>Gom theo tuần bắt đầu từ thứ Hai của tuần chứa ngày đầu kỳ</t>
        </is>
      </c>
      <c r="H2361" s="17" t="inlineStr">
        <is>
          <t>tuan_bat_dau_thu_hai</t>
        </is>
      </c>
      <c r="I2361" s="16" t="inlineStr">
        <is>
          <t>Đạt</t>
        </is>
      </c>
      <c r="J2361" s="16" t="n">
        <v>0.005</v>
      </c>
    </row>
    <row r="2362">
      <c r="A2362" s="16" t="n">
        <v>2358</v>
      </c>
      <c r="B2362" s="16" t="inlineStr">
        <is>
          <t>Backend</t>
        </is>
      </c>
      <c r="C2362" s="17" t="inlineStr">
        <is>
          <t>ordering-service</t>
        </is>
      </c>
      <c r="D2362" s="16" t="inlineStr">
        <is>
          <t>Unit</t>
        </is>
      </c>
      <c r="E2362" s="17" t="inlineStr">
        <is>
          <t>SalesStatsQueryTest › Series</t>
        </is>
      </c>
      <c r="F2362" s="17" t="inlineStr">
        <is>
          <t>Chuỗi thời gian</t>
        </is>
      </c>
      <c r="G2362" s="17" t="inlineStr">
        <is>
          <t>bucket không phân biệt hoa thường; null là day</t>
        </is>
      </c>
      <c r="H2362" s="17" t="inlineStr">
        <is>
          <t>bucket_mac_dinh</t>
        </is>
      </c>
      <c r="I2362" s="16" t="inlineStr">
        <is>
          <t>Đạt</t>
        </is>
      </c>
      <c r="J2362" s="16" t="n">
        <v>0.002</v>
      </c>
    </row>
    <row r="2363">
      <c r="A2363" s="16" t="n">
        <v>2359</v>
      </c>
      <c r="B2363" s="16" t="inlineStr">
        <is>
          <t>Backend</t>
        </is>
      </c>
      <c r="C2363" s="17" t="inlineStr">
        <is>
          <t>ordering-service</t>
        </is>
      </c>
      <c r="D2363" s="16" t="inlineStr">
        <is>
          <t>ArchUnit</t>
        </is>
      </c>
      <c r="E2363" s="17" t="inlineStr">
        <is>
          <t>ArchitectureTest</t>
        </is>
      </c>
      <c r="F2363" s="17" t="inlineStr"/>
      <c r="G2363" s="17" t="inlineStr">
        <is>
          <t>domain thuan nghiep vu</t>
        </is>
      </c>
      <c r="H2363" s="17" t="inlineStr">
        <is>
          <t>domain_thuan_nghiep_vu</t>
        </is>
      </c>
      <c r="I2363" s="16" t="inlineStr">
        <is>
          <t>Đạt</t>
        </is>
      </c>
      <c r="J2363" s="16" t="n">
        <v>2.807</v>
      </c>
    </row>
    <row r="2364">
      <c r="A2364" s="16" t="n">
        <v>2360</v>
      </c>
      <c r="B2364" s="16" t="inlineStr">
        <is>
          <t>Backend</t>
        </is>
      </c>
      <c r="C2364" s="17" t="inlineStr">
        <is>
          <t>ordering-service</t>
        </is>
      </c>
      <c r="D2364" s="16" t="inlineStr">
        <is>
          <t>ArchUnit</t>
        </is>
      </c>
      <c r="E2364" s="17" t="inlineStr">
        <is>
          <t>ArchitectureTest</t>
        </is>
      </c>
      <c r="F2364" s="17" t="inlineStr"/>
      <c r="G2364" s="17" t="inlineStr">
        <is>
          <t>chieu phu thuoc hexagonal</t>
        </is>
      </c>
      <c r="H2364" s="17" t="inlineStr">
        <is>
          <t>chieu_phu_thuoc_hexagonal</t>
        </is>
      </c>
      <c r="I2364" s="16" t="inlineStr">
        <is>
          <t>Đạt</t>
        </is>
      </c>
      <c r="J2364" s="16" t="n">
        <v>0.254</v>
      </c>
    </row>
    <row r="2365">
      <c r="A2365" s="16" t="n">
        <v>2361</v>
      </c>
      <c r="B2365" s="16" t="inlineStr">
        <is>
          <t>Backend</t>
        </is>
      </c>
      <c r="C2365" s="17" t="inlineStr">
        <is>
          <t>ordering-service</t>
        </is>
      </c>
      <c r="D2365" s="16" t="inlineStr">
        <is>
          <t>ArchUnit</t>
        </is>
      </c>
      <c r="E2365" s="17" t="inlineStr">
        <is>
          <t>ArchitectureTest</t>
        </is>
      </c>
      <c r="F2365" s="17" t="inlineStr"/>
      <c r="G2365" s="17" t="inlineStr">
        <is>
          <t>khong import cheo context</t>
        </is>
      </c>
      <c r="H2365" s="17" t="inlineStr">
        <is>
          <t>khong_import_cheo_context</t>
        </is>
      </c>
      <c r="I2365" s="16" t="inlineStr">
        <is>
          <t>Đạt</t>
        </is>
      </c>
      <c r="J2365" s="16" t="n">
        <v>0.026</v>
      </c>
    </row>
    <row r="2366">
      <c r="A2366" s="16" t="n">
        <v>2362</v>
      </c>
      <c r="B2366" s="16" t="inlineStr">
        <is>
          <t>Backend</t>
        </is>
      </c>
      <c r="C2366" s="17" t="inlineStr">
        <is>
          <t>ordering-service</t>
        </is>
      </c>
      <c r="D2366" s="16" t="inlineStr">
        <is>
          <t>Unit</t>
        </is>
      </c>
      <c r="E2366" s="17" t="inlineStr">
        <is>
          <t>OrderInvariantsTest › Aggregate</t>
        </is>
      </c>
      <c r="F2366" s="17" t="inlineStr">
        <is>
          <t>Order</t>
        </is>
      </c>
      <c r="G2366" s="17" t="inlineStr">
        <is>
          <t>Danh sách dòng là bản sao bất biến — sửa list gốc không đổi được tổng tiền</t>
        </is>
      </c>
      <c r="H2366" s="17" t="inlineStr">
        <is>
          <t>dong_don_la_ban_sao_bat_bien</t>
        </is>
      </c>
      <c r="I2366" s="16" t="inlineStr">
        <is>
          <t>Đạt</t>
        </is>
      </c>
      <c r="J2366" s="16" t="n">
        <v>0.003</v>
      </c>
    </row>
    <row r="2367">
      <c r="A2367" s="16" t="n">
        <v>2363</v>
      </c>
      <c r="B2367" s="16" t="inlineStr">
        <is>
          <t>Backend</t>
        </is>
      </c>
      <c r="C2367" s="17" t="inlineStr">
        <is>
          <t>ordering-service</t>
        </is>
      </c>
      <c r="D2367" s="16" t="inlineStr">
        <is>
          <t>Unit</t>
        </is>
      </c>
      <c r="E2367" s="17" t="inlineStr">
        <is>
          <t>OrderInvariantsTest › Aggregate</t>
        </is>
      </c>
      <c r="F2367" s="17" t="inlineStr">
        <is>
          <t>Order</t>
        </is>
      </c>
      <c r="G2367" s="17" t="inlineStr">
        <is>
          <t>Gắn thanh toán lưu nguyên snapshot mã QR và link payOS</t>
        </is>
      </c>
      <c r="H2367" s="17" t="inlineStr">
        <is>
          <t>gan_thanh_toan_luu_snapshot</t>
        </is>
      </c>
      <c r="I2367" s="16" t="inlineStr">
        <is>
          <t>Đạt</t>
        </is>
      </c>
      <c r="J2367" s="16" t="n">
        <v>0.002</v>
      </c>
    </row>
    <row r="2368">
      <c r="A2368" s="16" t="n">
        <v>2364</v>
      </c>
      <c r="B2368" s="16" t="inlineStr">
        <is>
          <t>Backend</t>
        </is>
      </c>
      <c r="C2368" s="17" t="inlineStr">
        <is>
          <t>ordering-service</t>
        </is>
      </c>
      <c r="D2368" s="16" t="inlineStr">
        <is>
          <t>Unit</t>
        </is>
      </c>
      <c r="E2368" s="17" t="inlineStr">
        <is>
          <t>OrderInvariantsTest › Aggregate</t>
        </is>
      </c>
      <c r="F2368" s="17" t="inlineStr">
        <is>
          <t>Order</t>
        </is>
      </c>
      <c r="G2368" s="17" t="inlineStr">
        <is>
          <t>Chủ đơn là đúng người đặt; người khác hay null đều không phải</t>
        </is>
      </c>
      <c r="H2368" s="17" t="inlineStr">
        <is>
          <t>chu_don</t>
        </is>
      </c>
      <c r="I2368" s="16" t="inlineStr">
        <is>
          <t>Đạt</t>
        </is>
      </c>
      <c r="J2368" s="16" t="n">
        <v>0.001</v>
      </c>
    </row>
    <row r="2369">
      <c r="A2369" s="16" t="n">
        <v>2365</v>
      </c>
      <c r="B2369" s="16" t="inlineStr">
        <is>
          <t>Backend</t>
        </is>
      </c>
      <c r="C2369" s="17" t="inlineStr">
        <is>
          <t>ordering-service</t>
        </is>
      </c>
      <c r="D2369" s="16" t="inlineStr">
        <is>
          <t>Unit</t>
        </is>
      </c>
      <c r="E2369" s="17" t="inlineStr">
        <is>
          <t>OrderInvariantsTest › Aggregate</t>
        </is>
      </c>
      <c r="F2369" s="17" t="inlineStr">
        <is>
          <t>Order</t>
        </is>
      </c>
      <c r="G2369" s="17" t="inlineStr">
        <is>
          <t>Tạm tính, giảm giá, thành tiền đều cộng từ các dòng</t>
        </is>
      </c>
      <c r="H2369" s="17" t="inlineStr">
        <is>
          <t>tong_tien_cong_tu_dong</t>
        </is>
      </c>
      <c r="I2369" s="16" t="inlineStr">
        <is>
          <t>Đạt</t>
        </is>
      </c>
      <c r="J2369" s="16" t="n">
        <v>0.001</v>
      </c>
    </row>
    <row r="2370">
      <c r="A2370" s="16" t="n">
        <v>2366</v>
      </c>
      <c r="B2370" s="16" t="inlineStr">
        <is>
          <t>Backend</t>
        </is>
      </c>
      <c r="C2370" s="17" t="inlineStr">
        <is>
          <t>ordering-service</t>
        </is>
      </c>
      <c r="D2370" s="16" t="inlineStr">
        <is>
          <t>Unit</t>
        </is>
      </c>
      <c r="E2370" s="17" t="inlineStr">
        <is>
          <t>OrderInvariantsTest › Aggregate</t>
        </is>
      </c>
      <c r="F2370" s="17" t="inlineStr">
        <is>
          <t>Order</t>
        </is>
      </c>
      <c r="G2370" s="17" t="inlineStr">
        <is>
          <t>Đơn không có dòng nào bị từ chối ngay khi dựng</t>
        </is>
      </c>
      <c r="H2370" s="17" t="inlineStr">
        <is>
          <t>don_rong_bi_tu_choi</t>
        </is>
      </c>
      <c r="I2370" s="16" t="inlineStr">
        <is>
          <t>Đạt</t>
        </is>
      </c>
      <c r="J2370" s="16" t="n">
        <v>0.003</v>
      </c>
    </row>
    <row r="2371">
      <c r="A2371" s="16" t="n">
        <v>2367</v>
      </c>
      <c r="B2371" s="16" t="inlineStr">
        <is>
          <t>Backend</t>
        </is>
      </c>
      <c r="C2371" s="17" t="inlineStr">
        <is>
          <t>ordering-service</t>
        </is>
      </c>
      <c r="D2371" s="16" t="inlineStr">
        <is>
          <t>Unit</t>
        </is>
      </c>
      <c r="E2371" s="17" t="inlineStr">
        <is>
          <t>OrderInvariantsTest › Aggregate</t>
        </is>
      </c>
      <c r="F2371" s="17" t="inlineStr">
        <is>
          <t>Order</t>
        </is>
      </c>
      <c r="G2371" s="17" t="inlineStr">
        <is>
          <t>Đơn mới: hạn thanh toán = lúc đặt + cửa sổ, mã đơn mang ngày đặt</t>
        </is>
      </c>
      <c r="H2371" s="17" t="inlineStr">
        <is>
          <t>don_moi_co_han_va_ma</t>
        </is>
      </c>
      <c r="I2371" s="16" t="inlineStr">
        <is>
          <t>Đạt</t>
        </is>
      </c>
      <c r="J2371" s="16" t="n">
        <v>0.001</v>
      </c>
    </row>
    <row r="2372">
      <c r="A2372" s="16" t="n">
        <v>2368</v>
      </c>
      <c r="B2372" s="16" t="inlineStr">
        <is>
          <t>Backend</t>
        </is>
      </c>
      <c r="C2372" s="17" t="inlineStr">
        <is>
          <t>ordering-service</t>
        </is>
      </c>
      <c r="D2372" s="16" t="inlineStr">
        <is>
          <t>Unit</t>
        </is>
      </c>
      <c r="E2372" s="17" t="inlineStr">
        <is>
          <t>OrderInvariantsTest › Item</t>
        </is>
      </c>
      <c r="F2372" s="17" t="inlineStr">
        <is>
          <t>OrderItem</t>
        </is>
      </c>
      <c r="G2372" s="17" t="inlineStr">
        <is>
          <t>Giảm đúng bằng đơn giá là hợp lệ: vé 0đ, hoa hồng 0đ</t>
        </is>
      </c>
      <c r="H2372" s="17" t="inlineStr">
        <is>
          <t>giam_bang_don_gia</t>
        </is>
      </c>
      <c r="I2372" s="16" t="inlineStr">
        <is>
          <t>Đạt</t>
        </is>
      </c>
      <c r="J2372" s="16" t="n">
        <v>0.004</v>
      </c>
    </row>
    <row r="2373">
      <c r="A2373" s="16" t="n">
        <v>2369</v>
      </c>
      <c r="B2373" s="16" t="inlineStr">
        <is>
          <t>Backend</t>
        </is>
      </c>
      <c r="C2373" s="17" t="inlineStr">
        <is>
          <t>ordering-service</t>
        </is>
      </c>
      <c r="D2373" s="16" t="inlineStr">
        <is>
          <t>Unit</t>
        </is>
      </c>
      <c r="E2373" s="17" t="inlineStr">
        <is>
          <t>OrderInvariantsTest › Item</t>
        </is>
      </c>
      <c r="F2373" s="17" t="inlineStr">
        <is>
          <t>OrderItem</t>
        </is>
      </c>
      <c r="G2373" s="17" t="inlineStr">
        <is>
          <t>Hai biên 0% và 100% hợp lệ</t>
        </is>
      </c>
      <c r="H2373" s="17" t="inlineStr">
        <is>
          <t>bien_hoa_hong_hop_le(int)[1]</t>
        </is>
      </c>
      <c r="I2373" s="16" t="inlineStr">
        <is>
          <t>Đạt</t>
        </is>
      </c>
      <c r="J2373" s="16" t="n">
        <v>0.003</v>
      </c>
    </row>
    <row r="2374">
      <c r="A2374" s="16" t="n">
        <v>2370</v>
      </c>
      <c r="B2374" s="16" t="inlineStr">
        <is>
          <t>Backend</t>
        </is>
      </c>
      <c r="C2374" s="17" t="inlineStr">
        <is>
          <t>ordering-service</t>
        </is>
      </c>
      <c r="D2374" s="16" t="inlineStr">
        <is>
          <t>Unit</t>
        </is>
      </c>
      <c r="E2374" s="17" t="inlineStr">
        <is>
          <t>OrderInvariantsTest › Item</t>
        </is>
      </c>
      <c r="F2374" s="17" t="inlineStr">
        <is>
          <t>OrderItem</t>
        </is>
      </c>
      <c r="G2374" s="17" t="inlineStr">
        <is>
          <t>Hai biên 0% và 100% hợp lệ</t>
        </is>
      </c>
      <c r="H2374" s="17" t="inlineStr">
        <is>
          <t>bien_hoa_hong_hop_le(int)[2]</t>
        </is>
      </c>
      <c r="I2374" s="16" t="inlineStr">
        <is>
          <t>Đạt</t>
        </is>
      </c>
      <c r="J2374" s="16" t="n">
        <v>0.002</v>
      </c>
    </row>
    <row r="2375">
      <c r="A2375" s="16" t="n">
        <v>2371</v>
      </c>
      <c r="B2375" s="16" t="inlineStr">
        <is>
          <t>Backend</t>
        </is>
      </c>
      <c r="C2375" s="17" t="inlineStr">
        <is>
          <t>ordering-service</t>
        </is>
      </c>
      <c r="D2375" s="16" t="inlineStr">
        <is>
          <t>Unit</t>
        </is>
      </c>
      <c r="E2375" s="17" t="inlineStr">
        <is>
          <t>OrderInvariantsTest › Item</t>
        </is>
      </c>
      <c r="F2375" s="17" t="inlineStr">
        <is>
          <t>OrderItem</t>
        </is>
      </c>
      <c r="G2375" s="17" t="inlineStr">
        <is>
          <t>Hoa hồng của dòng làm tròn xuống, không bao giờ lên</t>
        </is>
      </c>
      <c r="H2375" s="17" t="inlineStr">
        <is>
          <t>hoa_hong_lam_tron_xuong</t>
        </is>
      </c>
      <c r="I2375" s="16" t="inlineStr">
        <is>
          <t>Đạt</t>
        </is>
      </c>
      <c r="J2375" s="16" t="n">
        <v>0.001</v>
      </c>
    </row>
    <row r="2376">
      <c r="A2376" s="16" t="n">
        <v>2372</v>
      </c>
      <c r="B2376" s="16" t="inlineStr">
        <is>
          <t>Backend</t>
        </is>
      </c>
      <c r="C2376" s="17" t="inlineStr">
        <is>
          <t>ordering-service</t>
        </is>
      </c>
      <c r="D2376" s="16" t="inlineStr">
        <is>
          <t>Unit</t>
        </is>
      </c>
      <c r="E2376" s="17" t="inlineStr">
        <is>
          <t>OrderInvariantsTest › Item</t>
        </is>
      </c>
      <c r="F2376" s="17" t="inlineStr">
        <is>
          <t>OrderItem</t>
        </is>
      </c>
      <c r="G2376" s="17" t="inlineStr">
        <is>
          <t>Hoa hồng ngoài khoảng 0..10000 bị từ chối</t>
        </is>
      </c>
      <c r="H2376" s="17" t="inlineStr">
        <is>
          <t>hoa_hong_ngoai_khoang(int)[1]</t>
        </is>
      </c>
      <c r="I2376" s="16" t="inlineStr">
        <is>
          <t>Đạt</t>
        </is>
      </c>
      <c r="J2376" s="16" t="n">
        <v>0.002</v>
      </c>
    </row>
    <row r="2377">
      <c r="A2377" s="16" t="n">
        <v>2373</v>
      </c>
      <c r="B2377" s="16" t="inlineStr">
        <is>
          <t>Backend</t>
        </is>
      </c>
      <c r="C2377" s="17" t="inlineStr">
        <is>
          <t>ordering-service</t>
        </is>
      </c>
      <c r="D2377" s="16" t="inlineStr">
        <is>
          <t>Unit</t>
        </is>
      </c>
      <c r="E2377" s="17" t="inlineStr">
        <is>
          <t>OrderInvariantsTest › Item</t>
        </is>
      </c>
      <c r="F2377" s="17" t="inlineStr">
        <is>
          <t>OrderItem</t>
        </is>
      </c>
      <c r="G2377" s="17" t="inlineStr">
        <is>
          <t>Hoa hồng ngoài khoảng 0..10000 bị từ chối</t>
        </is>
      </c>
      <c r="H2377" s="17" t="inlineStr">
        <is>
          <t>hoa_hong_ngoai_khoang(int)[2]</t>
        </is>
      </c>
      <c r="I2377" s="16" t="inlineStr">
        <is>
          <t>Đạt</t>
        </is>
      </c>
      <c r="J2377" s="16" t="n">
        <v>0.001</v>
      </c>
    </row>
    <row r="2378">
      <c r="A2378" s="16" t="n">
        <v>2374</v>
      </c>
      <c r="B2378" s="16" t="inlineStr">
        <is>
          <t>Backend</t>
        </is>
      </c>
      <c r="C2378" s="17" t="inlineStr">
        <is>
          <t>ordering-service</t>
        </is>
      </c>
      <c r="D2378" s="16" t="inlineStr">
        <is>
          <t>Unit</t>
        </is>
      </c>
      <c r="E2378" s="17" t="inlineStr">
        <is>
          <t>OrderInvariantsTest › Item</t>
        </is>
      </c>
      <c r="F2378" s="17" t="inlineStr">
        <is>
          <t>OrderItem</t>
        </is>
      </c>
      <c r="G2378" s="17" t="inlineStr">
        <is>
          <t>Hoa hồng ngoài khoảng 0..10000 bị từ chối</t>
        </is>
      </c>
      <c r="H2378" s="17" t="inlineStr">
        <is>
          <t>hoa_hong_ngoai_khoang(int)[3]</t>
        </is>
      </c>
      <c r="I2378" s="16" t="inlineStr">
        <is>
          <t>Đạt</t>
        </is>
      </c>
      <c r="J2378" s="16" t="n">
        <v>0.002</v>
      </c>
    </row>
    <row r="2379">
      <c r="A2379" s="16" t="n">
        <v>2375</v>
      </c>
      <c r="B2379" s="16" t="inlineStr">
        <is>
          <t>Backend</t>
        </is>
      </c>
      <c r="C2379" s="17" t="inlineStr">
        <is>
          <t>ordering-service</t>
        </is>
      </c>
      <c r="D2379" s="16" t="inlineStr">
        <is>
          <t>Unit</t>
        </is>
      </c>
      <c r="E2379" s="17" t="inlineStr">
        <is>
          <t>OrderInvariantsTest › Number</t>
        </is>
      </c>
      <c r="F2379" s="17" t="inlineStr">
        <is>
          <t>OrderNumber</t>
        </is>
      </c>
      <c r="G2379" s="17" t="inlineStr">
        <is>
          <t>toString trả đúng giá trị — dùng trong log và nội dung chuyển khoản</t>
        </is>
      </c>
      <c r="H2379" s="17" t="inlineStr">
        <is>
          <t>to_string</t>
        </is>
      </c>
      <c r="I2379" s="16" t="inlineStr">
        <is>
          <t>Đạt</t>
        </is>
      </c>
      <c r="J2379" s="16" t="n">
        <v>0.001</v>
      </c>
    </row>
    <row r="2380">
      <c r="A2380" s="16" t="n">
        <v>2376</v>
      </c>
      <c r="B2380" s="16" t="inlineStr">
        <is>
          <t>Backend</t>
        </is>
      </c>
      <c r="C2380" s="17" t="inlineStr">
        <is>
          <t>ordering-service</t>
        </is>
      </c>
      <c r="D2380" s="16" t="inlineStr">
        <is>
          <t>Unit</t>
        </is>
      </c>
      <c r="E2380" s="17" t="inlineStr">
        <is>
          <t>OrderInvariantsTest › Number</t>
        </is>
      </c>
      <c r="F2380" s="17" t="inlineStr">
        <is>
          <t>OrderNumber</t>
        </is>
      </c>
      <c r="G2380" s="17" t="inlineStr">
        <is>
          <t>Ngay trước nửa đêm giờ Việt Nam vẫn là ngày cũ</t>
        </is>
      </c>
      <c r="H2380" s="17" t="inlineStr">
        <is>
          <t>truoc_nua_dem_viet_nam</t>
        </is>
      </c>
      <c r="I2380" s="16" t="inlineStr">
        <is>
          <t>Đạt</t>
        </is>
      </c>
      <c r="J2380" s="16" t="n">
        <v>0.002</v>
      </c>
    </row>
    <row r="2381">
      <c r="A2381" s="16" t="n">
        <v>2377</v>
      </c>
      <c r="B2381" s="16" t="inlineStr">
        <is>
          <t>Backend</t>
        </is>
      </c>
      <c r="C2381" s="17" t="inlineStr">
        <is>
          <t>ordering-service</t>
        </is>
      </c>
      <c r="D2381" s="16" t="inlineStr">
        <is>
          <t>Unit</t>
        </is>
      </c>
      <c r="E2381" s="17" t="inlineStr">
        <is>
          <t>OrderInvariantsTest › Number</t>
        </is>
      </c>
      <c r="F2381" s="17" t="inlineStr">
        <is>
          <t>OrderNumber</t>
        </is>
      </c>
      <c r="G2381" s="17" t="inlineStr">
        <is>
          <t>Định dạng NT-yyMMdd-XXXXXX với 6 ký tự trong bảng Crockford bỏ I/L/O/U</t>
        </is>
      </c>
      <c r="H2381" s="17" t="inlineStr">
        <is>
          <t>dinh_dang</t>
        </is>
      </c>
      <c r="I2381" s="16" t="inlineStr">
        <is>
          <t>Đạt</t>
        </is>
      </c>
      <c r="J2381" s="16" t="n">
        <v>0.015</v>
      </c>
    </row>
    <row r="2382">
      <c r="A2382" s="16" t="n">
        <v>2378</v>
      </c>
      <c r="B2382" s="16" t="inlineStr">
        <is>
          <t>Backend</t>
        </is>
      </c>
      <c r="C2382" s="17" t="inlineStr">
        <is>
          <t>ordering-service</t>
        </is>
      </c>
      <c r="D2382" s="16" t="inlineStr">
        <is>
          <t>Unit</t>
        </is>
      </c>
      <c r="E2382" s="17" t="inlineStr">
        <is>
          <t>OrderInvariantsTest › Number</t>
        </is>
      </c>
      <c r="F2382" s="17" t="inlineStr">
        <is>
          <t>OrderNumber</t>
        </is>
      </c>
      <c r="G2382" s="17" t="inlineStr">
        <is>
          <t>Mã null bị từ chối</t>
        </is>
      </c>
      <c r="H2382" s="17" t="inlineStr">
        <is>
          <t>ma_null</t>
        </is>
      </c>
      <c r="I2382" s="16" t="inlineStr">
        <is>
          <t>Đạt</t>
        </is>
      </c>
      <c r="J2382" s="16" t="n">
        <v>0.001</v>
      </c>
    </row>
    <row r="2383">
      <c r="A2383" s="16" t="n">
        <v>2379</v>
      </c>
      <c r="B2383" s="16" t="inlineStr">
        <is>
          <t>Backend</t>
        </is>
      </c>
      <c r="C2383" s="17" t="inlineStr">
        <is>
          <t>ordering-service</t>
        </is>
      </c>
      <c r="D2383" s="16" t="inlineStr">
        <is>
          <t>Unit</t>
        </is>
      </c>
      <c r="E2383" s="17" t="inlineStr">
        <is>
          <t>OrderInvariantsTest › Number</t>
        </is>
      </c>
      <c r="F2383" s="17" t="inlineStr">
        <is>
          <t>OrderNumber</t>
        </is>
      </c>
      <c r="G2383" s="17" t="inlineStr">
        <is>
          <t>Mã rỗng hoặc toàn khoảng trắng bị từ chối</t>
        </is>
      </c>
      <c r="H2383" s="17" t="inlineStr">
        <is>
          <t>ma_rong(String)[1]</t>
        </is>
      </c>
      <c r="I2383" s="16" t="inlineStr">
        <is>
          <t>Đạt</t>
        </is>
      </c>
      <c r="J2383" s="16" t="n">
        <v>0.002</v>
      </c>
    </row>
    <row r="2384">
      <c r="A2384" s="16" t="n">
        <v>2380</v>
      </c>
      <c r="B2384" s="16" t="inlineStr">
        <is>
          <t>Backend</t>
        </is>
      </c>
      <c r="C2384" s="17" t="inlineStr">
        <is>
          <t>ordering-service</t>
        </is>
      </c>
      <c r="D2384" s="16" t="inlineStr">
        <is>
          <t>Unit</t>
        </is>
      </c>
      <c r="E2384" s="17" t="inlineStr">
        <is>
          <t>OrderInvariantsTest › Number</t>
        </is>
      </c>
      <c r="F2384" s="17" t="inlineStr">
        <is>
          <t>OrderNumber</t>
        </is>
      </c>
      <c r="G2384" s="17" t="inlineStr">
        <is>
          <t>Mã rỗng hoặc toàn khoảng trắng bị từ chối</t>
        </is>
      </c>
      <c r="H2384" s="17" t="inlineStr">
        <is>
          <t>ma_rong(String)[2]</t>
        </is>
      </c>
      <c r="I2384" s="16" t="inlineStr">
        <is>
          <t>Đạt</t>
        </is>
      </c>
      <c r="J2384" s="16" t="n">
        <v>0.001</v>
      </c>
    </row>
    <row r="2385">
      <c r="A2385" s="16" t="n">
        <v>2381</v>
      </c>
      <c r="B2385" s="16" t="inlineStr">
        <is>
          <t>Backend</t>
        </is>
      </c>
      <c r="C2385" s="17" t="inlineStr">
        <is>
          <t>ordering-service</t>
        </is>
      </c>
      <c r="D2385" s="16" t="inlineStr">
        <is>
          <t>Unit</t>
        </is>
      </c>
      <c r="E2385" s="17" t="inlineStr">
        <is>
          <t>OrderInvariantsTest › Number</t>
        </is>
      </c>
      <c r="F2385" s="17" t="inlineStr">
        <is>
          <t>OrderNumber</t>
        </is>
      </c>
      <c r="G2385" s="17" t="inlineStr">
        <is>
          <t>Ngày trong mã theo giờ Việt Nam: 23:30 UTC đã là ngày hôm sau ở Hà Nội</t>
        </is>
      </c>
      <c r="H2385" s="17" t="inlineStr">
        <is>
          <t>ngay_theo_gio_viet_nam</t>
        </is>
      </c>
      <c r="I2385" s="16" t="inlineStr">
        <is>
          <t>Đạt</t>
        </is>
      </c>
      <c r="J2385" s="16" t="n">
        <v>0.001</v>
      </c>
    </row>
    <row r="2386">
      <c r="A2386" s="16" t="n">
        <v>2382</v>
      </c>
      <c r="B2386" s="16" t="inlineStr">
        <is>
          <t>Backend</t>
        </is>
      </c>
      <c r="C2386" s="17" t="inlineStr">
        <is>
          <t>ordering-service</t>
        </is>
      </c>
      <c r="D2386" s="16" t="inlineStr">
        <is>
          <t>Unit</t>
        </is>
      </c>
      <c r="E2386" s="17" t="inlineStr">
        <is>
          <t>OrderInvariantsTest › Saga</t>
        </is>
      </c>
      <c r="F2386" s="17" t="inlineStr">
        <is>
          <t>CheckoutSaga</t>
        </is>
      </c>
      <c r="G2386" s="17" t="inlineStr">
        <is>
          <t>Bù trừ xong: COMPENSATED và xoá cả hai cờ — job quét không bù trừ lại</t>
        </is>
      </c>
      <c r="H2386" s="17" t="inlineStr">
        <is>
          <t>bu_tru_xong_xoa_co</t>
        </is>
      </c>
      <c r="I2386" s="16" t="inlineStr">
        <is>
          <t>Đạt</t>
        </is>
      </c>
      <c r="J2386" s="16" t="n">
        <v>0.001</v>
      </c>
    </row>
    <row r="2387">
      <c r="A2387" s="16" t="n">
        <v>2383</v>
      </c>
      <c r="B2387" s="16" t="inlineStr">
        <is>
          <t>Backend</t>
        </is>
      </c>
      <c r="C2387" s="17" t="inlineStr">
        <is>
          <t>ordering-service</t>
        </is>
      </c>
      <c r="D2387" s="16" t="inlineStr">
        <is>
          <t>Unit</t>
        </is>
      </c>
      <c r="E2387" s="17" t="inlineStr">
        <is>
          <t>OrderInvariantsTest › Saga</t>
        </is>
      </c>
      <c r="F2387" s="17" t="inlineStr">
        <is>
          <t>CheckoutSaga</t>
        </is>
      </c>
      <c r="G2387" s="17" t="inlineStr">
        <is>
          <t>Hoàn tất: COMPLETED, cờ giữ nguyên làm nhật ký</t>
        </is>
      </c>
      <c r="H2387" s="17" t="inlineStr">
        <is>
          <t>hoan_tat</t>
        </is>
      </c>
      <c r="I2387" s="16" t="inlineStr">
        <is>
          <t>Đạt</t>
        </is>
      </c>
      <c r="J2387" s="16" t="n">
        <v>0.001</v>
      </c>
    </row>
    <row r="2388">
      <c r="A2388" s="16" t="n">
        <v>2384</v>
      </c>
      <c r="B2388" s="16" t="inlineStr">
        <is>
          <t>Backend</t>
        </is>
      </c>
      <c r="C2388" s="17" t="inlineStr">
        <is>
          <t>ordering-service</t>
        </is>
      </c>
      <c r="D2388" s="16" t="inlineStr">
        <is>
          <t>Unit</t>
        </is>
      </c>
      <c r="E2388" s="17" t="inlineStr">
        <is>
          <t>OrderInvariantsTest › Saga</t>
        </is>
      </c>
      <c r="F2388" s="17" t="inlineStr">
        <is>
          <t>CheckoutSaga</t>
        </is>
      </c>
      <c r="G2388" s="17" t="inlineStr">
        <is>
          <t>Thông điệp lỗi dài bị cắt ở đúng 500 ký tự; null giữ là null</t>
        </is>
      </c>
      <c r="H2388" s="17" t="inlineStr">
        <is>
          <t>cat_thong_diep_loi</t>
        </is>
      </c>
      <c r="I2388" s="16" t="inlineStr">
        <is>
          <t>Đạt</t>
        </is>
      </c>
      <c r="J2388" s="16" t="n">
        <v>0.001</v>
      </c>
    </row>
    <row r="2389">
      <c r="A2389" s="16" t="n">
        <v>2385</v>
      </c>
      <c r="B2389" s="16" t="inlineStr">
        <is>
          <t>Backend</t>
        </is>
      </c>
      <c r="C2389" s="17" t="inlineStr">
        <is>
          <t>ordering-service</t>
        </is>
      </c>
      <c r="D2389" s="16" t="inlineStr">
        <is>
          <t>Unit</t>
        </is>
      </c>
      <c r="E2389" s="17" t="inlineStr">
        <is>
          <t>OrderInvariantsTest › Saga</t>
        </is>
      </c>
      <c r="F2389" s="17" t="inlineStr">
        <is>
          <t>CheckoutSaga</t>
        </is>
      </c>
      <c r="G2389" s="17" t="inlineStr">
        <is>
          <t>Đã đặt chỗ hoặc đã mở intent thì có thứ để bù trừ</t>
        </is>
      </c>
      <c r="H2389" s="17" t="inlineStr">
        <is>
          <t>co_thu_de_bu_tru</t>
        </is>
      </c>
      <c r="I2389" s="16" t="inlineStr">
        <is>
          <t>Đạt</t>
        </is>
      </c>
      <c r="J2389" s="16" t="n">
        <v>0.001</v>
      </c>
    </row>
    <row r="2390">
      <c r="A2390" s="16" t="n">
        <v>2386</v>
      </c>
      <c r="B2390" s="16" t="inlineStr">
        <is>
          <t>Backend</t>
        </is>
      </c>
      <c r="C2390" s="17" t="inlineStr">
        <is>
          <t>ordering-service</t>
        </is>
      </c>
      <c r="D2390" s="16" t="inlineStr">
        <is>
          <t>Unit</t>
        </is>
      </c>
      <c r="E2390" s="17" t="inlineStr">
        <is>
          <t>OrderInvariantsTest › Saga</t>
        </is>
      </c>
      <c r="F2390" s="17" t="inlineStr">
        <is>
          <t>CheckoutSaga</t>
        </is>
      </c>
      <c r="G2390" s="17" t="inlineStr">
        <is>
          <t>Bù trừ hỏng: COMPENSATION_PENDING, đếm lần thử, GIỮ nguyên cờ để thử lại</t>
        </is>
      </c>
      <c r="H2390" s="17" t="inlineStr">
        <is>
          <t>bu_tru_hong_giu_co</t>
        </is>
      </c>
      <c r="I2390" s="16" t="inlineStr">
        <is>
          <t>Đạt</t>
        </is>
      </c>
      <c r="J2390" s="16" t="n">
        <v>0.002</v>
      </c>
    </row>
    <row r="2391">
      <c r="A2391" s="16" t="n">
        <v>2387</v>
      </c>
      <c r="B2391" s="16" t="inlineStr">
        <is>
          <t>Backend</t>
        </is>
      </c>
      <c r="C2391" s="17" t="inlineStr">
        <is>
          <t>ordering-service</t>
        </is>
      </c>
      <c r="D2391" s="16" t="inlineStr">
        <is>
          <t>Unit</t>
        </is>
      </c>
      <c r="E2391" s="17" t="inlineStr">
        <is>
          <t>OrderInvariantsTest › Saga</t>
        </is>
      </c>
      <c r="F2391" s="17" t="inlineStr">
        <is>
          <t>CheckoutSaga</t>
        </is>
      </c>
      <c r="G2391" s="17" t="inlineStr">
        <is>
          <t>Saga mới: STARTED, chưa có gì để bù trừ</t>
        </is>
      </c>
      <c r="H2391" s="17" t="inlineStr">
        <is>
          <t>saga_moi</t>
        </is>
      </c>
      <c r="I2391" s="16" t="inlineStr">
        <is>
          <t>Đạt</t>
        </is>
      </c>
      <c r="J2391" s="16" t="n">
        <v>0.001</v>
      </c>
    </row>
    <row r="2392">
      <c r="A2392" s="16" t="n">
        <v>2388</v>
      </c>
      <c r="B2392" s="16" t="inlineStr">
        <is>
          <t>Backend</t>
        </is>
      </c>
      <c r="C2392" s="17" t="inlineStr">
        <is>
          <t>ordering-service</t>
        </is>
      </c>
      <c r="D2392" s="16" t="inlineStr">
        <is>
          <t>Unit</t>
        </is>
      </c>
      <c r="E2392" s="17" t="inlineStr">
        <is>
          <t>OrderStateTransitionTest › Close</t>
        </is>
      </c>
      <c r="F2392" s="17" t="inlineStr">
        <is>
          <t>Đóng đơn (close)</t>
        </is>
      </c>
      <c r="G2392" s="17" t="inlineStr">
        <is>
          <t>Đơn chờ thanh toán đóng được bằng EXPIRED hoặc CANCELLED, kèm mốc và lý do</t>
        </is>
      </c>
      <c r="H2392" s="17" t="inlineStr">
        <is>
          <t>don_cho_thanh_toan_dong_duoc(OrderStatus)[1]</t>
        </is>
      </c>
      <c r="I2392" s="16" t="inlineStr">
        <is>
          <t>Đạt</t>
        </is>
      </c>
      <c r="J2392" s="16" t="n">
        <v>0.008</v>
      </c>
    </row>
    <row r="2393">
      <c r="A2393" s="16" t="n">
        <v>2389</v>
      </c>
      <c r="B2393" s="16" t="inlineStr">
        <is>
          <t>Backend</t>
        </is>
      </c>
      <c r="C2393" s="17" t="inlineStr">
        <is>
          <t>ordering-service</t>
        </is>
      </c>
      <c r="D2393" s="16" t="inlineStr">
        <is>
          <t>Unit</t>
        </is>
      </c>
      <c r="E2393" s="17" t="inlineStr">
        <is>
          <t>OrderStateTransitionTest › Close</t>
        </is>
      </c>
      <c r="F2393" s="17" t="inlineStr">
        <is>
          <t>Đóng đơn (close)</t>
        </is>
      </c>
      <c r="G2393" s="17" t="inlineStr">
        <is>
          <t>Đơn chờ thanh toán đóng được bằng EXPIRED hoặc CANCELLED, kèm mốc và lý do</t>
        </is>
      </c>
      <c r="H2393" s="17" t="inlineStr">
        <is>
          <t>don_cho_thanh_toan_dong_duoc(OrderStatus)[2]</t>
        </is>
      </c>
      <c r="I2393" s="16" t="inlineStr">
        <is>
          <t>Đạt</t>
        </is>
      </c>
      <c r="J2393" s="16" t="n">
        <v>0.001</v>
      </c>
    </row>
    <row r="2394">
      <c r="A2394" s="16" t="n">
        <v>2390</v>
      </c>
      <c r="B2394" s="16" t="inlineStr">
        <is>
          <t>Backend</t>
        </is>
      </c>
      <c r="C2394" s="17" t="inlineStr">
        <is>
          <t>ordering-service</t>
        </is>
      </c>
      <c r="D2394" s="16" t="inlineStr">
        <is>
          <t>Unit</t>
        </is>
      </c>
      <c r="E2394" s="17" t="inlineStr">
        <is>
          <t>OrderStateTransitionTest › Close</t>
        </is>
      </c>
      <c r="F2394" s="17" t="inlineStr">
        <is>
          <t>Đóng đơn (close)</t>
        </is>
      </c>
      <c r="G2394" s="17" t="inlineStr">
        <is>
          <t>Đơn không còn chờ thanh toán: close trả false và không chạm vào gì</t>
        </is>
      </c>
      <c r="H2394" s="17" t="inlineStr">
        <is>
          <t>don_khong_con_mo_khong_dong_lai(OrderStatus)[1]</t>
        </is>
      </c>
      <c r="I2394" s="16" t="inlineStr">
        <is>
          <t>Đạt</t>
        </is>
      </c>
      <c r="J2394" s="16" t="n">
        <v>0.001</v>
      </c>
    </row>
    <row r="2395">
      <c r="A2395" s="16" t="n">
        <v>2391</v>
      </c>
      <c r="B2395" s="16" t="inlineStr">
        <is>
          <t>Backend</t>
        </is>
      </c>
      <c r="C2395" s="17" t="inlineStr">
        <is>
          <t>ordering-service</t>
        </is>
      </c>
      <c r="D2395" s="16" t="inlineStr">
        <is>
          <t>Unit</t>
        </is>
      </c>
      <c r="E2395" s="17" t="inlineStr">
        <is>
          <t>OrderStateTransitionTest › Close</t>
        </is>
      </c>
      <c r="F2395" s="17" t="inlineStr">
        <is>
          <t>Đóng đơn (close)</t>
        </is>
      </c>
      <c r="G2395" s="17" t="inlineStr">
        <is>
          <t>Đơn không còn chờ thanh toán: close trả false và không chạm vào gì</t>
        </is>
      </c>
      <c r="H2395" s="17" t="inlineStr">
        <is>
          <t>don_khong_con_mo_khong_dong_lai(OrderStatus)[2]</t>
        </is>
      </c>
      <c r="I2395" s="16" t="inlineStr">
        <is>
          <t>Đạt</t>
        </is>
      </c>
      <c r="J2395" s="16" t="n">
        <v>0.001</v>
      </c>
    </row>
    <row r="2396">
      <c r="A2396" s="16" t="n">
        <v>2392</v>
      </c>
      <c r="B2396" s="16" t="inlineStr">
        <is>
          <t>Backend</t>
        </is>
      </c>
      <c r="C2396" s="17" t="inlineStr">
        <is>
          <t>ordering-service</t>
        </is>
      </c>
      <c r="D2396" s="16" t="inlineStr">
        <is>
          <t>Unit</t>
        </is>
      </c>
      <c r="E2396" s="17" t="inlineStr">
        <is>
          <t>OrderStateTransitionTest › Close</t>
        </is>
      </c>
      <c r="F2396" s="17" t="inlineStr">
        <is>
          <t>Đóng đơn (close)</t>
        </is>
      </c>
      <c r="G2396" s="17" t="inlineStr">
        <is>
          <t>Đơn không còn chờ thanh toán: close trả false và không chạm vào gì</t>
        </is>
      </c>
      <c r="H2396" s="17" t="inlineStr">
        <is>
          <t>don_khong_con_mo_khong_dong_lai(OrderStatus)[3]</t>
        </is>
      </c>
      <c r="I2396" s="16" t="inlineStr">
        <is>
          <t>Đạt</t>
        </is>
      </c>
      <c r="J2396" s="16" t="n">
        <v>0.001</v>
      </c>
    </row>
    <row r="2397">
      <c r="A2397" s="16" t="n">
        <v>2393</v>
      </c>
      <c r="B2397" s="16" t="inlineStr">
        <is>
          <t>Backend</t>
        </is>
      </c>
      <c r="C2397" s="17" t="inlineStr">
        <is>
          <t>ordering-service</t>
        </is>
      </c>
      <c r="D2397" s="16" t="inlineStr">
        <is>
          <t>Unit</t>
        </is>
      </c>
      <c r="E2397" s="17" t="inlineStr">
        <is>
          <t>OrderStateTransitionTest › Close</t>
        </is>
      </c>
      <c r="F2397" s="17" t="inlineStr">
        <is>
          <t>Đóng đơn (close)</t>
        </is>
      </c>
      <c r="G2397" s="17" t="inlineStr">
        <is>
          <t>Đơn không còn chờ thanh toán: close trả false và không chạm vào gì</t>
        </is>
      </c>
      <c r="H2397" s="17" t="inlineStr">
        <is>
          <t>don_khong_con_mo_khong_dong_lai(OrderStatus)[4]</t>
        </is>
      </c>
      <c r="I2397" s="16" t="inlineStr">
        <is>
          <t>Đạt</t>
        </is>
      </c>
      <c r="J2397" s="16" t="n">
        <v>0.001</v>
      </c>
    </row>
    <row r="2398">
      <c r="A2398" s="16" t="n">
        <v>2394</v>
      </c>
      <c r="B2398" s="16" t="inlineStr">
        <is>
          <t>Backend</t>
        </is>
      </c>
      <c r="C2398" s="17" t="inlineStr">
        <is>
          <t>ordering-service</t>
        </is>
      </c>
      <c r="D2398" s="16" t="inlineStr">
        <is>
          <t>Unit</t>
        </is>
      </c>
      <c r="E2398" s="17" t="inlineStr">
        <is>
          <t>OrderStateTransitionTest › Close</t>
        </is>
      </c>
      <c r="F2398" s="17" t="inlineStr">
        <is>
          <t>Đóng đơn (close)</t>
        </is>
      </c>
      <c r="G2398" s="17" t="inlineStr">
        <is>
          <t>Đơn không còn chờ thanh toán: close trả false và không chạm vào gì</t>
        </is>
      </c>
      <c r="H2398" s="17" t="inlineStr">
        <is>
          <t>don_khong_con_mo_khong_dong_lai(OrderStatus)[5]</t>
        </is>
      </c>
      <c r="I2398" s="16" t="inlineStr">
        <is>
          <t>Đạt</t>
        </is>
      </c>
      <c r="J2398" s="16" t="n">
        <v>0</v>
      </c>
    </row>
    <row r="2399">
      <c r="A2399" s="16" t="n">
        <v>2395</v>
      </c>
      <c r="B2399" s="16" t="inlineStr">
        <is>
          <t>Backend</t>
        </is>
      </c>
      <c r="C2399" s="17" t="inlineStr">
        <is>
          <t>ordering-service</t>
        </is>
      </c>
      <c r="D2399" s="16" t="inlineStr">
        <is>
          <t>Unit</t>
        </is>
      </c>
      <c r="E2399" s="17" t="inlineStr">
        <is>
          <t>OrderStateTransitionTest › Close</t>
        </is>
      </c>
      <c r="F2399" s="17" t="inlineStr">
        <is>
          <t>Đóng đơn (close)</t>
        </is>
      </c>
      <c r="G2399" s="17" t="inlineStr">
        <is>
          <t>Lý do đóng không phải EXPIRED/CANCELLED bị từ chối — không có đường tắt vào PAID</t>
        </is>
      </c>
      <c r="H2399" s="17" t="inlineStr">
        <is>
          <t>ly_do_dong_khong_phai_ket_cuc_dong(OrderStatus)[1]</t>
        </is>
      </c>
      <c r="I2399" s="16" t="inlineStr">
        <is>
          <t>Đạt</t>
        </is>
      </c>
      <c r="J2399" s="16" t="n">
        <v>0.002</v>
      </c>
    </row>
    <row r="2400">
      <c r="A2400" s="16" t="n">
        <v>2396</v>
      </c>
      <c r="B2400" s="16" t="inlineStr">
        <is>
          <t>Backend</t>
        </is>
      </c>
      <c r="C2400" s="17" t="inlineStr">
        <is>
          <t>ordering-service</t>
        </is>
      </c>
      <c r="D2400" s="16" t="inlineStr">
        <is>
          <t>Unit</t>
        </is>
      </c>
      <c r="E2400" s="17" t="inlineStr">
        <is>
          <t>OrderStateTransitionTest › Close</t>
        </is>
      </c>
      <c r="F2400" s="17" t="inlineStr">
        <is>
          <t>Đóng đơn (close)</t>
        </is>
      </c>
      <c r="G2400" s="17" t="inlineStr">
        <is>
          <t>Lý do đóng không phải EXPIRED/CANCELLED bị từ chối — không có đường tắt vào PAID</t>
        </is>
      </c>
      <c r="H2400" s="17" t="inlineStr">
        <is>
          <t>ly_do_dong_khong_phai_ket_cuc_dong(OrderStatus)[2]</t>
        </is>
      </c>
      <c r="I2400" s="16" t="inlineStr">
        <is>
          <t>Đạt</t>
        </is>
      </c>
      <c r="J2400" s="16" t="n">
        <v>0.001</v>
      </c>
    </row>
    <row r="2401">
      <c r="A2401" s="16" t="n">
        <v>2397</v>
      </c>
      <c r="B2401" s="16" t="inlineStr">
        <is>
          <t>Backend</t>
        </is>
      </c>
      <c r="C2401" s="17" t="inlineStr">
        <is>
          <t>ordering-service</t>
        </is>
      </c>
      <c r="D2401" s="16" t="inlineStr">
        <is>
          <t>Unit</t>
        </is>
      </c>
      <c r="E2401" s="17" t="inlineStr">
        <is>
          <t>OrderStateTransitionTest › Close</t>
        </is>
      </c>
      <c r="F2401" s="17" t="inlineStr">
        <is>
          <t>Đóng đơn (close)</t>
        </is>
      </c>
      <c r="G2401" s="17" t="inlineStr">
        <is>
          <t>Lý do đóng không phải EXPIRED/CANCELLED bị từ chối — không có đường tắt vào PAID</t>
        </is>
      </c>
      <c r="H2401" s="17" t="inlineStr">
        <is>
          <t>ly_do_dong_khong_phai_ket_cuc_dong(OrderStatus)[3]</t>
        </is>
      </c>
      <c r="I2401" s="16" t="inlineStr">
        <is>
          <t>Đạt</t>
        </is>
      </c>
      <c r="J2401" s="16" t="n">
        <v>0.001</v>
      </c>
    </row>
    <row r="2402">
      <c r="A2402" s="16" t="n">
        <v>2398</v>
      </c>
      <c r="B2402" s="16" t="inlineStr">
        <is>
          <t>Backend</t>
        </is>
      </c>
      <c r="C2402" s="17" t="inlineStr">
        <is>
          <t>ordering-service</t>
        </is>
      </c>
      <c r="D2402" s="16" t="inlineStr">
        <is>
          <t>Unit</t>
        </is>
      </c>
      <c r="E2402" s="17" t="inlineStr">
        <is>
          <t>OrderStateTransitionTest › Close</t>
        </is>
      </c>
      <c r="F2402" s="17" t="inlineStr">
        <is>
          <t>Đóng đơn (close)</t>
        </is>
      </c>
      <c r="G2402" s="17" t="inlineStr">
        <is>
          <t>Lý do đóng là AWAITING_PAYMENT bị từ chối</t>
        </is>
      </c>
      <c r="H2402" s="17" t="inlineStr">
        <is>
          <t>ly_do_dong_dang_mo_bi_tu_choi</t>
        </is>
      </c>
      <c r="I2402" s="16" t="inlineStr">
        <is>
          <t>Đạt</t>
        </is>
      </c>
      <c r="J2402" s="16" t="n">
        <v>0.002</v>
      </c>
    </row>
    <row r="2403">
      <c r="A2403" s="16" t="n">
        <v>2399</v>
      </c>
      <c r="B2403" s="16" t="inlineStr">
        <is>
          <t>Backend</t>
        </is>
      </c>
      <c r="C2403" s="17" t="inlineStr">
        <is>
          <t>ordering-service</t>
        </is>
      </c>
      <c r="D2403" s="16" t="inlineStr">
        <is>
          <t>Unit</t>
        </is>
      </c>
      <c r="E2403" s="17" t="inlineStr">
        <is>
          <t>OrderStateTransitionTest</t>
        </is>
      </c>
      <c r="F2403" s="17" t="inlineStr"/>
      <c r="G2403" s="17" t="inlineStr">
        <is>
          <t>Chỉ AWAITING_PAYMENT là trạng thái mở</t>
        </is>
      </c>
      <c r="H2403" s="17" t="inlineStr">
        <is>
          <t>chi_cho_thanh_toan_la_mo(OrderStatus)[1]</t>
        </is>
      </c>
      <c r="I2403" s="16" t="inlineStr">
        <is>
          <t>Đạt</t>
        </is>
      </c>
      <c r="J2403" s="16" t="n">
        <v>0.001</v>
      </c>
    </row>
    <row r="2404">
      <c r="A2404" s="16" t="n">
        <v>2400</v>
      </c>
      <c r="B2404" s="16" t="inlineStr">
        <is>
          <t>Backend</t>
        </is>
      </c>
      <c r="C2404" s="17" t="inlineStr">
        <is>
          <t>ordering-service</t>
        </is>
      </c>
      <c r="D2404" s="16" t="inlineStr">
        <is>
          <t>Unit</t>
        </is>
      </c>
      <c r="E2404" s="17" t="inlineStr">
        <is>
          <t>OrderStateTransitionTest</t>
        </is>
      </c>
      <c r="F2404" s="17" t="inlineStr"/>
      <c r="G2404" s="17" t="inlineStr">
        <is>
          <t>Chỉ AWAITING_PAYMENT là trạng thái mở</t>
        </is>
      </c>
      <c r="H2404" s="17" t="inlineStr">
        <is>
          <t>chi_cho_thanh_toan_la_mo(OrderStatus)[2]</t>
        </is>
      </c>
      <c r="I2404" s="16" t="inlineStr">
        <is>
          <t>Đạt</t>
        </is>
      </c>
      <c r="J2404" s="16" t="n">
        <v>0</v>
      </c>
    </row>
    <row r="2405">
      <c r="A2405" s="16" t="n">
        <v>2401</v>
      </c>
      <c r="B2405" s="16" t="inlineStr">
        <is>
          <t>Backend</t>
        </is>
      </c>
      <c r="C2405" s="17" t="inlineStr">
        <is>
          <t>ordering-service</t>
        </is>
      </c>
      <c r="D2405" s="16" t="inlineStr">
        <is>
          <t>Unit</t>
        </is>
      </c>
      <c r="E2405" s="17" t="inlineStr">
        <is>
          <t>OrderStateTransitionTest</t>
        </is>
      </c>
      <c r="F2405" s="17" t="inlineStr"/>
      <c r="G2405" s="17" t="inlineStr">
        <is>
          <t>Chỉ AWAITING_PAYMENT là trạng thái mở</t>
        </is>
      </c>
      <c r="H2405" s="17" t="inlineStr">
        <is>
          <t>chi_cho_thanh_toan_la_mo(OrderStatus)[3]</t>
        </is>
      </c>
      <c r="I2405" s="16" t="inlineStr">
        <is>
          <t>Đạt</t>
        </is>
      </c>
      <c r="J2405" s="16" t="n">
        <v>0.002</v>
      </c>
    </row>
    <row r="2406">
      <c r="A2406" s="16" t="n">
        <v>2402</v>
      </c>
      <c r="B2406" s="16" t="inlineStr">
        <is>
          <t>Backend</t>
        </is>
      </c>
      <c r="C2406" s="17" t="inlineStr">
        <is>
          <t>ordering-service</t>
        </is>
      </c>
      <c r="D2406" s="16" t="inlineStr">
        <is>
          <t>Unit</t>
        </is>
      </c>
      <c r="E2406" s="17" t="inlineStr">
        <is>
          <t>OrderStateTransitionTest</t>
        </is>
      </c>
      <c r="F2406" s="17" t="inlineStr"/>
      <c r="G2406" s="17" t="inlineStr">
        <is>
          <t>Chỉ AWAITING_PAYMENT là trạng thái mở</t>
        </is>
      </c>
      <c r="H2406" s="17" t="inlineStr">
        <is>
          <t>chi_cho_thanh_toan_la_mo(OrderStatus)[4]</t>
        </is>
      </c>
      <c r="I2406" s="16" t="inlineStr">
        <is>
          <t>Đạt</t>
        </is>
      </c>
      <c r="J2406" s="16" t="n">
        <v>0</v>
      </c>
    </row>
    <row r="2407">
      <c r="A2407" s="16" t="n">
        <v>2403</v>
      </c>
      <c r="B2407" s="16" t="inlineStr">
        <is>
          <t>Backend</t>
        </is>
      </c>
      <c r="C2407" s="17" t="inlineStr">
        <is>
          <t>ordering-service</t>
        </is>
      </c>
      <c r="D2407" s="16" t="inlineStr">
        <is>
          <t>Unit</t>
        </is>
      </c>
      <c r="E2407" s="17" t="inlineStr">
        <is>
          <t>OrderStateTransitionTest</t>
        </is>
      </c>
      <c r="F2407" s="17" t="inlineStr"/>
      <c r="G2407" s="17" t="inlineStr">
        <is>
          <t>Chỉ AWAITING_PAYMENT là trạng thái mở</t>
        </is>
      </c>
      <c r="H2407" s="17" t="inlineStr">
        <is>
          <t>chi_cho_thanh_toan_la_mo(OrderStatus)[5]</t>
        </is>
      </c>
      <c r="I2407" s="16" t="inlineStr">
        <is>
          <t>Đạt</t>
        </is>
      </c>
      <c r="J2407" s="16" t="n">
        <v>0</v>
      </c>
    </row>
    <row r="2408">
      <c r="A2408" s="16" t="n">
        <v>2404</v>
      </c>
      <c r="B2408" s="16" t="inlineStr">
        <is>
          <t>Backend</t>
        </is>
      </c>
      <c r="C2408" s="17" t="inlineStr">
        <is>
          <t>ordering-service</t>
        </is>
      </c>
      <c r="D2408" s="16" t="inlineStr">
        <is>
          <t>Unit</t>
        </is>
      </c>
      <c r="E2408" s="17" t="inlineStr">
        <is>
          <t>OrderStateTransitionTest</t>
        </is>
      </c>
      <c r="F2408" s="17" t="inlineStr"/>
      <c r="G2408" s="17" t="inlineStr">
        <is>
          <t>Chỉ AWAITING_PAYMENT là trạng thái mở</t>
        </is>
      </c>
      <c r="H2408" s="17" t="inlineStr">
        <is>
          <t>chi_cho_thanh_toan_la_mo(OrderStatus)[6]</t>
        </is>
      </c>
      <c r="I2408" s="16" t="inlineStr">
        <is>
          <t>Đạt</t>
        </is>
      </c>
      <c r="J2408" s="16" t="n">
        <v>0</v>
      </c>
    </row>
    <row r="2409">
      <c r="A2409" s="16" t="n">
        <v>2405</v>
      </c>
      <c r="B2409" s="16" t="inlineStr">
        <is>
          <t>Backend</t>
        </is>
      </c>
      <c r="C2409" s="17" t="inlineStr">
        <is>
          <t>ordering-service</t>
        </is>
      </c>
      <c r="D2409" s="16" t="inlineStr">
        <is>
          <t>Unit</t>
        </is>
      </c>
      <c r="E2409" s="17" t="inlineStr">
        <is>
          <t>OrderStateTransitionTest › Expiry</t>
        </is>
      </c>
      <c r="F2409" s="17" t="inlineStr">
        <is>
          <t>Hạn thanh toán (isExpiredAt) — biên</t>
        </is>
      </c>
      <c r="G2409" s="17" t="inlineStr">
        <is>
          <t>Đơn không còn chờ tiền thì không bao giờ 'hết hạn', dù đã quá mốc</t>
        </is>
      </c>
      <c r="H2409" s="17" t="inlineStr">
        <is>
          <t>don_khong_mo_khong_het_han(OrderStatus)[1]</t>
        </is>
      </c>
      <c r="I2409" s="16" t="inlineStr">
        <is>
          <t>Đạt</t>
        </is>
      </c>
      <c r="J2409" s="16" t="n">
        <v>0</v>
      </c>
    </row>
    <row r="2410">
      <c r="A2410" s="16" t="n">
        <v>2406</v>
      </c>
      <c r="B2410" s="16" t="inlineStr">
        <is>
          <t>Backend</t>
        </is>
      </c>
      <c r="C2410" s="17" t="inlineStr">
        <is>
          <t>ordering-service</t>
        </is>
      </c>
      <c r="D2410" s="16" t="inlineStr">
        <is>
          <t>Unit</t>
        </is>
      </c>
      <c r="E2410" s="17" t="inlineStr">
        <is>
          <t>OrderStateTransitionTest › Expiry</t>
        </is>
      </c>
      <c r="F2410" s="17" t="inlineStr">
        <is>
          <t>Hạn thanh toán (isExpiredAt) — biên</t>
        </is>
      </c>
      <c r="G2410" s="17" t="inlineStr">
        <is>
          <t>Đơn không còn chờ tiền thì không bao giờ 'hết hạn', dù đã quá mốc</t>
        </is>
      </c>
      <c r="H2410" s="17" t="inlineStr">
        <is>
          <t>don_khong_mo_khong_het_han(OrderStatus)[2]</t>
        </is>
      </c>
      <c r="I2410" s="16" t="inlineStr">
        <is>
          <t>Đạt</t>
        </is>
      </c>
      <c r="J2410" s="16" t="n">
        <v>0.001</v>
      </c>
    </row>
    <row r="2411">
      <c r="A2411" s="16" t="n">
        <v>2407</v>
      </c>
      <c r="B2411" s="16" t="inlineStr">
        <is>
          <t>Backend</t>
        </is>
      </c>
      <c r="C2411" s="17" t="inlineStr">
        <is>
          <t>ordering-service</t>
        </is>
      </c>
      <c r="D2411" s="16" t="inlineStr">
        <is>
          <t>Unit</t>
        </is>
      </c>
      <c r="E2411" s="17" t="inlineStr">
        <is>
          <t>OrderStateTransitionTest › Expiry</t>
        </is>
      </c>
      <c r="F2411" s="17" t="inlineStr">
        <is>
          <t>Hạn thanh toán (isExpiredAt) — biên</t>
        </is>
      </c>
      <c r="G2411" s="17" t="inlineStr">
        <is>
          <t>Đơn không còn chờ tiền thì không bao giờ 'hết hạn', dù đã quá mốc</t>
        </is>
      </c>
      <c r="H2411" s="17" t="inlineStr">
        <is>
          <t>don_khong_mo_khong_het_han(OrderStatus)[3]</t>
        </is>
      </c>
      <c r="I2411" s="16" t="inlineStr">
        <is>
          <t>Đạt</t>
        </is>
      </c>
      <c r="J2411" s="16" t="n">
        <v>0.001</v>
      </c>
    </row>
    <row r="2412">
      <c r="A2412" s="16" t="n">
        <v>2408</v>
      </c>
      <c r="B2412" s="16" t="inlineStr">
        <is>
          <t>Backend</t>
        </is>
      </c>
      <c r="C2412" s="17" t="inlineStr">
        <is>
          <t>ordering-service</t>
        </is>
      </c>
      <c r="D2412" s="16" t="inlineStr">
        <is>
          <t>Unit</t>
        </is>
      </c>
      <c r="E2412" s="17" t="inlineStr">
        <is>
          <t>OrderStateTransitionTest › Expiry</t>
        </is>
      </c>
      <c r="F2412" s="17" t="inlineStr">
        <is>
          <t>Hạn thanh toán (isExpiredAt) — biên</t>
        </is>
      </c>
      <c r="G2412" s="17" t="inlineStr">
        <is>
          <t>Đơn không còn chờ tiền thì không bao giờ 'hết hạn', dù đã quá mốc</t>
        </is>
      </c>
      <c r="H2412" s="17" t="inlineStr">
        <is>
          <t>don_khong_mo_khong_het_han(OrderStatus)[4]</t>
        </is>
      </c>
      <c r="I2412" s="16" t="inlineStr">
        <is>
          <t>Đạt</t>
        </is>
      </c>
      <c r="J2412" s="16" t="n">
        <v>0</v>
      </c>
    </row>
    <row r="2413">
      <c r="A2413" s="16" t="n">
        <v>2409</v>
      </c>
      <c r="B2413" s="16" t="inlineStr">
        <is>
          <t>Backend</t>
        </is>
      </c>
      <c r="C2413" s="17" t="inlineStr">
        <is>
          <t>ordering-service</t>
        </is>
      </c>
      <c r="D2413" s="16" t="inlineStr">
        <is>
          <t>Unit</t>
        </is>
      </c>
      <c r="E2413" s="17" t="inlineStr">
        <is>
          <t>OrderStateTransitionTest › Expiry</t>
        </is>
      </c>
      <c r="F2413" s="17" t="inlineStr">
        <is>
          <t>Hạn thanh toán (isExpiredAt) — biên</t>
        </is>
      </c>
      <c r="G2413" s="17" t="inlineStr">
        <is>
          <t>Đơn không còn chờ tiền thì không bao giờ 'hết hạn', dù đã quá mốc</t>
        </is>
      </c>
      <c r="H2413" s="17" t="inlineStr">
        <is>
          <t>don_khong_mo_khong_het_han(OrderStatus)[5]</t>
        </is>
      </c>
      <c r="I2413" s="16" t="inlineStr">
        <is>
          <t>Đạt</t>
        </is>
      </c>
      <c r="J2413" s="16" t="n">
        <v>0.001</v>
      </c>
    </row>
    <row r="2414">
      <c r="A2414" s="16" t="n">
        <v>2410</v>
      </c>
      <c r="B2414" s="16" t="inlineStr">
        <is>
          <t>Backend</t>
        </is>
      </c>
      <c r="C2414" s="17" t="inlineStr">
        <is>
          <t>ordering-service</t>
        </is>
      </c>
      <c r="D2414" s="16" t="inlineStr">
        <is>
          <t>Unit</t>
        </is>
      </c>
      <c r="E2414" s="17" t="inlineStr">
        <is>
          <t>OrderStateTransitionTest › Expiry</t>
        </is>
      </c>
      <c r="F2414" s="17" t="inlineStr">
        <is>
          <t>Hạn thanh toán (isExpiredAt) — biên</t>
        </is>
      </c>
      <c r="G2414" s="17" t="inlineStr">
        <is>
          <t>Đúng mốc hạn: đã hết hạn (nửa mở)</t>
        </is>
      </c>
      <c r="H2414" s="17" t="inlineStr">
        <is>
          <t>dung_moc_la_het_han</t>
        </is>
      </c>
      <c r="I2414" s="16" t="inlineStr">
        <is>
          <t>Đạt</t>
        </is>
      </c>
      <c r="J2414" s="16" t="n">
        <v>0.001</v>
      </c>
    </row>
    <row r="2415">
      <c r="A2415" s="16" t="n">
        <v>2411</v>
      </c>
      <c r="B2415" s="16" t="inlineStr">
        <is>
          <t>Backend</t>
        </is>
      </c>
      <c r="C2415" s="17" t="inlineStr">
        <is>
          <t>ordering-service</t>
        </is>
      </c>
      <c r="D2415" s="16" t="inlineStr">
        <is>
          <t>Unit</t>
        </is>
      </c>
      <c r="E2415" s="17" t="inlineStr">
        <is>
          <t>OrderStateTransitionTest › Expiry</t>
        </is>
      </c>
      <c r="F2415" s="17" t="inlineStr">
        <is>
          <t>Hạn thanh toán (isExpiredAt) — biên</t>
        </is>
      </c>
      <c r="G2415" s="17" t="inlineStr">
        <is>
          <t>Một nano giây trước hạn: chưa hết hạn</t>
        </is>
      </c>
      <c r="H2415" s="17" t="inlineStr">
        <is>
          <t>truoc_han_chua_het</t>
        </is>
      </c>
      <c r="I2415" s="16" t="inlineStr">
        <is>
          <t>Đạt</t>
        </is>
      </c>
      <c r="J2415" s="16" t="n">
        <v>0.001</v>
      </c>
    </row>
    <row r="2416">
      <c r="A2416" s="16" t="n">
        <v>2412</v>
      </c>
      <c r="B2416" s="16" t="inlineStr">
        <is>
          <t>Backend</t>
        </is>
      </c>
      <c r="C2416" s="17" t="inlineStr">
        <is>
          <t>ordering-service</t>
        </is>
      </c>
      <c r="D2416" s="16" t="inlineStr">
        <is>
          <t>Unit</t>
        </is>
      </c>
      <c r="E2416" s="17" t="inlineStr">
        <is>
          <t>OrderStateTransitionTest › ManualReview</t>
        </is>
      </c>
      <c r="F2416" s="17" t="inlineStr">
        <is>
          <t>Tiền vào đơn đã đóng (flagManualReview)</t>
        </is>
      </c>
      <c r="G2416" s="17" t="inlineStr">
        <is>
          <t>Đơn đang mở hoặc đã PAID không cần đối soát tay — ném</t>
        </is>
      </c>
      <c r="H2416" s="17" t="inlineStr">
        <is>
          <t>don_mo_hoac_da_tra_khong_doi_soat(OrderStatus)[1]</t>
        </is>
      </c>
      <c r="I2416" s="16" t="inlineStr">
        <is>
          <t>Đạt</t>
        </is>
      </c>
      <c r="J2416" s="16" t="n">
        <v>0.002</v>
      </c>
    </row>
    <row r="2417">
      <c r="A2417" s="16" t="n">
        <v>2413</v>
      </c>
      <c r="B2417" s="16" t="inlineStr">
        <is>
          <t>Backend</t>
        </is>
      </c>
      <c r="C2417" s="17" t="inlineStr">
        <is>
          <t>ordering-service</t>
        </is>
      </c>
      <c r="D2417" s="16" t="inlineStr">
        <is>
          <t>Unit</t>
        </is>
      </c>
      <c r="E2417" s="17" t="inlineStr">
        <is>
          <t>OrderStateTransitionTest › ManualReview</t>
        </is>
      </c>
      <c r="F2417" s="17" t="inlineStr">
        <is>
          <t>Tiền vào đơn đã đóng (flagManualReview)</t>
        </is>
      </c>
      <c r="G2417" s="17" t="inlineStr">
        <is>
          <t>Đơn đang mở hoặc đã PAID không cần đối soát tay — ném</t>
        </is>
      </c>
      <c r="H2417" s="17" t="inlineStr">
        <is>
          <t>don_mo_hoac_da_tra_khong_doi_soat(OrderStatus)[2]</t>
        </is>
      </c>
      <c r="I2417" s="16" t="inlineStr">
        <is>
          <t>Đạt</t>
        </is>
      </c>
      <c r="J2417" s="16" t="n">
        <v>0.001</v>
      </c>
    </row>
    <row r="2418">
      <c r="A2418" s="16" t="n">
        <v>2414</v>
      </c>
      <c r="B2418" s="16" t="inlineStr">
        <is>
          <t>Backend</t>
        </is>
      </c>
      <c r="C2418" s="17" t="inlineStr">
        <is>
          <t>ordering-service</t>
        </is>
      </c>
      <c r="D2418" s="16" t="inlineStr">
        <is>
          <t>Unit</t>
        </is>
      </c>
      <c r="E2418" s="17" t="inlineStr">
        <is>
          <t>OrderStateTransitionTest › ManualReview</t>
        </is>
      </c>
      <c r="F2418" s="17" t="inlineStr">
        <is>
          <t>Tiền vào đơn đã đóng (flagManualReview)</t>
        </is>
      </c>
      <c r="G2418" s="17" t="inlineStr">
        <is>
          <t>Đơn đã đóng sang MANUAL_REVIEW, KHÔNG có paidAt</t>
        </is>
      </c>
      <c r="H2418" s="17" t="inlineStr">
        <is>
          <t>don_da_dong_sang_doi_soat(OrderStatus)[1]</t>
        </is>
      </c>
      <c r="I2418" s="16" t="inlineStr">
        <is>
          <t>Đạt</t>
        </is>
      </c>
      <c r="J2418" s="16" t="n">
        <v>0.001</v>
      </c>
    </row>
    <row r="2419">
      <c r="A2419" s="16" t="n">
        <v>2415</v>
      </c>
      <c r="B2419" s="16" t="inlineStr">
        <is>
          <t>Backend</t>
        </is>
      </c>
      <c r="C2419" s="17" t="inlineStr">
        <is>
          <t>ordering-service</t>
        </is>
      </c>
      <c r="D2419" s="16" t="inlineStr">
        <is>
          <t>Unit</t>
        </is>
      </c>
      <c r="E2419" s="17" t="inlineStr">
        <is>
          <t>OrderStateTransitionTest › ManualReview</t>
        </is>
      </c>
      <c r="F2419" s="17" t="inlineStr">
        <is>
          <t>Tiền vào đơn đã đóng (flagManualReview)</t>
        </is>
      </c>
      <c r="G2419" s="17" t="inlineStr">
        <is>
          <t>Đơn đã đóng sang MANUAL_REVIEW, KHÔNG có paidAt</t>
        </is>
      </c>
      <c r="H2419" s="17" t="inlineStr">
        <is>
          <t>don_da_dong_sang_doi_soat(OrderStatus)[2]</t>
        </is>
      </c>
      <c r="I2419" s="16" t="inlineStr">
        <is>
          <t>Đạt</t>
        </is>
      </c>
      <c r="J2419" s="16" t="n">
        <v>0.002</v>
      </c>
    </row>
    <row r="2420">
      <c r="A2420" s="16" t="n">
        <v>2416</v>
      </c>
      <c r="B2420" s="16" t="inlineStr">
        <is>
          <t>Backend</t>
        </is>
      </c>
      <c r="C2420" s="17" t="inlineStr">
        <is>
          <t>ordering-service</t>
        </is>
      </c>
      <c r="D2420" s="16" t="inlineStr">
        <is>
          <t>Unit</t>
        </is>
      </c>
      <c r="E2420" s="17" t="inlineStr">
        <is>
          <t>OrderStateTransitionTest › ManualReview</t>
        </is>
      </c>
      <c r="F2420" s="17" t="inlineStr">
        <is>
          <t>Tiền vào đơn đã đóng (flagManualReview)</t>
        </is>
      </c>
      <c r="G2420" s="17" t="inlineStr">
        <is>
          <t>Đơn đã MANUAL_REVIEW: lần hai trả false, giữ nguyên mốc lần đầu</t>
        </is>
      </c>
      <c r="H2420" s="17" t="inlineStr">
        <is>
          <t>doi_soat_lan_hai_khong_doi</t>
        </is>
      </c>
      <c r="I2420" s="16" t="inlineStr">
        <is>
          <t>Đạt</t>
        </is>
      </c>
      <c r="J2420" s="16" t="n">
        <v>0.001</v>
      </c>
    </row>
    <row r="2421">
      <c r="A2421" s="16" t="n">
        <v>2417</v>
      </c>
      <c r="B2421" s="16" t="inlineStr">
        <is>
          <t>Backend</t>
        </is>
      </c>
      <c r="C2421" s="17" t="inlineStr">
        <is>
          <t>ordering-service</t>
        </is>
      </c>
      <c r="D2421" s="16" t="inlineStr">
        <is>
          <t>Unit</t>
        </is>
      </c>
      <c r="E2421" s="17" t="inlineStr">
        <is>
          <t>OrderStateTransitionTest › MarkPaid</t>
        </is>
      </c>
      <c r="F2421" s="17" t="inlineStr">
        <is>
          <t>Xác nhận thanh toán (markPaid)</t>
        </is>
      </c>
      <c r="G2421" s="17" t="inlineStr">
        <is>
          <t>Đơn đã đóng hoặc đã xử lý không thể thanh toán — ném và giữ nguyên trạng thái</t>
        </is>
      </c>
      <c r="H2421" s="17" t="inlineStr">
        <is>
          <t>don_da_dong_khong_the_thanh_toan(OrderStatus)[1]</t>
        </is>
      </c>
      <c r="I2421" s="16" t="inlineStr">
        <is>
          <t>Đạt</t>
        </is>
      </c>
      <c r="J2421" s="16" t="n">
        <v>0.001</v>
      </c>
    </row>
    <row r="2422">
      <c r="A2422" s="16" t="n">
        <v>2418</v>
      </c>
      <c r="B2422" s="16" t="inlineStr">
        <is>
          <t>Backend</t>
        </is>
      </c>
      <c r="C2422" s="17" t="inlineStr">
        <is>
          <t>ordering-service</t>
        </is>
      </c>
      <c r="D2422" s="16" t="inlineStr">
        <is>
          <t>Unit</t>
        </is>
      </c>
      <c r="E2422" s="17" t="inlineStr">
        <is>
          <t>OrderStateTransitionTest › MarkPaid</t>
        </is>
      </c>
      <c r="F2422" s="17" t="inlineStr">
        <is>
          <t>Xác nhận thanh toán (markPaid)</t>
        </is>
      </c>
      <c r="G2422" s="17" t="inlineStr">
        <is>
          <t>Đơn đã đóng hoặc đã xử lý không thể thanh toán — ném và giữ nguyên trạng thái</t>
        </is>
      </c>
      <c r="H2422" s="17" t="inlineStr">
        <is>
          <t>don_da_dong_khong_the_thanh_toan(OrderStatus)[2]</t>
        </is>
      </c>
      <c r="I2422" s="16" t="inlineStr">
        <is>
          <t>Đạt</t>
        </is>
      </c>
      <c r="J2422" s="16" t="n">
        <v>0.001</v>
      </c>
    </row>
    <row r="2423">
      <c r="A2423" s="16" t="n">
        <v>2419</v>
      </c>
      <c r="B2423" s="16" t="inlineStr">
        <is>
          <t>Backend</t>
        </is>
      </c>
      <c r="C2423" s="17" t="inlineStr">
        <is>
          <t>ordering-service</t>
        </is>
      </c>
      <c r="D2423" s="16" t="inlineStr">
        <is>
          <t>Unit</t>
        </is>
      </c>
      <c r="E2423" s="17" t="inlineStr">
        <is>
          <t>OrderStateTransitionTest › MarkPaid</t>
        </is>
      </c>
      <c r="F2423" s="17" t="inlineStr">
        <is>
          <t>Xác nhận thanh toán (markPaid)</t>
        </is>
      </c>
      <c r="G2423" s="17" t="inlineStr">
        <is>
          <t>Đơn đã đóng hoặc đã xử lý không thể thanh toán — ném và giữ nguyên trạng thái</t>
        </is>
      </c>
      <c r="H2423" s="17" t="inlineStr">
        <is>
          <t>don_da_dong_khong_the_thanh_toan(OrderStatus)[3]</t>
        </is>
      </c>
      <c r="I2423" s="16" t="inlineStr">
        <is>
          <t>Đạt</t>
        </is>
      </c>
      <c r="J2423" s="16" t="n">
        <v>0.002</v>
      </c>
    </row>
    <row r="2424">
      <c r="A2424" s="16" t="n">
        <v>2420</v>
      </c>
      <c r="B2424" s="16" t="inlineStr">
        <is>
          <t>Backend</t>
        </is>
      </c>
      <c r="C2424" s="17" t="inlineStr">
        <is>
          <t>ordering-service</t>
        </is>
      </c>
      <c r="D2424" s="16" t="inlineStr">
        <is>
          <t>Unit</t>
        </is>
      </c>
      <c r="E2424" s="17" t="inlineStr">
        <is>
          <t>OrderStateTransitionTest › MarkPaid</t>
        </is>
      </c>
      <c r="F2424" s="17" t="inlineStr">
        <is>
          <t>Xác nhận thanh toán (markPaid)</t>
        </is>
      </c>
      <c r="G2424" s="17" t="inlineStr">
        <is>
          <t>Đơn đã đóng hoặc đã xử lý không thể thanh toán — ném và giữ nguyên trạng thái</t>
        </is>
      </c>
      <c r="H2424" s="17" t="inlineStr">
        <is>
          <t>don_da_dong_khong_the_thanh_toan(OrderStatus)[4]</t>
        </is>
      </c>
      <c r="I2424" s="16" t="inlineStr">
        <is>
          <t>Đạt</t>
        </is>
      </c>
      <c r="J2424" s="16" t="n">
        <v>0.001</v>
      </c>
    </row>
    <row r="2425">
      <c r="A2425" s="16" t="n">
        <v>2421</v>
      </c>
      <c r="B2425" s="16" t="inlineStr">
        <is>
          <t>Backend</t>
        </is>
      </c>
      <c r="C2425" s="17" t="inlineStr">
        <is>
          <t>ordering-service</t>
        </is>
      </c>
      <c r="D2425" s="16" t="inlineStr">
        <is>
          <t>Unit</t>
        </is>
      </c>
      <c r="E2425" s="17" t="inlineStr">
        <is>
          <t>OrderStateTransitionTest › MarkPaid</t>
        </is>
      </c>
      <c r="F2425" s="17" t="inlineStr">
        <is>
          <t>Xác nhận thanh toán (markPaid)</t>
        </is>
      </c>
      <c r="G2425" s="17" t="inlineStr">
        <is>
          <t>Đơn chờ thanh toán chuyển sang PAID và ghi đúng mốc paidAt</t>
        </is>
      </c>
      <c r="H2425" s="17" t="inlineStr">
        <is>
          <t>don_cho_thanh_toan_sang_paid</t>
        </is>
      </c>
      <c r="I2425" s="16" t="inlineStr">
        <is>
          <t>Đạt</t>
        </is>
      </c>
      <c r="J2425" s="16" t="n">
        <v>0.002</v>
      </c>
    </row>
    <row r="2426">
      <c r="A2426" s="16" t="n">
        <v>2422</v>
      </c>
      <c r="B2426" s="16" t="inlineStr">
        <is>
          <t>Backend</t>
        </is>
      </c>
      <c r="C2426" s="17" t="inlineStr">
        <is>
          <t>ordering-service</t>
        </is>
      </c>
      <c r="D2426" s="16" t="inlineStr">
        <is>
          <t>Unit</t>
        </is>
      </c>
      <c r="E2426" s="17" t="inlineStr">
        <is>
          <t>OrderStateTransitionTest › MarkPaid</t>
        </is>
      </c>
      <c r="F2426" s="17" t="inlineStr">
        <is>
          <t>Xác nhận thanh toán (markPaid)</t>
        </is>
      </c>
      <c r="G2426" s="17" t="inlineStr">
        <is>
          <t>Đơn đã PAID đọc lại từ database: xác nhận lần nữa trả false, paidAt không đổi</t>
        </is>
      </c>
      <c r="H2426" s="17" t="inlineStr">
        <is>
          <t>don_paid_doc_lai_khong_doi</t>
        </is>
      </c>
      <c r="I2426" s="16" t="inlineStr">
        <is>
          <t>Đạt</t>
        </is>
      </c>
      <c r="J2426" s="16" t="n">
        <v>0</v>
      </c>
    </row>
    <row r="2427">
      <c r="A2427" s="16" t="n">
        <v>2423</v>
      </c>
      <c r="B2427" s="16" t="inlineStr">
        <is>
          <t>Backend</t>
        </is>
      </c>
      <c r="C2427" s="17" t="inlineStr">
        <is>
          <t>ordering-service</t>
        </is>
      </c>
      <c r="D2427" s="16" t="inlineStr">
        <is>
          <t>Unit</t>
        </is>
      </c>
      <c r="E2427" s="17" t="inlineStr">
        <is>
          <t>OrderTest</t>
        </is>
      </c>
      <c r="F2427" s="17" t="inlineStr"/>
      <c r="G2427" s="17" t="inlineStr">
        <is>
          <t>Hoa hồng 0% vẫn hợp lệ — tổ chức được miễn phí</t>
        </is>
      </c>
      <c r="H2427" s="17" t="inlineStr">
        <is>
          <t>hoa_hong_khong_phan_tram</t>
        </is>
      </c>
      <c r="I2427" s="16" t="inlineStr">
        <is>
          <t>Đạt</t>
        </is>
      </c>
      <c r="J2427" s="16" t="n">
        <v>0.001</v>
      </c>
    </row>
    <row r="2428">
      <c r="A2428" s="16" t="n">
        <v>2424</v>
      </c>
      <c r="B2428" s="16" t="inlineStr">
        <is>
          <t>Backend</t>
        </is>
      </c>
      <c r="C2428" s="17" t="inlineStr">
        <is>
          <t>ordering-service</t>
        </is>
      </c>
      <c r="D2428" s="16" t="inlineStr">
        <is>
          <t>Unit</t>
        </is>
      </c>
      <c r="E2428" s="17" t="inlineStr">
        <is>
          <t>OrderTest</t>
        </is>
      </c>
      <c r="F2428" s="17" t="inlineStr"/>
      <c r="G2428" s="17" t="inlineStr">
        <is>
          <t>Xác nhận thanh toán lần hai trả false và không đổi paidAt</t>
        </is>
      </c>
      <c r="H2428" s="17" t="inlineStr">
        <is>
          <t>xac_nhan_lan_hai_khong_doi_gi</t>
        </is>
      </c>
      <c r="I2428" s="16" t="inlineStr">
        <is>
          <t>Đạt</t>
        </is>
      </c>
      <c r="J2428" s="16" t="n">
        <v>0.002</v>
      </c>
    </row>
    <row r="2429">
      <c r="A2429" s="16" t="n">
        <v>2425</v>
      </c>
      <c r="B2429" s="16" t="inlineStr">
        <is>
          <t>Backend</t>
        </is>
      </c>
      <c r="C2429" s="17" t="inlineStr">
        <is>
          <t>ordering-service</t>
        </is>
      </c>
      <c r="D2429" s="16" t="inlineStr">
        <is>
          <t>Unit</t>
        </is>
      </c>
      <c r="E2429" s="17" t="inlineStr">
        <is>
          <t>OrderTest</t>
        </is>
      </c>
      <c r="F2429" s="17" t="inlineStr"/>
      <c r="G2429" s="17" t="inlineStr">
        <is>
          <t>Hoa hồng tính trên giá SAU giảm giá</t>
        </is>
      </c>
      <c r="H2429" s="17" t="inlineStr">
        <is>
          <t>hoa_hong_tren_gia_sau_giam</t>
        </is>
      </c>
      <c r="I2429" s="16" t="inlineStr">
        <is>
          <t>Đạt</t>
        </is>
      </c>
      <c r="J2429" s="16" t="n">
        <v>0</v>
      </c>
    </row>
    <row r="2430">
      <c r="A2430" s="16" t="n">
        <v>2426</v>
      </c>
      <c r="B2430" s="16" t="inlineStr">
        <is>
          <t>Backend</t>
        </is>
      </c>
      <c r="C2430" s="17" t="inlineStr">
        <is>
          <t>ordering-service</t>
        </is>
      </c>
      <c r="D2430" s="16" t="inlineStr">
        <is>
          <t>Unit</t>
        </is>
      </c>
      <c r="E2430" s="17" t="inlineStr">
        <is>
          <t>OrderTest</t>
        </is>
      </c>
      <c r="F2430" s="17" t="inlineStr"/>
      <c r="G2430" s="17" t="inlineStr">
        <is>
          <t>Hoa hồng cộng từ TỪNG DÒNG, không tính một lần trên tổng</t>
        </is>
      </c>
      <c r="H2430" s="17" t="inlineStr">
        <is>
          <t>hoa_hong_cong_tu_tung_dong</t>
        </is>
      </c>
      <c r="I2430" s="16" t="inlineStr">
        <is>
          <t>Đạt</t>
        </is>
      </c>
      <c r="J2430" s="16" t="n">
        <v>0</v>
      </c>
    </row>
    <row r="2431">
      <c r="A2431" s="16" t="n">
        <v>2427</v>
      </c>
      <c r="B2431" s="16" t="inlineStr">
        <is>
          <t>Backend</t>
        </is>
      </c>
      <c r="C2431" s="17" t="inlineStr">
        <is>
          <t>ordering-service</t>
        </is>
      </c>
      <c r="D2431" s="16" t="inlineStr">
        <is>
          <t>Unit</t>
        </is>
      </c>
      <c r="E2431" s="17" t="inlineStr">
        <is>
          <t>OrderTest</t>
        </is>
      </c>
      <c r="F2431" s="17" t="inlineStr"/>
      <c r="G2431" s="17" t="inlineStr">
        <is>
          <t>Giảm giá vượt đơn giá bị chặn ngay ở dòng</t>
        </is>
      </c>
      <c r="H2431" s="17" t="inlineStr">
        <is>
          <t>giam_gia_vuot_don_gia</t>
        </is>
      </c>
      <c r="I2431" s="16" t="inlineStr">
        <is>
          <t>Đạt</t>
        </is>
      </c>
      <c r="J2431" s="16" t="n">
        <v>0</v>
      </c>
    </row>
    <row r="2432">
      <c r="A2432" s="16" t="n">
        <v>2428</v>
      </c>
      <c r="B2432" s="16" t="inlineStr">
        <is>
          <t>Backend</t>
        </is>
      </c>
      <c r="C2432" s="17" t="inlineStr">
        <is>
          <t>ordering-service</t>
        </is>
      </c>
      <c r="D2432" s="16" t="inlineStr">
        <is>
          <t>Unit</t>
        </is>
      </c>
      <c r="E2432" s="17" t="inlineStr">
        <is>
          <t>OrderTest</t>
        </is>
      </c>
      <c r="F2432" s="17" t="inlineStr"/>
      <c r="G2432" s="17" t="inlineStr">
        <is>
          <t>Mã đơn chỉ dùng bảng chữ cái đọc qua điện thoại không nhầm</t>
        </is>
      </c>
      <c r="H2432" s="17" t="inlineStr">
        <is>
          <t>ma_don_khong_co_ky_tu_de_nham</t>
        </is>
      </c>
      <c r="I2432" s="16" t="inlineStr">
        <is>
          <t>Đạt</t>
        </is>
      </c>
      <c r="J2432" s="16" t="n">
        <v>0.016</v>
      </c>
    </row>
    <row r="2433">
      <c r="A2433" s="16" t="n">
        <v>2429</v>
      </c>
      <c r="B2433" s="16" t="inlineStr">
        <is>
          <t>Backend</t>
        </is>
      </c>
      <c r="C2433" s="17" t="inlineStr">
        <is>
          <t>ordering-service</t>
        </is>
      </c>
      <c r="D2433" s="16" t="inlineStr">
        <is>
          <t>Unit</t>
        </is>
      </c>
      <c r="E2433" s="17" t="inlineStr">
        <is>
          <t>OrderTest</t>
        </is>
      </c>
      <c r="F2433" s="17" t="inlineStr"/>
      <c r="G2433" s="17" t="inlineStr">
        <is>
          <t>Đơn đã PAID không bị worker hết hạn đóng</t>
        </is>
      </c>
      <c r="H2433" s="17" t="inlineStr">
        <is>
          <t>don_da_thanh_toan_khong_bi_dong</t>
        </is>
      </c>
      <c r="I2433" s="16" t="inlineStr">
        <is>
          <t>Đạt</t>
        </is>
      </c>
      <c r="J2433" s="16" t="n">
        <v>0</v>
      </c>
    </row>
    <row r="2434">
      <c r="A2434" s="16" t="n">
        <v>2430</v>
      </c>
      <c r="B2434" s="16" t="inlineStr">
        <is>
          <t>Backend</t>
        </is>
      </c>
      <c r="C2434" s="17" t="inlineStr">
        <is>
          <t>ordering-service</t>
        </is>
      </c>
      <c r="D2434" s="16" t="inlineStr">
        <is>
          <t>Unit</t>
        </is>
      </c>
      <c r="E2434" s="17" t="inlineStr">
        <is>
          <t>HttpAdaptersErrorMappingTest › Catalog</t>
        </is>
      </c>
      <c r="F2434" s="17" t="inlineStr">
        <is>
          <t>Catalog — tra giá</t>
        </is>
      </c>
      <c r="G2434" s="17" t="inlineStr">
        <is>
          <t>Timeout mạng: hạ tầng, giữ nguyên nguyên nhân để lần theo</t>
        </is>
      </c>
      <c r="H2434" s="17" t="inlineStr">
        <is>
          <t>timeout</t>
        </is>
      </c>
      <c r="I2434" s="16" t="inlineStr">
        <is>
          <t>Đạt</t>
        </is>
      </c>
      <c r="J2434" s="16" t="n">
        <v>0.01</v>
      </c>
    </row>
    <row r="2435">
      <c r="A2435" s="16" t="n">
        <v>2431</v>
      </c>
      <c r="B2435" s="16" t="inlineStr">
        <is>
          <t>Backend</t>
        </is>
      </c>
      <c r="C2435" s="17" t="inlineStr">
        <is>
          <t>ordering-service</t>
        </is>
      </c>
      <c r="D2435" s="16" t="inlineStr">
        <is>
          <t>Unit</t>
        </is>
      </c>
      <c r="E2435" s="17" t="inlineStr">
        <is>
          <t>HttpAdaptersErrorMappingTest › Catalog</t>
        </is>
      </c>
      <c r="F2435" s="17" t="inlineStr">
        <is>
          <t>Catalog — tra giá</t>
        </is>
      </c>
      <c r="G2435" s="17" t="inlineStr">
        <is>
          <t>200: đọc hoa hồng và giảm giá, gửi đúng tạm tính server đã tính</t>
        </is>
      </c>
      <c r="H2435" s="17" t="inlineStr">
        <is>
          <t>thanh_cong</t>
        </is>
      </c>
      <c r="I2435" s="16" t="inlineStr">
        <is>
          <t>Đạt</t>
        </is>
      </c>
      <c r="J2435" s="16" t="n">
        <v>0.006</v>
      </c>
    </row>
    <row r="2436">
      <c r="A2436" s="16" t="n">
        <v>2432</v>
      </c>
      <c r="B2436" s="16" t="inlineStr">
        <is>
          <t>Backend</t>
        </is>
      </c>
      <c r="C2436" s="17" t="inlineStr">
        <is>
          <t>ordering-service</t>
        </is>
      </c>
      <c r="D2436" s="16" t="inlineStr">
        <is>
          <t>Unit</t>
        </is>
      </c>
      <c r="E2436" s="17" t="inlineStr">
        <is>
          <t>HttpAdaptersErrorMappingTest › Catalog</t>
        </is>
      </c>
      <c r="F2436" s="17" t="inlineStr">
        <is>
          <t>Catalog — tra giá</t>
        </is>
      </c>
      <c r="G2436" s="17" t="inlineStr">
        <is>
          <t>5xx: hạ tầng</t>
        </is>
      </c>
      <c r="H2436" s="17" t="inlineStr">
        <is>
          <t>nam_xx</t>
        </is>
      </c>
      <c r="I2436" s="16" t="inlineStr">
        <is>
          <t>Đạt</t>
        </is>
      </c>
      <c r="J2436" s="16" t="n">
        <v>0.005</v>
      </c>
    </row>
    <row r="2437">
      <c r="A2437" s="16" t="n">
        <v>2433</v>
      </c>
      <c r="B2437" s="16" t="inlineStr">
        <is>
          <t>Backend</t>
        </is>
      </c>
      <c r="C2437" s="17" t="inlineStr">
        <is>
          <t>ordering-service</t>
        </is>
      </c>
      <c r="D2437" s="16" t="inlineStr">
        <is>
          <t>Unit</t>
        </is>
      </c>
      <c r="E2437" s="17" t="inlineStr">
        <is>
          <t>HttpAdaptersErrorMappingTest › Catalog</t>
        </is>
      </c>
      <c r="F2437" s="17" t="inlineStr">
        <is>
          <t>Catalog — tra giá</t>
        </is>
      </c>
      <c r="G2437" s="17" t="inlineStr">
        <is>
          <t>4xx với mã PROMOTION_INVALID: lỗi nghiệp vụ về mã khuyến mãi</t>
        </is>
      </c>
      <c r="H2437" s="17" t="inlineStr">
        <is>
          <t>ma_khuyen_mai_sai</t>
        </is>
      </c>
      <c r="I2437" s="16" t="inlineStr">
        <is>
          <t>Đạt</t>
        </is>
      </c>
      <c r="J2437" s="16" t="n">
        <v>0.003</v>
      </c>
    </row>
    <row r="2438">
      <c r="A2438" s="16" t="n">
        <v>2434</v>
      </c>
      <c r="B2438" s="16" t="inlineStr">
        <is>
          <t>Backend</t>
        </is>
      </c>
      <c r="C2438" s="17" t="inlineStr">
        <is>
          <t>ordering-service</t>
        </is>
      </c>
      <c r="D2438" s="16" t="inlineStr">
        <is>
          <t>Unit</t>
        </is>
      </c>
      <c r="E2438" s="17" t="inlineStr">
        <is>
          <t>HttpAdaptersErrorMappingTest › Catalog</t>
        </is>
      </c>
      <c r="F2438" s="17" t="inlineStr">
        <is>
          <t>Catalog — tra giá</t>
        </is>
      </c>
      <c r="G2438" s="17" t="inlineStr">
        <is>
          <t>404 vì sai đường dẫn: hỏng hạ tầng, KHÔNG đổ cho mã khuyến mãi của khách</t>
        </is>
      </c>
      <c r="H2438" s="17" t="inlineStr">
        <is>
          <t>bon_le_bon_la_ha_tang</t>
        </is>
      </c>
      <c r="I2438" s="16" t="inlineStr">
        <is>
          <t>Đạt</t>
        </is>
      </c>
      <c r="J2438" s="16" t="n">
        <v>0.005</v>
      </c>
    </row>
    <row r="2439">
      <c r="A2439" s="16" t="n">
        <v>2435</v>
      </c>
      <c r="B2439" s="16" t="inlineStr">
        <is>
          <t>Backend</t>
        </is>
      </c>
      <c r="C2439" s="17" t="inlineStr">
        <is>
          <t>ordering-service</t>
        </is>
      </c>
      <c r="D2439" s="16" t="inlineStr">
        <is>
          <t>Unit</t>
        </is>
      </c>
      <c r="E2439" s="17" t="inlineStr">
        <is>
          <t>HttpAdaptersErrorMappingTest › Catalog</t>
        </is>
      </c>
      <c r="F2439" s="17" t="inlineStr">
        <is>
          <t>Catalog — tra giá</t>
        </is>
      </c>
      <c r="G2439" s="17" t="inlineStr">
        <is>
          <t>4xx với body không phải JSON: hạ tầng, không phải mã khuyến mãi</t>
        </is>
      </c>
      <c r="H2439" s="17" t="inlineStr">
        <is>
          <t>bon_xx_body_rac</t>
        </is>
      </c>
      <c r="I2439" s="16" t="inlineStr">
        <is>
          <t>Đạt</t>
        </is>
      </c>
      <c r="J2439" s="16" t="n">
        <v>0.004</v>
      </c>
    </row>
    <row r="2440">
      <c r="A2440" s="16" t="n">
        <v>2436</v>
      </c>
      <c r="B2440" s="16" t="inlineStr">
        <is>
          <t>Backend</t>
        </is>
      </c>
      <c r="C2440" s="17" t="inlineStr">
        <is>
          <t>ordering-service</t>
        </is>
      </c>
      <c r="D2440" s="16" t="inlineStr">
        <is>
          <t>Unit</t>
        </is>
      </c>
      <c r="E2440" s="17" t="inlineStr">
        <is>
          <t>HttpAdaptersErrorMappingTest › Inventory</t>
        </is>
      </c>
      <c r="F2440" s="17" t="inlineStr">
        <is>
          <t>Inventory — đặt chỗ</t>
        </is>
      </c>
      <c r="G2440" s="17" t="inlineStr">
        <is>
          <t>200: gửi orderId/holdId/userId, dịch JSON của Inventory sang kiểu của Ordering</t>
        </is>
      </c>
      <c r="H2440" s="17" t="inlineStr">
        <is>
          <t>thanh_cong</t>
        </is>
      </c>
      <c r="I2440" s="16" t="inlineStr">
        <is>
          <t>Đạt</t>
        </is>
      </c>
      <c r="J2440" s="16" t="n">
        <v>0.067</v>
      </c>
    </row>
    <row r="2441">
      <c r="A2441" s="16" t="n">
        <v>2437</v>
      </c>
      <c r="B2441" s="16" t="inlineStr">
        <is>
          <t>Backend</t>
        </is>
      </c>
      <c r="C2441" s="17" t="inlineStr">
        <is>
          <t>ordering-service</t>
        </is>
      </c>
      <c r="D2441" s="16" t="inlineStr">
        <is>
          <t>Unit</t>
        </is>
      </c>
      <c r="E2441" s="17" t="inlineStr">
        <is>
          <t>HttpAdaptersErrorMappingTest › Inventory</t>
        </is>
      </c>
      <c r="F2441" s="17" t="inlineStr">
        <is>
          <t>Inventory — đặt chỗ</t>
        </is>
      </c>
      <c r="G2441" s="17" t="inlineStr">
        <is>
          <t>4xx: lỗi nghiệp vụ, mang nguyên mã của Inventory</t>
        </is>
      </c>
      <c r="H2441" s="17" t="inlineStr">
        <is>
          <t>bon_xx_mang_ma(String)[1]</t>
        </is>
      </c>
      <c r="I2441" s="16" t="inlineStr">
        <is>
          <t>Đạt</t>
        </is>
      </c>
      <c r="J2441" s="16" t="n">
        <v>0.017</v>
      </c>
    </row>
    <row r="2442">
      <c r="A2442" s="16" t="n">
        <v>2438</v>
      </c>
      <c r="B2442" s="16" t="inlineStr">
        <is>
          <t>Backend</t>
        </is>
      </c>
      <c r="C2442" s="17" t="inlineStr">
        <is>
          <t>ordering-service</t>
        </is>
      </c>
      <c r="D2442" s="16" t="inlineStr">
        <is>
          <t>Unit</t>
        </is>
      </c>
      <c r="E2442" s="17" t="inlineStr">
        <is>
          <t>HttpAdaptersErrorMappingTest › Inventory</t>
        </is>
      </c>
      <c r="F2442" s="17" t="inlineStr">
        <is>
          <t>Inventory — đặt chỗ</t>
        </is>
      </c>
      <c r="G2442" s="17" t="inlineStr">
        <is>
          <t>4xx: lỗi nghiệp vụ, mang nguyên mã của Inventory</t>
        </is>
      </c>
      <c r="H2442" s="17" t="inlineStr">
        <is>
          <t>bon_xx_mang_ma(String)[2]</t>
        </is>
      </c>
      <c r="I2442" s="16" t="inlineStr">
        <is>
          <t>Đạt</t>
        </is>
      </c>
      <c r="J2442" s="16" t="n">
        <v>0.01</v>
      </c>
    </row>
    <row r="2443">
      <c r="A2443" s="16" t="n">
        <v>2439</v>
      </c>
      <c r="B2443" s="16" t="inlineStr">
        <is>
          <t>Backend</t>
        </is>
      </c>
      <c r="C2443" s="17" t="inlineStr">
        <is>
          <t>ordering-service</t>
        </is>
      </c>
      <c r="D2443" s="16" t="inlineStr">
        <is>
          <t>Unit</t>
        </is>
      </c>
      <c r="E2443" s="17" t="inlineStr">
        <is>
          <t>HttpAdaptersErrorMappingTest › Inventory</t>
        </is>
      </c>
      <c r="F2443" s="17" t="inlineStr">
        <is>
          <t>Inventory — đặt chỗ</t>
        </is>
      </c>
      <c r="G2443" s="17" t="inlineStr">
        <is>
          <t>4xx: lỗi nghiệp vụ, mang nguyên mã của Inventory</t>
        </is>
      </c>
      <c r="H2443" s="17" t="inlineStr">
        <is>
          <t>bon_xx_mang_ma(String)[3]</t>
        </is>
      </c>
      <c r="I2443" s="16" t="inlineStr">
        <is>
          <t>Đạt</t>
        </is>
      </c>
      <c r="J2443" s="16" t="n">
        <v>0.006</v>
      </c>
    </row>
    <row r="2444">
      <c r="A2444" s="16" t="n">
        <v>2440</v>
      </c>
      <c r="B2444" s="16" t="inlineStr">
        <is>
          <t>Backend</t>
        </is>
      </c>
      <c r="C2444" s="17" t="inlineStr">
        <is>
          <t>ordering-service</t>
        </is>
      </c>
      <c r="D2444" s="16" t="inlineStr">
        <is>
          <t>Unit</t>
        </is>
      </c>
      <c r="E2444" s="17" t="inlineStr">
        <is>
          <t>HttpAdaptersErrorMappingTest › Inventory</t>
        </is>
      </c>
      <c r="F2444" s="17" t="inlineStr">
        <is>
          <t>Inventory — đặt chỗ</t>
        </is>
      </c>
      <c r="G2444" s="17" t="inlineStr">
        <is>
          <t>4xx không đọc được mã: coi như ghế đã bị lấy</t>
        </is>
      </c>
      <c r="H2444" s="17" t="inlineStr">
        <is>
          <t>bon_xx_khong_co_ma</t>
        </is>
      </c>
      <c r="I2444" s="16" t="inlineStr">
        <is>
          <t>Đạt</t>
        </is>
      </c>
      <c r="J2444" s="16" t="n">
        <v>0.005</v>
      </c>
    </row>
    <row r="2445">
      <c r="A2445" s="16" t="n">
        <v>2441</v>
      </c>
      <c r="B2445" s="16" t="inlineStr">
        <is>
          <t>Backend</t>
        </is>
      </c>
      <c r="C2445" s="17" t="inlineStr">
        <is>
          <t>ordering-service</t>
        </is>
      </c>
      <c r="D2445" s="16" t="inlineStr">
        <is>
          <t>Unit</t>
        </is>
      </c>
      <c r="E2445" s="17" t="inlineStr">
        <is>
          <t>HttpAdaptersErrorMappingTest › Inventory</t>
        </is>
      </c>
      <c r="F2445" s="17" t="inlineStr">
        <is>
          <t>Inventory — đặt chỗ</t>
        </is>
      </c>
      <c r="G2445" s="17" t="inlineStr">
        <is>
          <t>5xx: KHÔNG biết đã đặt hay chưa ⇒ RemoteCallException để saga bù trừ</t>
        </is>
      </c>
      <c r="H2445" s="17" t="inlineStr">
        <is>
          <t>nam_xx_la_khong_biet</t>
        </is>
      </c>
      <c r="I2445" s="16" t="inlineStr">
        <is>
          <t>Đạt</t>
        </is>
      </c>
      <c r="J2445" s="16" t="n">
        <v>0.006</v>
      </c>
    </row>
    <row r="2446">
      <c r="A2446" s="16" t="n">
        <v>2442</v>
      </c>
      <c r="B2446" s="16" t="inlineStr">
        <is>
          <t>Backend</t>
        </is>
      </c>
      <c r="C2446" s="17" t="inlineStr">
        <is>
          <t>ordering-service</t>
        </is>
      </c>
      <c r="D2446" s="16" t="inlineStr">
        <is>
          <t>Unit</t>
        </is>
      </c>
      <c r="E2446" s="17" t="inlineStr">
        <is>
          <t>HttpAdaptersErrorMappingTest › Inventory</t>
        </is>
      </c>
      <c r="F2446" s="17" t="inlineStr">
        <is>
          <t>Inventory — đặt chỗ</t>
        </is>
      </c>
      <c r="G2446" s="17" t="inlineStr">
        <is>
          <t>Nhả chỗ: DELETE đúng đơn; 5xx thành RemoteCallException để saga ghi lại</t>
        </is>
      </c>
      <c r="H2446" s="17" t="inlineStr">
        <is>
          <t>nha_cho</t>
        </is>
      </c>
      <c r="I2446" s="16" t="inlineStr">
        <is>
          <t>Đạt</t>
        </is>
      </c>
      <c r="J2446" s="16" t="n">
        <v>0.007</v>
      </c>
    </row>
    <row r="2447">
      <c r="A2447" s="16" t="n">
        <v>2443</v>
      </c>
      <c r="B2447" s="16" t="inlineStr">
        <is>
          <t>Backend</t>
        </is>
      </c>
      <c r="C2447" s="17" t="inlineStr">
        <is>
          <t>ordering-service</t>
        </is>
      </c>
      <c r="D2447" s="16" t="inlineStr">
        <is>
          <t>Unit</t>
        </is>
      </c>
      <c r="E2447" s="17" t="inlineStr">
        <is>
          <t>HttpAdaptersErrorMappingTest › Inventory</t>
        </is>
      </c>
      <c r="F2447" s="17" t="inlineStr">
        <is>
          <t>Inventory — đặt chỗ</t>
        </is>
      </c>
      <c r="G2447" s="17" t="inlineStr">
        <is>
          <t>Mất kết nối: RemoteCallException</t>
        </is>
      </c>
      <c r="H2447" s="17" t="inlineStr">
        <is>
          <t>mat_ket_noi</t>
        </is>
      </c>
      <c r="I2447" s="16" t="inlineStr">
        <is>
          <t>Đạt</t>
        </is>
      </c>
      <c r="J2447" s="16" t="n">
        <v>0.006</v>
      </c>
    </row>
    <row r="2448">
      <c r="A2448" s="16" t="n">
        <v>2444</v>
      </c>
      <c r="B2448" s="16" t="inlineStr">
        <is>
          <t>Backend</t>
        </is>
      </c>
      <c r="C2448" s="17" t="inlineStr">
        <is>
          <t>ordering-service</t>
        </is>
      </c>
      <c r="D2448" s="16" t="inlineStr">
        <is>
          <t>Unit</t>
        </is>
      </c>
      <c r="E2448" s="17" t="inlineStr">
        <is>
          <t>HttpAdaptersErrorMappingTest › Payment</t>
        </is>
      </c>
      <c r="F2448" s="17" t="inlineStr">
        <is>
          <t>Payment — mở link thanh toán</t>
        </is>
      </c>
      <c r="G2448" s="17" t="inlineStr">
        <is>
          <t>Mọi mã lỗi HTTP khi mở intent: RemoteCallException — saga luôn bù trừ</t>
        </is>
      </c>
      <c r="H2448" s="17" t="inlineStr">
        <is>
          <t>moi_loi_la_ha_tang(int)[1]</t>
        </is>
      </c>
      <c r="I2448" s="16" t="inlineStr">
        <is>
          <t>Đạt</t>
        </is>
      </c>
      <c r="J2448" s="16" t="n">
        <v>0.718</v>
      </c>
    </row>
    <row r="2449">
      <c r="A2449" s="16" t="n">
        <v>2445</v>
      </c>
      <c r="B2449" s="16" t="inlineStr">
        <is>
          <t>Backend</t>
        </is>
      </c>
      <c r="C2449" s="17" t="inlineStr">
        <is>
          <t>ordering-service</t>
        </is>
      </c>
      <c r="D2449" s="16" t="inlineStr">
        <is>
          <t>Unit</t>
        </is>
      </c>
      <c r="E2449" s="17" t="inlineStr">
        <is>
          <t>HttpAdaptersErrorMappingTest › Payment</t>
        </is>
      </c>
      <c r="F2449" s="17" t="inlineStr">
        <is>
          <t>Payment — mở link thanh toán</t>
        </is>
      </c>
      <c r="G2449" s="17" t="inlineStr">
        <is>
          <t>Mọi mã lỗi HTTP khi mở intent: RemoteCallException — saga luôn bù trừ</t>
        </is>
      </c>
      <c r="H2449" s="17" t="inlineStr">
        <is>
          <t>moi_loi_la_ha_tang(int)[2]</t>
        </is>
      </c>
      <c r="I2449" s="16" t="inlineStr">
        <is>
          <t>Đạt</t>
        </is>
      </c>
      <c r="J2449" s="16" t="n">
        <v>0.011</v>
      </c>
    </row>
    <row r="2450">
      <c r="A2450" s="16" t="n">
        <v>2446</v>
      </c>
      <c r="B2450" s="16" t="inlineStr">
        <is>
          <t>Backend</t>
        </is>
      </c>
      <c r="C2450" s="17" t="inlineStr">
        <is>
          <t>ordering-service</t>
        </is>
      </c>
      <c r="D2450" s="16" t="inlineStr">
        <is>
          <t>Unit</t>
        </is>
      </c>
      <c r="E2450" s="17" t="inlineStr">
        <is>
          <t>HttpAdaptersErrorMappingTest › Payment</t>
        </is>
      </c>
      <c r="F2450" s="17" t="inlineStr">
        <is>
          <t>Payment — mở link thanh toán</t>
        </is>
      </c>
      <c r="G2450" s="17" t="inlineStr">
        <is>
          <t>Mọi mã lỗi HTTP khi mở intent: RemoteCallException — saga luôn bù trừ</t>
        </is>
      </c>
      <c r="H2450" s="17" t="inlineStr">
        <is>
          <t>moi_loi_la_ha_tang(int)[3]</t>
        </is>
      </c>
      <c r="I2450" s="16" t="inlineStr">
        <is>
          <t>Đạt</t>
        </is>
      </c>
      <c r="J2450" s="16" t="n">
        <v>0.01</v>
      </c>
    </row>
    <row r="2451">
      <c r="A2451" s="16" t="n">
        <v>2447</v>
      </c>
      <c r="B2451" s="16" t="inlineStr">
        <is>
          <t>Backend</t>
        </is>
      </c>
      <c r="C2451" s="17" t="inlineStr">
        <is>
          <t>ordering-service</t>
        </is>
      </c>
      <c r="D2451" s="16" t="inlineStr">
        <is>
          <t>Unit</t>
        </is>
      </c>
      <c r="E2451" s="17" t="inlineStr">
        <is>
          <t>HttpAdaptersErrorMappingTest › Payment</t>
        </is>
      </c>
      <c r="F2451" s="17" t="inlineStr">
        <is>
          <t>Payment — mở link thanh toán</t>
        </is>
      </c>
      <c r="G2451" s="17" t="inlineStr">
        <is>
          <t>Mọi mã lỗi HTTP khi mở intent: RemoteCallException — saga luôn bù trừ</t>
        </is>
      </c>
      <c r="H2451" s="17" t="inlineStr">
        <is>
          <t>moi_loi_la_ha_tang(int)[4]</t>
        </is>
      </c>
      <c r="I2451" s="16" t="inlineStr">
        <is>
          <t>Đạt</t>
        </is>
      </c>
      <c r="J2451" s="16" t="n">
        <v>0.007</v>
      </c>
    </row>
    <row r="2452">
      <c r="A2452" s="16" t="n">
        <v>2448</v>
      </c>
      <c r="B2452" s="16" t="inlineStr">
        <is>
          <t>Backend</t>
        </is>
      </c>
      <c r="C2452" s="17" t="inlineStr">
        <is>
          <t>ordering-service</t>
        </is>
      </c>
      <c r="D2452" s="16" t="inlineStr">
        <is>
          <t>Unit</t>
        </is>
      </c>
      <c r="E2452" s="17" t="inlineStr">
        <is>
          <t>HttpAdaptersErrorMappingTest › Payment</t>
        </is>
      </c>
      <c r="F2452" s="17" t="inlineStr">
        <is>
          <t>Payment — mở link thanh toán</t>
        </is>
      </c>
      <c r="G2452" s="17" t="inlineStr">
        <is>
          <t>200: gửi số tiền và hạn ISO-8601, nhận đủ snapshot link thanh toán</t>
        </is>
      </c>
      <c r="H2452" s="17" t="inlineStr">
        <is>
          <t>thanh_cong</t>
        </is>
      </c>
      <c r="I2452" s="16" t="inlineStr">
        <is>
          <t>Đạt</t>
        </is>
      </c>
      <c r="J2452" s="16" t="n">
        <v>0.163</v>
      </c>
    </row>
    <row r="2453">
      <c r="A2453" s="16" t="n">
        <v>2449</v>
      </c>
      <c r="B2453" s="16" t="inlineStr">
        <is>
          <t>Backend</t>
        </is>
      </c>
      <c r="C2453" s="17" t="inlineStr">
        <is>
          <t>ordering-service</t>
        </is>
      </c>
      <c r="D2453" s="16" t="inlineStr">
        <is>
          <t>Unit</t>
        </is>
      </c>
      <c r="E2453" s="17" t="inlineStr">
        <is>
          <t>HttpAdaptersErrorMappingTest › Payment</t>
        </is>
      </c>
      <c r="F2453" s="17" t="inlineStr">
        <is>
          <t>Payment — mở link thanh toán</t>
        </is>
      </c>
      <c r="G2453" s="17" t="inlineStr">
        <is>
          <t>200 body rỗng: RemoteCallException, không trả về intent null</t>
        </is>
      </c>
      <c r="H2453" s="17" t="inlineStr">
        <is>
          <t>body_rong</t>
        </is>
      </c>
      <c r="I2453" s="16" t="inlineStr">
        <is>
          <t>Đạt</t>
        </is>
      </c>
      <c r="J2453" s="16" t="n">
        <v>0.006</v>
      </c>
    </row>
    <row r="2454">
      <c r="A2454" s="16" t="n">
        <v>2450</v>
      </c>
      <c r="B2454" s="16" t="inlineStr">
        <is>
          <t>Backend</t>
        </is>
      </c>
      <c r="C2454" s="17" t="inlineStr">
        <is>
          <t>ordering-service</t>
        </is>
      </c>
      <c r="D2454" s="16" t="inlineStr">
        <is>
          <t>Unit</t>
        </is>
      </c>
      <c r="E2454" s="17" t="inlineStr">
        <is>
          <t>HttpAdaptersErrorMappingTest › Payment</t>
        </is>
      </c>
      <c r="F2454" s="17" t="inlineStr">
        <is>
          <t>Payment — mở link thanh toán</t>
        </is>
      </c>
      <c r="G2454" s="17" t="inlineStr">
        <is>
          <t>Huỷ intent: DELETE đúng đơn; timeout thành RemoteCallException</t>
        </is>
      </c>
      <c r="H2454" s="17" t="inlineStr">
        <is>
          <t>huy_intent</t>
        </is>
      </c>
      <c r="I2454" s="16" t="inlineStr">
        <is>
          <t>Đạt</t>
        </is>
      </c>
      <c r="J2454" s="16" t="n">
        <v>0.006</v>
      </c>
    </row>
    <row r="2455">
      <c r="A2455" s="16" t="n">
        <v>2451</v>
      </c>
      <c r="B2455" s="16" t="inlineStr">
        <is>
          <t>Backend</t>
        </is>
      </c>
      <c r="C2455" s="17" t="inlineStr">
        <is>
          <t>ordering-service</t>
        </is>
      </c>
      <c r="D2455" s="16" t="inlineStr">
        <is>
          <t>API slice</t>
        </is>
      </c>
      <c r="E2455" s="17" t="inlineStr">
        <is>
          <t>InternalOrderControllerTest › ConfirmPayment</t>
        </is>
      </c>
      <c r="F2455" s="17" t="inlineStr">
        <is>
          <t>POST /internal/orders/{id}/confirm-payment</t>
        </is>
      </c>
      <c r="G2455" s="17" t="inlineStr">
        <is>
          <t>Lỗi tạm thời không lường trước: 500 không lộ thông điệp gốc — payment-service sẽ giao lại</t>
        </is>
      </c>
      <c r="H2455" s="17" t="inlineStr">
        <is>
          <t>loi_tam_thoi_500</t>
        </is>
      </c>
      <c r="I2455" s="16" t="inlineStr">
        <is>
          <t>Đạt</t>
        </is>
      </c>
      <c r="J2455" s="16" t="n">
        <v>0.036</v>
      </c>
    </row>
    <row r="2456">
      <c r="A2456" s="16" t="n">
        <v>2452</v>
      </c>
      <c r="B2456" s="16" t="inlineStr">
        <is>
          <t>Backend</t>
        </is>
      </c>
      <c r="C2456" s="17" t="inlineStr">
        <is>
          <t>ordering-service</t>
        </is>
      </c>
      <c r="D2456" s="16" t="inlineStr">
        <is>
          <t>API slice</t>
        </is>
      </c>
      <c r="E2456" s="17" t="inlineStr">
        <is>
          <t>InternalOrderControllerTest › ConfirmPayment</t>
        </is>
      </c>
      <c r="F2456" s="17" t="inlineStr">
        <is>
          <t>POST /internal/orders/{id}/confirm-payment</t>
        </is>
      </c>
      <c r="G2456" s="17" t="inlineStr">
        <is>
          <t>Đơn không tồn tại: 404 ORDER_NOT_FOUND dạng RFC 7807</t>
        </is>
      </c>
      <c r="H2456" s="17" t="inlineStr">
        <is>
          <t>don_khong_ton_tai</t>
        </is>
      </c>
      <c r="I2456" s="16" t="inlineStr">
        <is>
          <t>Đạt</t>
        </is>
      </c>
      <c r="J2456" s="16" t="n">
        <v>0.011</v>
      </c>
    </row>
    <row r="2457">
      <c r="A2457" s="16" t="n">
        <v>2453</v>
      </c>
      <c r="B2457" s="16" t="inlineStr">
        <is>
          <t>Backend</t>
        </is>
      </c>
      <c r="C2457" s="17" t="inlineStr">
        <is>
          <t>ordering-service</t>
        </is>
      </c>
      <c r="D2457" s="16" t="inlineStr">
        <is>
          <t>API slice</t>
        </is>
      </c>
      <c r="E2457" s="17" t="inlineStr">
        <is>
          <t>InternalOrderControllerTest › ConfirmPayment</t>
        </is>
      </c>
      <c r="F2457" s="17" t="inlineStr">
        <is>
          <t>POST /internal/orders/{id}/confirm-payment</t>
        </is>
      </c>
      <c r="G2457" s="17" t="inlineStr">
        <is>
          <t>Token đúng, không cần JWT: 200 kèm outcome để payment-service biết đừng giao lại</t>
        </is>
      </c>
      <c r="H2457" s="17" t="inlineStr">
        <is>
          <t>tra_ve_outcome</t>
        </is>
      </c>
      <c r="I2457" s="16" t="inlineStr">
        <is>
          <t>Đạt</t>
        </is>
      </c>
      <c r="J2457" s="16" t="n">
        <v>0.011</v>
      </c>
    </row>
    <row r="2458">
      <c r="A2458" s="16" t="n">
        <v>2454</v>
      </c>
      <c r="B2458" s="16" t="inlineStr">
        <is>
          <t>Backend</t>
        </is>
      </c>
      <c r="C2458" s="17" t="inlineStr">
        <is>
          <t>ordering-service</t>
        </is>
      </c>
      <c r="D2458" s="16" t="inlineStr">
        <is>
          <t>API slice</t>
        </is>
      </c>
      <c r="E2458" s="17" t="inlineStr">
        <is>
          <t>InternalOrderControllerTest › Fence</t>
        </is>
      </c>
      <c r="F2458" s="17" t="inlineStr">
        <is>
          <t>Hàng rào X-Internal-Token</t>
        </is>
      </c>
      <c r="G2458" s="17" t="inlineStr">
        <is>
          <t>Token sai, kể cả chỉ khác một ký tự cuối: 404</t>
        </is>
      </c>
      <c r="H2458" s="17" t="inlineStr">
        <is>
          <t>token_sai_404</t>
        </is>
      </c>
      <c r="I2458" s="16" t="inlineStr">
        <is>
          <t>Đạt</t>
        </is>
      </c>
      <c r="J2458" s="16" t="n">
        <v>0.012</v>
      </c>
    </row>
    <row r="2459">
      <c r="A2459" s="16" t="n">
        <v>2455</v>
      </c>
      <c r="B2459" s="16" t="inlineStr">
        <is>
          <t>Backend</t>
        </is>
      </c>
      <c r="C2459" s="17" t="inlineStr">
        <is>
          <t>ordering-service</t>
        </is>
      </c>
      <c r="D2459" s="16" t="inlineStr">
        <is>
          <t>API slice</t>
        </is>
      </c>
      <c r="E2459" s="17" t="inlineStr">
        <is>
          <t>InternalOrderControllerTest › Fence</t>
        </is>
      </c>
      <c r="F2459" s="17" t="inlineStr">
        <is>
          <t>Hàng rào X-Internal-Token</t>
        </is>
      </c>
      <c r="G2459" s="17" t="inlineStr">
        <is>
          <t>Thiếu token: 404 (không phải 401), handler không chạy</t>
        </is>
      </c>
      <c r="H2459" s="17" t="inlineStr">
        <is>
          <t>thieu_token_404</t>
        </is>
      </c>
      <c r="I2459" s="16" t="inlineStr">
        <is>
          <t>Đạt</t>
        </is>
      </c>
      <c r="J2459" s="16" t="n">
        <v>0.01</v>
      </c>
    </row>
    <row r="2460">
      <c r="A2460" s="16" t="n">
        <v>2456</v>
      </c>
      <c r="B2460" s="16" t="inlineStr">
        <is>
          <t>Backend</t>
        </is>
      </c>
      <c r="C2460" s="17" t="inlineStr">
        <is>
          <t>ordering-service</t>
        </is>
      </c>
      <c r="D2460" s="16" t="inlineStr">
        <is>
          <t>API slice</t>
        </is>
      </c>
      <c r="E2460" s="17" t="inlineStr">
        <is>
          <t>InternalOrderControllerTest › Fence</t>
        </is>
      </c>
      <c r="F2460" s="17" t="inlineStr">
        <is>
          <t>Hàng rào X-Internal-Token</t>
        </is>
      </c>
      <c r="G2460" s="17" t="inlineStr">
        <is>
          <t>JWT người dùng hợp lệ KHÔNG thay được token nội bộ: vẫn 404</t>
        </is>
      </c>
      <c r="H2460" s="17" t="inlineStr">
        <is>
          <t>jwt_nguoi_dung_khong_thay_token</t>
        </is>
      </c>
      <c r="I2460" s="16" t="inlineStr">
        <is>
          <t>Đạt</t>
        </is>
      </c>
      <c r="J2460" s="16" t="n">
        <v>0.031</v>
      </c>
    </row>
    <row r="2461">
      <c r="A2461" s="16" t="n">
        <v>2457</v>
      </c>
      <c r="B2461" s="16" t="inlineStr">
        <is>
          <t>Backend</t>
        </is>
      </c>
      <c r="C2461" s="17" t="inlineStr">
        <is>
          <t>ordering-service</t>
        </is>
      </c>
      <c r="D2461" s="16" t="inlineStr">
        <is>
          <t>API slice</t>
        </is>
      </c>
      <c r="E2461" s="17" t="inlineStr">
        <is>
          <t>InternalOrderControllerTest › Get</t>
        </is>
      </c>
      <c r="F2461" s="17" t="inlineStr">
        <is>
          <t>GET /internal/orders/{id}</t>
        </is>
      </c>
      <c r="G2461" s="17" t="inlineStr">
        <is>
          <t>Không tồn tại: 404 ORDER_NOT_FOUND</t>
        </is>
      </c>
      <c r="H2461" s="17" t="inlineStr">
        <is>
          <t>khong_ton_tai</t>
        </is>
      </c>
      <c r="I2461" s="16" t="inlineStr">
        <is>
          <t>Đạt</t>
        </is>
      </c>
      <c r="J2461" s="16" t="n">
        <v>0.219</v>
      </c>
    </row>
    <row r="2462">
      <c r="A2462" s="16" t="n">
        <v>2458</v>
      </c>
      <c r="B2462" s="16" t="inlineStr">
        <is>
          <t>Backend</t>
        </is>
      </c>
      <c r="C2462" s="17" t="inlineStr">
        <is>
          <t>ordering-service</t>
        </is>
      </c>
      <c r="D2462" s="16" t="inlineStr">
        <is>
          <t>API slice</t>
        </is>
      </c>
      <c r="E2462" s="17" t="inlineStr">
        <is>
          <t>InternalOrderControllerTest › Get</t>
        </is>
      </c>
      <c r="F2462" s="17" t="inlineStr">
        <is>
          <t>GET /internal/orders/{id}</t>
        </is>
      </c>
      <c r="G2462" s="17" t="inlineStr">
        <is>
          <t>Bản nội bộ có hoa hồng cho Ledger/Payout</t>
        </is>
      </c>
      <c r="H2462" s="17" t="inlineStr">
        <is>
          <t>ban_noi_bo_co_hoa_hong</t>
        </is>
      </c>
      <c r="I2462" s="16" t="inlineStr">
        <is>
          <t>Đạt</t>
        </is>
      </c>
      <c r="J2462" s="16" t="n">
        <v>0.098</v>
      </c>
    </row>
    <row r="2463">
      <c r="A2463" s="16" t="n">
        <v>2459</v>
      </c>
      <c r="B2463" s="16" t="inlineStr">
        <is>
          <t>Backend</t>
        </is>
      </c>
      <c r="C2463" s="17" t="inlineStr">
        <is>
          <t>ordering-service</t>
        </is>
      </c>
      <c r="D2463" s="16" t="inlineStr">
        <is>
          <t>API slice</t>
        </is>
      </c>
      <c r="E2463" s="17" t="inlineStr">
        <is>
          <t>InternalOrderControllerTest › Statuses</t>
        </is>
      </c>
      <c r="F2463" s="17" t="inlineStr">
        <is>
          <t>POST /internal/orders/statuses</t>
        </is>
      </c>
      <c r="G2463" s="17" t="inlineStr">
        <is>
          <t>Trả map trạng thái; đơn không tồn tại vắng mặt</t>
        </is>
      </c>
      <c r="H2463" s="17" t="inlineStr">
        <is>
          <t>tra_map</t>
        </is>
      </c>
      <c r="I2463" s="16" t="inlineStr">
        <is>
          <t>Đạt</t>
        </is>
      </c>
      <c r="J2463" s="16" t="n">
        <v>0.209</v>
      </c>
    </row>
    <row r="2464">
      <c r="A2464" s="16" t="n">
        <v>2460</v>
      </c>
      <c r="B2464" s="16" t="inlineStr">
        <is>
          <t>Backend</t>
        </is>
      </c>
      <c r="C2464" s="17" t="inlineStr">
        <is>
          <t>ordering-service</t>
        </is>
      </c>
      <c r="D2464" s="16" t="inlineStr">
        <is>
          <t>API slice</t>
        </is>
      </c>
      <c r="E2464" s="17" t="inlineStr">
        <is>
          <t>InternalOrderControllerTest › Statuses</t>
        </is>
      </c>
      <c r="F2464" s="17" t="inlineStr">
        <is>
          <t>POST /internal/orders/statuses</t>
        </is>
      </c>
      <c r="G2464" s="17" t="inlineStr">
        <is>
          <t>200 mã được, 201 mã bị chặn — không phải đường xuất cả bảng đơn</t>
        </is>
      </c>
      <c r="H2464" s="17" t="inlineStr">
        <is>
          <t>tran_200_ma</t>
        </is>
      </c>
      <c r="I2464" s="16" t="inlineStr">
        <is>
          <t>Đạt</t>
        </is>
      </c>
      <c r="J2464" s="16" t="n">
        <v>0.065</v>
      </c>
    </row>
    <row r="2465">
      <c r="A2465" s="16" t="n">
        <v>2461</v>
      </c>
      <c r="B2465" s="16" t="inlineStr">
        <is>
          <t>Backend</t>
        </is>
      </c>
      <c r="C2465" s="17" t="inlineStr">
        <is>
          <t>ordering-service</t>
        </is>
      </c>
      <c r="D2465" s="16" t="inlineStr">
        <is>
          <t>API slice</t>
        </is>
      </c>
      <c r="E2465" s="17" t="inlineStr">
        <is>
          <t>InternalOrderControllerTest › Statuses</t>
        </is>
      </c>
      <c r="F2465" s="17" t="inlineStr">
        <is>
          <t>POST /internal/orders/statuses</t>
        </is>
      </c>
      <c r="G2465" s="17" t="inlineStr">
        <is>
          <t>Danh sách rỗng hoặc thiếu: 400 VALIDATION_FAILED chỉ đúng trường orderIds</t>
        </is>
      </c>
      <c r="H2465" s="17" t="inlineStr">
        <is>
          <t>danh_sach_rong</t>
        </is>
      </c>
      <c r="I2465" s="16" t="inlineStr">
        <is>
          <t>Đạt</t>
        </is>
      </c>
      <c r="J2465" s="16" t="n">
        <v>0.02</v>
      </c>
    </row>
    <row r="2466">
      <c r="A2466" s="16" t="n">
        <v>2462</v>
      </c>
      <c r="B2466" s="16" t="inlineStr">
        <is>
          <t>Backend</t>
        </is>
      </c>
      <c r="C2466" s="17" t="inlineStr">
        <is>
          <t>ordering-service</t>
        </is>
      </c>
      <c r="D2466" s="16" t="inlineStr">
        <is>
          <t>API slice</t>
        </is>
      </c>
      <c r="E2466" s="17" t="inlineStr">
        <is>
          <t>InternalOrderControllerTest › Statuses</t>
        </is>
      </c>
      <c r="F2466" s="17" t="inlineStr">
        <is>
          <t>POST /internal/orders/statuses</t>
        </is>
      </c>
      <c r="G2466" s="17" t="inlineStr">
        <is>
          <t>Mã không phải UUID trong danh sách: 400 Malformed request body</t>
        </is>
      </c>
      <c r="H2466" s="17" t="inlineStr">
        <is>
          <t>ma_khong_phai_uuid</t>
        </is>
      </c>
      <c r="I2466" s="16" t="inlineStr">
        <is>
          <t>Đạt</t>
        </is>
      </c>
      <c r="J2466" s="16" t="n">
        <v>0.016</v>
      </c>
    </row>
    <row r="2467">
      <c r="A2467" s="16" t="n">
        <v>2463</v>
      </c>
      <c r="B2467" s="16" t="inlineStr">
        <is>
          <t>Backend</t>
        </is>
      </c>
      <c r="C2467" s="17" t="inlineStr">
        <is>
          <t>ordering-service</t>
        </is>
      </c>
      <c r="D2467" s="16" t="inlineStr">
        <is>
          <t>API slice</t>
        </is>
      </c>
      <c r="E2467" s="17" t="inlineStr">
        <is>
          <t>OrderControllerTest › Authentication</t>
        </is>
      </c>
      <c r="F2467" s="17" t="inlineStr">
        <is>
          <t>Xác thực</t>
        </is>
      </c>
      <c r="G2467" s="17" t="inlineStr">
        <is>
          <t>Token hợp lệ nhưng identity không nhận ra: 401 UNAUTHENTICATED dạng RFC 7807</t>
        </is>
      </c>
      <c r="H2467" s="17" t="inlineStr">
        <is>
          <t>identity_khong_nhan_ra_401</t>
        </is>
      </c>
      <c r="I2467" s="16" t="inlineStr">
        <is>
          <t>Đạt</t>
        </is>
      </c>
      <c r="J2467" s="16" t="n">
        <v>0.008</v>
      </c>
    </row>
    <row r="2468">
      <c r="A2468" s="16" t="n">
        <v>2464</v>
      </c>
      <c r="B2468" s="16" t="inlineStr">
        <is>
          <t>Backend</t>
        </is>
      </c>
      <c r="C2468" s="17" t="inlineStr">
        <is>
          <t>ordering-service</t>
        </is>
      </c>
      <c r="D2468" s="16" t="inlineStr">
        <is>
          <t>API slice</t>
        </is>
      </c>
      <c r="E2468" s="17" t="inlineStr">
        <is>
          <t>OrderControllerTest › Authentication</t>
        </is>
      </c>
      <c r="F2468" s="17" t="inlineStr">
        <is>
          <t>Xác thực</t>
        </is>
      </c>
      <c r="G2468" s="17" t="inlineStr">
        <is>
          <t>Không có token: 401 từ Spring Security, không chạm tầng application</t>
        </is>
      </c>
      <c r="H2468" s="17" t="inlineStr">
        <is>
          <t>khong_token_401</t>
        </is>
      </c>
      <c r="I2468" s="16" t="inlineStr">
        <is>
          <t>Đạt</t>
        </is>
      </c>
      <c r="J2468" s="16" t="n">
        <v>0.005</v>
      </c>
    </row>
    <row r="2469">
      <c r="A2469" s="16" t="n">
        <v>2465</v>
      </c>
      <c r="B2469" s="16" t="inlineStr">
        <is>
          <t>Backend</t>
        </is>
      </c>
      <c r="C2469" s="17" t="inlineStr">
        <is>
          <t>ordering-service</t>
        </is>
      </c>
      <c r="D2469" s="16" t="inlineStr">
        <is>
          <t>API slice</t>
        </is>
      </c>
      <c r="E2469" s="17" t="inlineStr">
        <is>
          <t>OrderControllerTest › Cancel</t>
        </is>
      </c>
      <c r="F2469" s="17" t="inlineStr">
        <is>
          <t>POST /v1/orders/{id}/cancel</t>
        </is>
      </c>
      <c r="G2469" s="17" t="inlineStr">
        <is>
          <t>Đơn không còn mở: 409 ORDER_NOT_OPEN</t>
        </is>
      </c>
      <c r="H2469" s="17" t="inlineStr">
        <is>
          <t>don_khong_mo</t>
        </is>
      </c>
      <c r="I2469" s="16" t="inlineStr">
        <is>
          <t>Đạt</t>
        </is>
      </c>
      <c r="J2469" s="16" t="n">
        <v>0.025</v>
      </c>
    </row>
    <row r="2470">
      <c r="A2470" s="16" t="n">
        <v>2466</v>
      </c>
      <c r="B2470" s="16" t="inlineStr">
        <is>
          <t>Backend</t>
        </is>
      </c>
      <c r="C2470" s="17" t="inlineStr">
        <is>
          <t>ordering-service</t>
        </is>
      </c>
      <c r="D2470" s="16" t="inlineStr">
        <is>
          <t>API slice</t>
        </is>
      </c>
      <c r="E2470" s="17" t="inlineStr">
        <is>
          <t>OrderControllerTest › Cancel</t>
        </is>
      </c>
      <c r="F2470" s="17" t="inlineStr">
        <is>
          <t>POST /v1/orders/{id}/cancel</t>
        </is>
      </c>
      <c r="G2470" s="17" t="inlineStr">
        <is>
          <t>Không token: 401, không huỷ gì</t>
        </is>
      </c>
      <c r="H2470" s="17" t="inlineStr">
        <is>
          <t>khong_token</t>
        </is>
      </c>
      <c r="I2470" s="16" t="inlineStr">
        <is>
          <t>Đạt</t>
        </is>
      </c>
      <c r="J2470" s="16" t="n">
        <v>0.008</v>
      </c>
    </row>
    <row r="2471">
      <c r="A2471" s="16" t="n">
        <v>2467</v>
      </c>
      <c r="B2471" s="16" t="inlineStr">
        <is>
          <t>Backend</t>
        </is>
      </c>
      <c r="C2471" s="17" t="inlineStr">
        <is>
          <t>ordering-service</t>
        </is>
      </c>
      <c r="D2471" s="16" t="inlineStr">
        <is>
          <t>API slice</t>
        </is>
      </c>
      <c r="E2471" s="17" t="inlineStr">
        <is>
          <t>OrderControllerTest › Cancel</t>
        </is>
      </c>
      <c r="F2471" s="17" t="inlineStr">
        <is>
          <t>POST /v1/orders/{id}/cancel</t>
        </is>
      </c>
      <c r="G2471" s="17" t="inlineStr">
        <is>
          <t>204 và huỷ đúng đơn, đúng người theo token</t>
        </is>
      </c>
      <c r="H2471" s="17" t="inlineStr">
        <is>
          <t>huy_thanh_cong</t>
        </is>
      </c>
      <c r="I2471" s="16" t="inlineStr">
        <is>
          <t>Đạt</t>
        </is>
      </c>
      <c r="J2471" s="16" t="n">
        <v>0.008</v>
      </c>
    </row>
    <row r="2472">
      <c r="A2472" s="16" t="n">
        <v>2468</v>
      </c>
      <c r="B2472" s="16" t="inlineStr">
        <is>
          <t>Backend</t>
        </is>
      </c>
      <c r="C2472" s="17" t="inlineStr">
        <is>
          <t>ordering-service</t>
        </is>
      </c>
      <c r="D2472" s="16" t="inlineStr">
        <is>
          <t>API slice</t>
        </is>
      </c>
      <c r="E2472" s="17" t="inlineStr">
        <is>
          <t>OrderControllerTest › Place</t>
        </is>
      </c>
      <c r="F2472" s="17" t="inlineStr">
        <is>
          <t>POST /v1/orders</t>
        </is>
      </c>
      <c r="G2472" s="17" t="inlineStr">
        <is>
          <t>Saga hỏng tạm thời (CHECKOUT_UNAVAILABLE) trả body RFC 7807 đủ type/title/code/correlationId</t>
        </is>
      </c>
      <c r="H2472" s="17" t="inlineStr">
        <is>
          <t>body_loi_dung_hinh_dang</t>
        </is>
      </c>
      <c r="I2472" s="16" t="inlineStr">
        <is>
          <t>Đạt</t>
        </is>
      </c>
      <c r="J2472" s="16" t="n">
        <v>0.019</v>
      </c>
    </row>
    <row r="2473">
      <c r="A2473" s="16" t="n">
        <v>2469</v>
      </c>
      <c r="B2473" s="16" t="inlineStr">
        <is>
          <t>Backend</t>
        </is>
      </c>
      <c r="C2473" s="17" t="inlineStr">
        <is>
          <t>ordering-service</t>
        </is>
      </c>
      <c r="D2473" s="16" t="inlineStr">
        <is>
          <t>API slice</t>
        </is>
      </c>
      <c r="E2473" s="17" t="inlineStr">
        <is>
          <t>OrderControllerTest › Place</t>
        </is>
      </c>
      <c r="F2473" s="17" t="inlineStr">
        <is>
          <t>POST /v1/orders</t>
        </is>
      </c>
      <c r="G2473" s="17" t="inlineStr">
        <is>
          <t>JSON hỏng hoặc holdId không phải UUID: 400, không phải 500</t>
        </is>
      </c>
      <c r="H2473" s="17" t="inlineStr">
        <is>
          <t>json_hong</t>
        </is>
      </c>
      <c r="I2473" s="16" t="inlineStr">
        <is>
          <t>Đạt</t>
        </is>
      </c>
      <c r="J2473" s="16" t="n">
        <v>0.011</v>
      </c>
    </row>
    <row r="2474">
      <c r="A2474" s="16" t="n">
        <v>2470</v>
      </c>
      <c r="B2474" s="16" t="inlineStr">
        <is>
          <t>Backend</t>
        </is>
      </c>
      <c r="C2474" s="17" t="inlineStr">
        <is>
          <t>ordering-service</t>
        </is>
      </c>
      <c r="D2474" s="16" t="inlineStr">
        <is>
          <t>API slice</t>
        </is>
      </c>
      <c r="E2474" s="17" t="inlineStr">
        <is>
          <t>OrderControllerTest › Place</t>
        </is>
      </c>
      <c r="F2474" s="17" t="inlineStr">
        <is>
          <t>POST /v1/orders</t>
        </is>
      </c>
      <c r="G2474" s="17" t="inlineStr">
        <is>
          <t>201 kèm link thanh toán; userId lấy từ token, KHÔNG từ body</t>
        </is>
      </c>
      <c r="H2474" s="17" t="inlineStr">
        <is>
          <t>dat_don_thanh_cong</t>
        </is>
      </c>
      <c r="I2474" s="16" t="inlineStr">
        <is>
          <t>Đạt</t>
        </is>
      </c>
      <c r="J2474" s="16" t="n">
        <v>0.015</v>
      </c>
    </row>
    <row r="2475">
      <c r="A2475" s="16" t="n">
        <v>2471</v>
      </c>
      <c r="B2475" s="16" t="inlineStr">
        <is>
          <t>Backend</t>
        </is>
      </c>
      <c r="C2475" s="17" t="inlineStr">
        <is>
          <t>ordering-service</t>
        </is>
      </c>
      <c r="D2475" s="16" t="inlineStr">
        <is>
          <t>API slice</t>
        </is>
      </c>
      <c r="E2475" s="17" t="inlineStr">
        <is>
          <t>OrderControllerTest › Place</t>
        </is>
      </c>
      <c r="F2475" s="17" t="inlineStr">
        <is>
          <t>POST /v1/orders</t>
        </is>
      </c>
      <c r="G2475" s="17" t="inlineStr">
        <is>
          <t>Thiếu holdId: 400 VALIDATION_FAILED chỉ ra đúng trường</t>
        </is>
      </c>
      <c r="H2475" s="17" t="inlineStr">
        <is>
          <t>thieu_hold_id</t>
        </is>
      </c>
      <c r="I2475" s="16" t="inlineStr">
        <is>
          <t>Đạt</t>
        </is>
      </c>
      <c r="J2475" s="16" t="n">
        <v>0.008999999999999999</v>
      </c>
    </row>
    <row r="2476">
      <c r="A2476" s="16" t="n">
        <v>2472</v>
      </c>
      <c r="B2476" s="16" t="inlineStr">
        <is>
          <t>Backend</t>
        </is>
      </c>
      <c r="C2476" s="17" t="inlineStr">
        <is>
          <t>ordering-service</t>
        </is>
      </c>
      <c r="D2476" s="16" t="inlineStr">
        <is>
          <t>API slice</t>
        </is>
      </c>
      <c r="E2476" s="17" t="inlineStr">
        <is>
          <t>OrderControllerTest › Place</t>
        </is>
      </c>
      <c r="F2476" s="17" t="inlineStr">
        <is>
          <t>POST /v1/orders</t>
        </is>
      </c>
      <c r="G2476" s="17" t="inlineStr">
        <is>
          <t>Lỗi nghiệp vụ của saga đi ra đúng mã và HTTP status</t>
        </is>
      </c>
      <c r="H2476" s="17" t="inlineStr">
        <is>
          <t>loi_nghiep_vu_ra_dung_ma</t>
        </is>
      </c>
      <c r="I2476" s="16" t="inlineStr">
        <is>
          <t>Đạt</t>
        </is>
      </c>
      <c r="J2476" s="16" t="n">
        <v>0.022</v>
      </c>
    </row>
    <row r="2477">
      <c r="A2477" s="16" t="n">
        <v>2473</v>
      </c>
      <c r="B2477" s="16" t="inlineStr">
        <is>
          <t>Backend</t>
        </is>
      </c>
      <c r="C2477" s="17" t="inlineStr">
        <is>
          <t>ordering-service</t>
        </is>
      </c>
      <c r="D2477" s="16" t="inlineStr">
        <is>
          <t>API slice</t>
        </is>
      </c>
      <c r="E2477" s="17" t="inlineStr">
        <is>
          <t>OrderControllerTest › Place</t>
        </is>
      </c>
      <c r="F2477" s="17" t="inlineStr">
        <is>
          <t>POST /v1/orders</t>
        </is>
      </c>
      <c r="G2477" s="17" t="inlineStr">
        <is>
          <t>Thiếu Idempotency-Key: 400 IDEMPOTENCY_KEY_REQUIRED, saga không chạy</t>
        </is>
      </c>
      <c r="H2477" s="17" t="inlineStr">
        <is>
          <t>thieu_idempotency_key</t>
        </is>
      </c>
      <c r="I2477" s="16" t="inlineStr">
        <is>
          <t>Đạt</t>
        </is>
      </c>
      <c r="J2477" s="16" t="n">
        <v>0.01</v>
      </c>
    </row>
    <row r="2478">
      <c r="A2478" s="16" t="n">
        <v>2474</v>
      </c>
      <c r="B2478" s="16" t="inlineStr">
        <is>
          <t>Backend</t>
        </is>
      </c>
      <c r="C2478" s="17" t="inlineStr">
        <is>
          <t>ordering-service</t>
        </is>
      </c>
      <c r="D2478" s="16" t="inlineStr">
        <is>
          <t>API slice</t>
        </is>
      </c>
      <c r="E2478" s="17" t="inlineStr">
        <is>
          <t>OrderControllerTest › Read</t>
        </is>
      </c>
      <c r="F2478" s="17" t="inlineStr">
        <is>
          <t>Đọc đơn</t>
        </is>
      </c>
      <c r="G2478" s="17" t="inlineStr">
        <is>
          <t>GET đơn: hỏi tầng application với userId của token</t>
        </is>
      </c>
      <c r="H2478" s="17" t="inlineStr">
        <is>
          <t>doc_don_cua_minh</t>
        </is>
      </c>
      <c r="I2478" s="16" t="inlineStr">
        <is>
          <t>Đạt</t>
        </is>
      </c>
      <c r="J2478" s="16" t="n">
        <v>0.018</v>
      </c>
    </row>
    <row r="2479">
      <c r="A2479" s="16" t="n">
        <v>2475</v>
      </c>
      <c r="B2479" s="16" t="inlineStr">
        <is>
          <t>Backend</t>
        </is>
      </c>
      <c r="C2479" s="17" t="inlineStr">
        <is>
          <t>ordering-service</t>
        </is>
      </c>
      <c r="D2479" s="16" t="inlineStr">
        <is>
          <t>API slice</t>
        </is>
      </c>
      <c r="E2479" s="17" t="inlineStr">
        <is>
          <t>OrderControllerTest › Read</t>
        </is>
      </c>
      <c r="F2479" s="17" t="inlineStr">
        <is>
          <t>Đọc đơn</t>
        </is>
      </c>
      <c r="G2479" s="17" t="inlineStr">
        <is>
          <t>limit/offset âm không bao giờ xuống tới truy vấn</t>
        </is>
      </c>
      <c r="H2479" s="17" t="inlineStr">
        <is>
          <t>limit_am_khong_xuong_truy_van</t>
        </is>
      </c>
      <c r="I2479" s="16" t="inlineStr">
        <is>
          <t>Đạt</t>
        </is>
      </c>
      <c r="J2479" s="16" t="n">
        <v>0.016</v>
      </c>
    </row>
    <row r="2480">
      <c r="A2480" s="16" t="n">
        <v>2476</v>
      </c>
      <c r="B2480" s="16" t="inlineStr">
        <is>
          <t>Backend</t>
        </is>
      </c>
      <c r="C2480" s="17" t="inlineStr">
        <is>
          <t>ordering-service</t>
        </is>
      </c>
      <c r="D2480" s="16" t="inlineStr">
        <is>
          <t>API slice</t>
        </is>
      </c>
      <c r="E2480" s="17" t="inlineStr">
        <is>
          <t>OrderControllerTest › Read</t>
        </is>
      </c>
      <c r="F2480" s="17" t="inlineStr">
        <is>
          <t>Đọc đơn</t>
        </is>
      </c>
      <c r="G2480" s="17" t="inlineStr">
        <is>
          <t>Danh sách: mặc định 20/0; limit lớn bị kẹp về 100</t>
        </is>
      </c>
      <c r="H2480" s="17" t="inlineStr">
        <is>
          <t>danh_sach_kep_limit</t>
        </is>
      </c>
      <c r="I2480" s="16" t="inlineStr">
        <is>
          <t>Đạt</t>
        </is>
      </c>
      <c r="J2480" s="16" t="n">
        <v>0.011</v>
      </c>
    </row>
    <row r="2481">
      <c r="A2481" s="16" t="n">
        <v>2477</v>
      </c>
      <c r="B2481" s="16" t="inlineStr">
        <is>
          <t>Backend</t>
        </is>
      </c>
      <c r="C2481" s="17" t="inlineStr">
        <is>
          <t>ordering-service</t>
        </is>
      </c>
      <c r="D2481" s="16" t="inlineStr">
        <is>
          <t>API slice</t>
        </is>
      </c>
      <c r="E2481" s="17" t="inlineStr">
        <is>
          <t>OrderControllerTest › Read</t>
        </is>
      </c>
      <c r="F2481" s="17" t="inlineStr">
        <is>
          <t>Đọc đơn</t>
        </is>
      </c>
      <c r="G2481" s="17" t="inlineStr">
        <is>
          <t>limit không phải số: 400</t>
        </is>
      </c>
      <c r="H2481" s="17" t="inlineStr">
        <is>
          <t>limit_khong_phai_so</t>
        </is>
      </c>
      <c r="I2481" s="16" t="inlineStr">
        <is>
          <t>Đạt</t>
        </is>
      </c>
      <c r="J2481" s="16" t="n">
        <v>0.013</v>
      </c>
    </row>
    <row r="2482">
      <c r="A2482" s="16" t="n">
        <v>2478</v>
      </c>
      <c r="B2482" s="16" t="inlineStr">
        <is>
          <t>Backend</t>
        </is>
      </c>
      <c r="C2482" s="17" t="inlineStr">
        <is>
          <t>ordering-service</t>
        </is>
      </c>
      <c r="D2482" s="16" t="inlineStr">
        <is>
          <t>API slice</t>
        </is>
      </c>
      <c r="E2482" s="17" t="inlineStr">
        <is>
          <t>OrderControllerTest › Read</t>
        </is>
      </c>
      <c r="F2482" s="17" t="inlineStr">
        <is>
          <t>Đọc đơn</t>
        </is>
      </c>
      <c r="G2482" s="17" t="inlineStr">
        <is>
          <t>orderId sai định dạng: lỗi của người gọi (4xx), không phải 500</t>
        </is>
      </c>
      <c r="H2482" s="17" t="inlineStr">
        <is>
          <t>order_id_sai_dinh_dang</t>
        </is>
      </c>
      <c r="I2482" s="16" t="inlineStr">
        <is>
          <t>Đạt</t>
        </is>
      </c>
      <c r="J2482" s="16" t="n">
        <v>0.011</v>
      </c>
    </row>
    <row r="2483">
      <c r="A2483" s="16" t="n">
        <v>2479</v>
      </c>
      <c r="B2483" s="16" t="inlineStr">
        <is>
          <t>Backend</t>
        </is>
      </c>
      <c r="C2483" s="17" t="inlineStr">
        <is>
          <t>ordering-service</t>
        </is>
      </c>
      <c r="D2483" s="16" t="inlineStr">
        <is>
          <t>API slice</t>
        </is>
      </c>
      <c r="E2483" s="17" t="inlineStr">
        <is>
          <t>OrderControllerTest › Read</t>
        </is>
      </c>
      <c r="F2483" s="17" t="inlineStr">
        <is>
          <t>Đọc đơn</t>
        </is>
      </c>
      <c r="G2483" s="17" t="inlineStr">
        <is>
          <t>GET đơn của người khác: 404 ORDER_NOT_FOUND</t>
        </is>
      </c>
      <c r="H2483" s="17" t="inlineStr">
        <is>
          <t>doc_don_nguoi_khac</t>
        </is>
      </c>
      <c r="I2483" s="16" t="inlineStr">
        <is>
          <t>Đạt</t>
        </is>
      </c>
      <c r="J2483" s="16" t="n">
        <v>0.01</v>
      </c>
    </row>
    <row r="2484">
      <c r="A2484" s="16" t="n">
        <v>2480</v>
      </c>
      <c r="B2484" s="16" t="inlineStr">
        <is>
          <t>Backend</t>
        </is>
      </c>
      <c r="C2484" s="17" t="inlineStr">
        <is>
          <t>ordering-service</t>
        </is>
      </c>
      <c r="D2484" s="16" t="inlineStr">
        <is>
          <t>API slice</t>
        </is>
      </c>
      <c r="E2484" s="17" t="inlineStr">
        <is>
          <t>OrganizationStatsControllerTest › Authorization</t>
        </is>
      </c>
      <c r="F2484" s="17" t="inlineStr">
        <is>
          <t>Phân quyền</t>
        </is>
      </c>
      <c r="G2484" s="17" t="inlineStr">
        <is>
          <t>Khách mua vé (không thuộc tổ chức nào): 404</t>
        </is>
      </c>
      <c r="H2484" s="17" t="inlineStr">
        <is>
          <t>khach_404</t>
        </is>
      </c>
      <c r="I2484" s="16" t="inlineStr">
        <is>
          <t>Đạt</t>
        </is>
      </c>
      <c r="J2484" s="16" t="n">
        <v>0.005</v>
      </c>
    </row>
    <row r="2485">
      <c r="A2485" s="16" t="n">
        <v>2481</v>
      </c>
      <c r="B2485" s="16" t="inlineStr">
        <is>
          <t>Backend</t>
        </is>
      </c>
      <c r="C2485" s="17" t="inlineStr">
        <is>
          <t>ordering-service</t>
        </is>
      </c>
      <c r="D2485" s="16" t="inlineStr">
        <is>
          <t>API slice</t>
        </is>
      </c>
      <c r="E2485" s="17" t="inlineStr">
        <is>
          <t>OrganizationStatsControllerTest › Authorization</t>
        </is>
      </c>
      <c r="F2485" s="17" t="inlineStr">
        <is>
          <t>Phân quyền</t>
        </is>
      </c>
      <c r="G2485" s="17" t="inlineStr">
        <is>
          <t>Mã tổ chức mã hoá phần trăm (vượt rào kiểu TenantPath): 404</t>
        </is>
      </c>
      <c r="H2485" s="17" t="inlineStr">
        <is>
          <t>ma_hoa_phan_tram_404</t>
        </is>
      </c>
      <c r="I2485" s="16" t="inlineStr">
        <is>
          <t>Đạt</t>
        </is>
      </c>
      <c r="J2485" s="16" t="n">
        <v>0.006</v>
      </c>
    </row>
    <row r="2486">
      <c r="A2486" s="16" t="n">
        <v>2482</v>
      </c>
      <c r="B2486" s="16" t="inlineStr">
        <is>
          <t>Backend</t>
        </is>
      </c>
      <c r="C2486" s="17" t="inlineStr">
        <is>
          <t>ordering-service</t>
        </is>
      </c>
      <c r="D2486" s="16" t="inlineStr">
        <is>
          <t>API slice</t>
        </is>
      </c>
      <c r="E2486" s="17" t="inlineStr">
        <is>
          <t>OrganizationStatsControllerTest › Authorization</t>
        </is>
      </c>
      <c r="F2486" s="17" t="inlineStr">
        <is>
          <t>Phân quyền</t>
        </is>
      </c>
      <c r="G2486" s="17" t="inlineStr">
        <is>
          <t>Superadmin không phải thành viên: route tổ chức vẫn 404 — đường của họ là /v1/platform/**</t>
        </is>
      </c>
      <c r="H2486" s="17" t="inlineStr">
        <is>
          <t>superadmin_khong_phai_thanh_vien</t>
        </is>
      </c>
      <c r="I2486" s="16" t="inlineStr">
        <is>
          <t>Đạt</t>
        </is>
      </c>
      <c r="J2486" s="16" t="n">
        <v>0.004</v>
      </c>
    </row>
    <row r="2487">
      <c r="A2487" s="16" t="n">
        <v>2483</v>
      </c>
      <c r="B2487" s="16" t="inlineStr">
        <is>
          <t>Backend</t>
        </is>
      </c>
      <c r="C2487" s="17" t="inlineStr">
        <is>
          <t>ordering-service</t>
        </is>
      </c>
      <c r="D2487" s="16" t="inlineStr">
        <is>
          <t>API slice</t>
        </is>
      </c>
      <c r="E2487" s="17" t="inlineStr">
        <is>
          <t>OrganizationStatsControllerTest › Authorization</t>
        </is>
      </c>
      <c r="F2487" s="17" t="inlineStr">
        <is>
          <t>Phân quyền</t>
        </is>
      </c>
      <c r="G2487" s="17" t="inlineStr">
        <is>
          <t>Vai trò có CATALOG_MANAGE: 200, truy vấn đúng tổ chức trên đường dẫn</t>
        </is>
      </c>
      <c r="H2487" s="17" t="inlineStr">
        <is>
          <t>vai_tro_du_quyen(Role)[1]</t>
        </is>
      </c>
      <c r="I2487" s="16" t="inlineStr">
        <is>
          <t>Đạt</t>
        </is>
      </c>
      <c r="J2487" s="16" t="n">
        <v>0.017</v>
      </c>
    </row>
    <row r="2488">
      <c r="A2488" s="16" t="n">
        <v>2484</v>
      </c>
      <c r="B2488" s="16" t="inlineStr">
        <is>
          <t>Backend</t>
        </is>
      </c>
      <c r="C2488" s="17" t="inlineStr">
        <is>
          <t>ordering-service</t>
        </is>
      </c>
      <c r="D2488" s="16" t="inlineStr">
        <is>
          <t>API slice</t>
        </is>
      </c>
      <c r="E2488" s="17" t="inlineStr">
        <is>
          <t>OrganizationStatsControllerTest › Authorization</t>
        </is>
      </c>
      <c r="F2488" s="17" t="inlineStr">
        <is>
          <t>Phân quyền</t>
        </is>
      </c>
      <c r="G2488" s="17" t="inlineStr">
        <is>
          <t>Vai trò có CATALOG_MANAGE: 200, truy vấn đúng tổ chức trên đường dẫn</t>
        </is>
      </c>
      <c r="H2488" s="17" t="inlineStr">
        <is>
          <t>vai_tro_du_quyen(Role)[2]</t>
        </is>
      </c>
      <c r="I2488" s="16" t="inlineStr">
        <is>
          <t>Đạt</t>
        </is>
      </c>
      <c r="J2488" s="16" t="n">
        <v>0.007</v>
      </c>
    </row>
    <row r="2489">
      <c r="A2489" s="16" t="n">
        <v>2485</v>
      </c>
      <c r="B2489" s="16" t="inlineStr">
        <is>
          <t>Backend</t>
        </is>
      </c>
      <c r="C2489" s="17" t="inlineStr">
        <is>
          <t>ordering-service</t>
        </is>
      </c>
      <c r="D2489" s="16" t="inlineStr">
        <is>
          <t>API slice</t>
        </is>
      </c>
      <c r="E2489" s="17" t="inlineStr">
        <is>
          <t>OrganizationStatsControllerTest › Authorization</t>
        </is>
      </c>
      <c r="F2489" s="17" t="inlineStr">
        <is>
          <t>Phân quyền</t>
        </is>
      </c>
      <c r="G2489" s="17" t="inlineStr">
        <is>
          <t>Vai trò có CATALOG_MANAGE: 200, truy vấn đúng tổ chức trên đường dẫn</t>
        </is>
      </c>
      <c r="H2489" s="17" t="inlineStr">
        <is>
          <t>vai_tro_du_quyen(Role)[3]</t>
        </is>
      </c>
      <c r="I2489" s="16" t="inlineStr">
        <is>
          <t>Đạt</t>
        </is>
      </c>
      <c r="J2489" s="16" t="n">
        <v>0.01</v>
      </c>
    </row>
    <row r="2490">
      <c r="A2490" s="16" t="n">
        <v>2486</v>
      </c>
      <c r="B2490" s="16" t="inlineStr">
        <is>
          <t>Backend</t>
        </is>
      </c>
      <c r="C2490" s="17" t="inlineStr">
        <is>
          <t>ordering-service</t>
        </is>
      </c>
      <c r="D2490" s="16" t="inlineStr">
        <is>
          <t>API slice</t>
        </is>
      </c>
      <c r="E2490" s="17" t="inlineStr">
        <is>
          <t>OrganizationStatsControllerTest › Authorization</t>
        </is>
      </c>
      <c r="F2490" s="17" t="inlineStr">
        <is>
          <t>Phân quyền</t>
        </is>
      </c>
      <c r="G2490" s="17" t="inlineStr">
        <is>
          <t>Không token: 401</t>
        </is>
      </c>
      <c r="H2490" s="17" t="inlineStr">
        <is>
          <t>khong_token</t>
        </is>
      </c>
      <c r="I2490" s="16" t="inlineStr">
        <is>
          <t>Đạt</t>
        </is>
      </c>
      <c r="J2490" s="16" t="n">
        <v>0.003</v>
      </c>
    </row>
    <row r="2491">
      <c r="A2491" s="16" t="n">
        <v>2487</v>
      </c>
      <c r="B2491" s="16" t="inlineStr">
        <is>
          <t>Backend</t>
        </is>
      </c>
      <c r="C2491" s="17" t="inlineStr">
        <is>
          <t>ordering-service</t>
        </is>
      </c>
      <c r="D2491" s="16" t="inlineStr">
        <is>
          <t>API slice</t>
        </is>
      </c>
      <c r="E2491" s="17" t="inlineStr">
        <is>
          <t>OrganizationStatsControllerTest › Authorization</t>
        </is>
      </c>
      <c r="F2491" s="17" t="inlineStr">
        <is>
          <t>Phân quyền</t>
        </is>
      </c>
      <c r="G2491" s="17" t="inlineStr">
        <is>
          <t>Thành viên tổ chức KHÁC: 404 — không xác nhận tổ chức này tồn tại</t>
        </is>
      </c>
      <c r="H2491" s="17" t="inlineStr">
        <is>
          <t>to_chuc_khac_404</t>
        </is>
      </c>
      <c r="I2491" s="16" t="inlineStr">
        <is>
          <t>Đạt</t>
        </is>
      </c>
      <c r="J2491" s="16" t="n">
        <v>0.004</v>
      </c>
    </row>
    <row r="2492">
      <c r="A2492" s="16" t="n">
        <v>2488</v>
      </c>
      <c r="B2492" s="16" t="inlineStr">
        <is>
          <t>Backend</t>
        </is>
      </c>
      <c r="C2492" s="17" t="inlineStr">
        <is>
          <t>ordering-service</t>
        </is>
      </c>
      <c r="D2492" s="16" t="inlineStr">
        <is>
          <t>API slice</t>
        </is>
      </c>
      <c r="E2492" s="17" t="inlineStr">
        <is>
          <t>OrganizationStatsControllerTest › Authorization</t>
        </is>
      </c>
      <c r="F2492" s="17" t="inlineStr">
        <is>
          <t>Phân quyền</t>
        </is>
      </c>
      <c r="G2492" s="17" t="inlineStr">
        <is>
          <t>Nhân viên soát vé là thành viên nhưng thiếu CATALOG_MANAGE: 403 FORBIDDEN</t>
        </is>
      </c>
      <c r="H2492" s="17" t="inlineStr">
        <is>
          <t>soat_ve_403</t>
        </is>
      </c>
      <c r="I2492" s="16" t="inlineStr">
        <is>
          <t>Đạt</t>
        </is>
      </c>
      <c r="J2492" s="16" t="n">
        <v>0.007</v>
      </c>
    </row>
    <row r="2493">
      <c r="A2493" s="16" t="n">
        <v>2489</v>
      </c>
      <c r="B2493" s="16" t="inlineStr">
        <is>
          <t>Backend</t>
        </is>
      </c>
      <c r="C2493" s="17" t="inlineStr">
        <is>
          <t>ordering-service</t>
        </is>
      </c>
      <c r="D2493" s="16" t="inlineStr">
        <is>
          <t>API slice</t>
        </is>
      </c>
      <c r="E2493" s="17" t="inlineStr">
        <is>
          <t>OrganizationStatsControllerTest › Validation</t>
        </is>
      </c>
      <c r="F2493" s="17" t="inlineStr">
        <is>
          <t>Kiểm tham số</t>
        </is>
      </c>
      <c r="G2493" s="17" t="inlineStr">
        <is>
          <t>Bộ lọc nhiều giá trị được đọc thành danh sách UUID</t>
        </is>
      </c>
      <c r="H2493" s="17" t="inlineStr">
        <is>
          <t>bo_loc_nhieu_gia_tri</t>
        </is>
      </c>
      <c r="I2493" s="16" t="inlineStr">
        <is>
          <t>Đạt</t>
        </is>
      </c>
      <c r="J2493" s="16" t="n">
        <v>0.023</v>
      </c>
    </row>
    <row r="2494">
      <c r="A2494" s="16" t="n">
        <v>2490</v>
      </c>
      <c r="B2494" s="16" t="inlineStr">
        <is>
          <t>Backend</t>
        </is>
      </c>
      <c r="C2494" s="17" t="inlineStr">
        <is>
          <t>ordering-service</t>
        </is>
      </c>
      <c r="D2494" s="16" t="inlineStr">
        <is>
          <t>API slice</t>
        </is>
      </c>
      <c r="E2494" s="17" t="inlineStr">
        <is>
          <t>OrganizationStatsControllerTest › Validation</t>
        </is>
      </c>
      <c r="F2494" s="17" t="inlineStr">
        <is>
          <t>Kiểm tham số</t>
        </is>
      </c>
      <c r="G2494" s="17" t="inlineStr">
        <is>
          <t>Lỗi kiểm tra từ tầng query (kỳ quá dài) đi ra 400 RFC 7807</t>
        </is>
      </c>
      <c r="H2494" s="17" t="inlineStr">
        <is>
          <t>loi_tu_query_ra_400</t>
        </is>
      </c>
      <c r="I2494" s="16" t="inlineStr">
        <is>
          <t>Đạt</t>
        </is>
      </c>
      <c r="J2494" s="16" t="n">
        <v>0.015</v>
      </c>
    </row>
    <row r="2495">
      <c r="A2495" s="16" t="n">
        <v>2491</v>
      </c>
      <c r="B2495" s="16" t="inlineStr">
        <is>
          <t>Backend</t>
        </is>
      </c>
      <c r="C2495" s="17" t="inlineStr">
        <is>
          <t>ordering-service</t>
        </is>
      </c>
      <c r="D2495" s="16" t="inlineStr">
        <is>
          <t>API slice</t>
        </is>
      </c>
      <c r="E2495" s="17" t="inlineStr">
        <is>
          <t>OrganizationStatsControllerTest › Validation</t>
        </is>
      </c>
      <c r="F2495" s="17" t="inlineStr">
        <is>
          <t>Kiểm tham số</t>
        </is>
      </c>
      <c r="G2495" s="17" t="inlineStr">
        <is>
          <t>Mã sự kiện trong bộ lọc không phải UUID: 400</t>
        </is>
      </c>
      <c r="H2495" s="17" t="inlineStr">
        <is>
          <t>ma_loc_sai</t>
        </is>
      </c>
      <c r="I2495" s="16" t="inlineStr">
        <is>
          <t>Đạt</t>
        </is>
      </c>
      <c r="J2495" s="16" t="n">
        <v>0.01</v>
      </c>
    </row>
    <row r="2496">
      <c r="A2496" s="16" t="n">
        <v>2492</v>
      </c>
      <c r="B2496" s="16" t="inlineStr">
        <is>
          <t>Backend</t>
        </is>
      </c>
      <c r="C2496" s="17" t="inlineStr">
        <is>
          <t>ordering-service</t>
        </is>
      </c>
      <c r="D2496" s="16" t="inlineStr">
        <is>
          <t>API slice</t>
        </is>
      </c>
      <c r="E2496" s="17" t="inlineStr">
        <is>
          <t>OrganizationStatsControllerTest › Validation</t>
        </is>
      </c>
      <c r="F2496" s="17" t="inlineStr">
        <is>
          <t>Kiểm tham số</t>
        </is>
      </c>
      <c r="G2496" s="17" t="inlineStr">
        <is>
          <t>bucket mặc định là day, compare mặc định false</t>
        </is>
      </c>
      <c r="H2496" s="17" t="inlineStr">
        <is>
          <t>mac_dinh_timeseries</t>
        </is>
      </c>
      <c r="I2496" s="16" t="inlineStr">
        <is>
          <t>Đạt</t>
        </is>
      </c>
      <c r="J2496" s="16" t="n">
        <v>0.016</v>
      </c>
    </row>
    <row r="2497">
      <c r="A2497" s="16" t="n">
        <v>2493</v>
      </c>
      <c r="B2497" s="16" t="inlineStr">
        <is>
          <t>Backend</t>
        </is>
      </c>
      <c r="C2497" s="17" t="inlineStr">
        <is>
          <t>ordering-service</t>
        </is>
      </c>
      <c r="D2497" s="16" t="inlineStr">
        <is>
          <t>API slice</t>
        </is>
      </c>
      <c r="E2497" s="17" t="inlineStr">
        <is>
          <t>OrganizationStatsControllerTest › Validation</t>
        </is>
      </c>
      <c r="F2497" s="17" t="inlineStr">
        <is>
          <t>Kiểm tham số</t>
        </is>
      </c>
      <c r="G2497" s="17" t="inlineStr">
        <is>
          <t>Thiếu tham số bắt buộc from: lỗi của người gọi (400), không phải 500</t>
        </is>
      </c>
      <c r="H2497" s="17" t="inlineStr">
        <is>
          <t>thieu_from</t>
        </is>
      </c>
      <c r="I2497" s="16" t="inlineStr">
        <is>
          <t>Đạt</t>
        </is>
      </c>
      <c r="J2497" s="16" t="n">
        <v>0.008999999999999999</v>
      </c>
    </row>
    <row r="2498">
      <c r="A2498" s="16" t="n">
        <v>2494</v>
      </c>
      <c r="B2498" s="16" t="inlineStr">
        <is>
          <t>Backend</t>
        </is>
      </c>
      <c r="C2498" s="17" t="inlineStr">
        <is>
          <t>ordering-service</t>
        </is>
      </c>
      <c r="D2498" s="16" t="inlineStr">
        <is>
          <t>API slice</t>
        </is>
      </c>
      <c r="E2498" s="17" t="inlineStr">
        <is>
          <t>OrganizationStatsControllerTest › Validation</t>
        </is>
      </c>
      <c r="F2498" s="17" t="inlineStr">
        <is>
          <t>Kiểm tham số</t>
        </is>
      </c>
      <c r="G2498" s="17" t="inlineStr">
        <is>
          <t>Ngày sai định dạng: 400 VALIDATION_FAILED, không chạm truy vấn</t>
        </is>
      </c>
      <c r="H2498" s="17" t="inlineStr">
        <is>
          <t>ngay_sai_dinh_dang(String)[1]</t>
        </is>
      </c>
      <c r="I2498" s="16" t="inlineStr">
        <is>
          <t>Đạt</t>
        </is>
      </c>
      <c r="J2498" s="16" t="n">
        <v>0.013</v>
      </c>
    </row>
    <row r="2499">
      <c r="A2499" s="16" t="n">
        <v>2495</v>
      </c>
      <c r="B2499" s="16" t="inlineStr">
        <is>
          <t>Backend</t>
        </is>
      </c>
      <c r="C2499" s="17" t="inlineStr">
        <is>
          <t>ordering-service</t>
        </is>
      </c>
      <c r="D2499" s="16" t="inlineStr">
        <is>
          <t>API slice</t>
        </is>
      </c>
      <c r="E2499" s="17" t="inlineStr">
        <is>
          <t>OrganizationStatsControllerTest › Validation</t>
        </is>
      </c>
      <c r="F2499" s="17" t="inlineStr">
        <is>
          <t>Kiểm tham số</t>
        </is>
      </c>
      <c r="G2499" s="17" t="inlineStr">
        <is>
          <t>Ngày sai định dạng: 400 VALIDATION_FAILED, không chạm truy vấn</t>
        </is>
      </c>
      <c r="H2499" s="17" t="inlineStr">
        <is>
          <t>ngay_sai_dinh_dang(String)[2]</t>
        </is>
      </c>
      <c r="I2499" s="16" t="inlineStr">
        <is>
          <t>Đạt</t>
        </is>
      </c>
      <c r="J2499" s="16" t="n">
        <v>0.008</v>
      </c>
    </row>
    <row r="2500">
      <c r="A2500" s="16" t="n">
        <v>2496</v>
      </c>
      <c r="B2500" s="16" t="inlineStr">
        <is>
          <t>Backend</t>
        </is>
      </c>
      <c r="C2500" s="17" t="inlineStr">
        <is>
          <t>ordering-service</t>
        </is>
      </c>
      <c r="D2500" s="16" t="inlineStr">
        <is>
          <t>API slice</t>
        </is>
      </c>
      <c r="E2500" s="17" t="inlineStr">
        <is>
          <t>OrganizationStatsControllerTest › Validation</t>
        </is>
      </c>
      <c r="F2500" s="17" t="inlineStr">
        <is>
          <t>Kiểm tham số</t>
        </is>
      </c>
      <c r="G2500" s="17" t="inlineStr">
        <is>
          <t>Ngày sai định dạng: 400 VALIDATION_FAILED, không chạm truy vấn</t>
        </is>
      </c>
      <c r="H2500" s="17" t="inlineStr">
        <is>
          <t>ngay_sai_dinh_dang(String)[3]</t>
        </is>
      </c>
      <c r="I2500" s="16" t="inlineStr">
        <is>
          <t>Đạt</t>
        </is>
      </c>
      <c r="J2500" s="16" t="n">
        <v>0.01</v>
      </c>
    </row>
    <row r="2501">
      <c r="A2501" s="16" t="n">
        <v>2497</v>
      </c>
      <c r="B2501" s="16" t="inlineStr">
        <is>
          <t>Backend</t>
        </is>
      </c>
      <c r="C2501" s="17" t="inlineStr">
        <is>
          <t>ordering-service</t>
        </is>
      </c>
      <c r="D2501" s="16" t="inlineStr">
        <is>
          <t>API slice</t>
        </is>
      </c>
      <c r="E2501" s="17" t="inlineStr">
        <is>
          <t>OrganizationStatsControllerTest › Validation</t>
        </is>
      </c>
      <c r="F2501" s="17" t="inlineStr">
        <is>
          <t>Kiểm tham số</t>
        </is>
      </c>
      <c r="G2501" s="17" t="inlineStr">
        <is>
          <t>Ngày sai định dạng: 400 VALIDATION_FAILED, không chạm truy vấn</t>
        </is>
      </c>
      <c r="H2501" s="17" t="inlineStr">
        <is>
          <t>ngay_sai_dinh_dang(String)[4]</t>
        </is>
      </c>
      <c r="I2501" s="16" t="inlineStr">
        <is>
          <t>Đạt</t>
        </is>
      </c>
      <c r="J2501" s="16" t="n">
        <v>0.008999999999999999</v>
      </c>
    </row>
    <row r="2502">
      <c r="A2502" s="16" t="n">
        <v>2498</v>
      </c>
      <c r="B2502" s="16" t="inlineStr">
        <is>
          <t>Backend</t>
        </is>
      </c>
      <c r="C2502" s="17" t="inlineStr">
        <is>
          <t>ordering-service</t>
        </is>
      </c>
      <c r="D2502" s="16" t="inlineStr">
        <is>
          <t>API slice</t>
        </is>
      </c>
      <c r="E2502" s="17" t="inlineStr">
        <is>
          <t>OrganizationStatsControllerTest › Validation</t>
        </is>
      </c>
      <c r="F2502" s="17" t="inlineStr">
        <is>
          <t>Kiểm tham số</t>
        </is>
      </c>
      <c r="G2502" s="17" t="inlineStr">
        <is>
          <t>Danh sách đơn: mặc định trang 0 cỡ 20, chuyển nguyên trạng thái và từ khoá xuống</t>
        </is>
      </c>
      <c r="H2502" s="17" t="inlineStr">
        <is>
          <t>danh_sach_mac_dinh</t>
        </is>
      </c>
      <c r="I2502" s="16" t="inlineStr">
        <is>
          <t>Đạt</t>
        </is>
      </c>
      <c r="J2502" s="16" t="n">
        <v>0.017</v>
      </c>
    </row>
    <row r="2503">
      <c r="A2503" s="16" t="n">
        <v>2499</v>
      </c>
      <c r="B2503" s="16" t="inlineStr">
        <is>
          <t>Backend</t>
        </is>
      </c>
      <c r="C2503" s="17" t="inlineStr">
        <is>
          <t>payment-service</t>
        </is>
      </c>
      <c r="D2503" s="16" t="inlineStr">
        <is>
          <t>Unit</t>
        </is>
      </c>
      <c r="E2503" s="17" t="inlineStr">
        <is>
          <t>CancelIntentHandlerTest › DuongThuong</t>
        </is>
      </c>
      <c r="F2503" s="17" t="inlineStr">
        <is>
          <t>Đường thường</t>
        </is>
      </c>
      <c r="G2503" s="17" t="inlineStr">
        <is>
          <t>Intent PENDING: huỷ, ghi mốc huỷ từ Clock, đóng đúng link payOS của nó</t>
        </is>
      </c>
      <c r="H2503" s="17" t="inlineStr">
        <is>
          <t>huy_va_dong_link</t>
        </is>
      </c>
      <c r="I2503" s="16" t="inlineStr">
        <is>
          <t>Đạt</t>
        </is>
      </c>
      <c r="J2503" s="16" t="n">
        <v>0.01</v>
      </c>
    </row>
    <row r="2504">
      <c r="A2504" s="16" t="n">
        <v>2500</v>
      </c>
      <c r="B2504" s="16" t="inlineStr">
        <is>
          <t>Backend</t>
        </is>
      </c>
      <c r="C2504" s="17" t="inlineStr">
        <is>
          <t>payment-service</t>
        </is>
      </c>
      <c r="D2504" s="16" t="inlineStr">
        <is>
          <t>Unit</t>
        </is>
      </c>
      <c r="E2504" s="17" t="inlineStr">
        <is>
          <t>CancelIntentHandlerTest › KhongCoGiDeLam</t>
        </is>
      </c>
      <c r="F2504" s="17" t="inlineStr">
        <is>
          <t>Không có gì để làm</t>
        </is>
      </c>
      <c r="G2504" s="17" t="inlineStr">
        <is>
          <t>Intent thời SePay (không có link payOS): vẫn huỷ, KHÔNG gọi payOS với mã 0</t>
        </is>
      </c>
      <c r="H2504" s="17" t="inlineStr">
        <is>
          <t>intent_cu_khong_co_link</t>
        </is>
      </c>
      <c r="I2504" s="16" t="inlineStr">
        <is>
          <t>Đạt</t>
        </is>
      </c>
      <c r="J2504" s="16" t="n">
        <v>0.014</v>
      </c>
    </row>
    <row r="2505">
      <c r="A2505" s="16" t="n">
        <v>2501</v>
      </c>
      <c r="B2505" s="16" t="inlineStr">
        <is>
          <t>Backend</t>
        </is>
      </c>
      <c r="C2505" s="17" t="inlineStr">
        <is>
          <t>payment-service</t>
        </is>
      </c>
      <c r="D2505" s="16" t="inlineStr">
        <is>
          <t>Unit</t>
        </is>
      </c>
      <c r="E2505" s="17" t="inlineStr">
        <is>
          <t>CancelIntentHandlerTest › KhongCoGiDeLam</t>
        </is>
      </c>
      <c r="F2505" s="17" t="inlineStr">
        <is>
          <t>Không có gì để làm</t>
        </is>
      </c>
      <c r="G2505" s="17" t="inlineStr">
        <is>
          <t>Thua cuộc đua ghi (tiến trình khác vừa đóng/ xác nhận): false, không đóng link</t>
        </is>
      </c>
      <c r="H2505" s="17" t="inlineStr">
        <is>
          <t>thua_cuoc_dua_ghi</t>
        </is>
      </c>
      <c r="I2505" s="16" t="inlineStr">
        <is>
          <t>Đạt</t>
        </is>
      </c>
      <c r="J2505" s="16" t="n">
        <v>0.005</v>
      </c>
    </row>
    <row r="2506">
      <c r="A2506" s="16" t="n">
        <v>2502</v>
      </c>
      <c r="B2506" s="16" t="inlineStr">
        <is>
          <t>Backend</t>
        </is>
      </c>
      <c r="C2506" s="17" t="inlineStr">
        <is>
          <t>payment-service</t>
        </is>
      </c>
      <c r="D2506" s="16" t="inlineStr">
        <is>
          <t>Unit</t>
        </is>
      </c>
      <c r="E2506" s="17" t="inlineStr">
        <is>
          <t>CancelIntentHandlerTest › KhongCoGiDeLam</t>
        </is>
      </c>
      <c r="F2506" s="17" t="inlineStr">
        <is>
          <t>Không có gì để làm</t>
        </is>
      </c>
      <c r="G2506" s="17" t="inlineStr">
        <is>
          <t>Đã huỷ từ trước: false, không gọi payOS lần hai</t>
        </is>
      </c>
      <c r="H2506" s="17" t="inlineStr">
        <is>
          <t>da_huy_tu_truoc</t>
        </is>
      </c>
      <c r="I2506" s="16" t="inlineStr">
        <is>
          <t>Đạt</t>
        </is>
      </c>
      <c r="J2506" s="16" t="n">
        <v>0.019</v>
      </c>
    </row>
    <row r="2507">
      <c r="A2507" s="16" t="n">
        <v>2503</v>
      </c>
      <c r="B2507" s="16" t="inlineStr">
        <is>
          <t>Backend</t>
        </is>
      </c>
      <c r="C2507" s="17" t="inlineStr">
        <is>
          <t>payment-service</t>
        </is>
      </c>
      <c r="D2507" s="16" t="inlineStr">
        <is>
          <t>Unit</t>
        </is>
      </c>
      <c r="E2507" s="17" t="inlineStr">
        <is>
          <t>CancelIntentHandlerTest › KhongCoGiDeLam</t>
        </is>
      </c>
      <c r="F2507" s="17" t="inlineStr">
        <is>
          <t>Không có gì để làm</t>
        </is>
      </c>
      <c r="G2507" s="17" t="inlineStr">
        <is>
          <t>Đã nhận tiền: false, không ghi gì, không đóng link</t>
        </is>
      </c>
      <c r="H2507" s="17" t="inlineStr">
        <is>
          <t>da_nhan_tien</t>
        </is>
      </c>
      <c r="I2507" s="16" t="inlineStr">
        <is>
          <t>Đạt</t>
        </is>
      </c>
      <c r="J2507" s="16" t="n">
        <v>0.004</v>
      </c>
    </row>
    <row r="2508">
      <c r="A2508" s="16" t="n">
        <v>2504</v>
      </c>
      <c r="B2508" s="16" t="inlineStr">
        <is>
          <t>Backend</t>
        </is>
      </c>
      <c r="C2508" s="17" t="inlineStr">
        <is>
          <t>payment-service</t>
        </is>
      </c>
      <c r="D2508" s="16" t="inlineStr">
        <is>
          <t>Unit</t>
        </is>
      </c>
      <c r="E2508" s="17" t="inlineStr">
        <is>
          <t>CancelIntentHandlerTest › KhongCoGiDeLam</t>
        </is>
      </c>
      <c r="F2508" s="17" t="inlineStr">
        <is>
          <t>Không có gì để làm</t>
        </is>
      </c>
      <c r="G2508" s="17" t="inlineStr">
        <is>
          <t>Không có intent: false, không ném — saga có thể bù trừ việc chưa xảy ra</t>
        </is>
      </c>
      <c r="H2508" s="17" t="inlineStr">
        <is>
          <t>khong_co_intent</t>
        </is>
      </c>
      <c r="I2508" s="16" t="inlineStr">
        <is>
          <t>Đạt</t>
        </is>
      </c>
      <c r="J2508" s="16" t="n">
        <v>0.004</v>
      </c>
    </row>
    <row r="2509">
      <c r="A2509" s="16" t="n">
        <v>2505</v>
      </c>
      <c r="B2509" s="16" t="inlineStr">
        <is>
          <t>Backend</t>
        </is>
      </c>
      <c r="C2509" s="17" t="inlineStr">
        <is>
          <t>payment-service</t>
        </is>
      </c>
      <c r="D2509" s="16" t="inlineStr">
        <is>
          <t>Unit</t>
        </is>
      </c>
      <c r="E2509" s="17" t="inlineStr">
        <is>
          <t>CancelIntentHandlerTest › PhucHoi</t>
        </is>
      </c>
      <c r="F2509" s="17" t="inlineStr">
        <is>
          <t>Phục hồi khi payOS lỗi</t>
        </is>
      </c>
      <c r="G2509" s="17" t="inlineStr">
        <is>
          <t>payOS từ chối đóng link: vẫn true — intent đã CANCELLED, bước bù trừ không được coi là hỏng</t>
        </is>
      </c>
      <c r="H2509" s="17" t="inlineStr">
        <is>
          <t>payos_tu_choi_dong_link</t>
        </is>
      </c>
      <c r="I2509" s="16" t="inlineStr">
        <is>
          <t>Đạt</t>
        </is>
      </c>
      <c r="J2509" s="16" t="n">
        <v>2.071</v>
      </c>
    </row>
    <row r="2510">
      <c r="A2510" s="16" t="n">
        <v>2506</v>
      </c>
      <c r="B2510" s="16" t="inlineStr">
        <is>
          <t>Backend</t>
        </is>
      </c>
      <c r="C2510" s="17" t="inlineStr">
        <is>
          <t>payment-service</t>
        </is>
      </c>
      <c r="D2510" s="16" t="inlineStr">
        <is>
          <t>Unit</t>
        </is>
      </c>
      <c r="E2510" s="17" t="inlineStr">
        <is>
          <t>CancelIntentHandlerTest › PhucHoi</t>
        </is>
      </c>
      <c r="F2510" s="17" t="inlineStr">
        <is>
          <t>Phục hồi khi payOS lỗi</t>
        </is>
      </c>
      <c r="G2510" s="17" t="inlineStr">
        <is>
          <t>payOS không phản hồi khi đóng link: không ném ra ngoài</t>
        </is>
      </c>
      <c r="H2510" s="17" t="inlineStr">
        <is>
          <t>payos_khong_phan_hoi</t>
        </is>
      </c>
      <c r="I2510" s="16" t="inlineStr">
        <is>
          <t>Đạt</t>
        </is>
      </c>
      <c r="J2510" s="16" t="n">
        <v>0.021</v>
      </c>
    </row>
    <row r="2511">
      <c r="A2511" s="16" t="n">
        <v>2507</v>
      </c>
      <c r="B2511" s="16" t="inlineStr">
        <is>
          <t>Backend</t>
        </is>
      </c>
      <c r="C2511" s="17" t="inlineStr">
        <is>
          <t>payment-service</t>
        </is>
      </c>
      <c r="D2511" s="16" t="inlineStr">
        <is>
          <t>Unit</t>
        </is>
      </c>
      <c r="E2511" s="17" t="inlineStr">
        <is>
          <t>ConfirmTransferHandlerTest › DuongThuong</t>
        </is>
      </c>
      <c r="F2511" s="17" t="inlineStr">
        <is>
          <t>Đường thường</t>
        </is>
      </c>
      <c r="G2511" s="17" t="inlineStr">
        <is>
          <t>Trả đủ: ghi CONFIRMED, báo Ordering đúng đơn, nhật ký mang đủ dữ kiện</t>
        </is>
      </c>
      <c r="H2511" s="17" t="inlineStr">
        <is>
          <t>tra_du_thi_xac_nhan_va_bao_ordering</t>
        </is>
      </c>
      <c r="I2511" s="16" t="inlineStr">
        <is>
          <t>Đạt</t>
        </is>
      </c>
      <c r="J2511" s="16" t="n">
        <v>0.004</v>
      </c>
    </row>
    <row r="2512">
      <c r="A2512" s="16" t="n">
        <v>2508</v>
      </c>
      <c r="B2512" s="16" t="inlineStr">
        <is>
          <t>Backend</t>
        </is>
      </c>
      <c r="C2512" s="17" t="inlineStr">
        <is>
          <t>payment-service</t>
        </is>
      </c>
      <c r="D2512" s="16" t="inlineStr">
        <is>
          <t>Unit</t>
        </is>
      </c>
      <c r="E2512" s="17" t="inlineStr">
        <is>
          <t>ConfirmTransferHandlerTest › DuongThuong</t>
        </is>
      </c>
      <c r="F2512" s="17" t="inlineStr">
        <is>
          <t>Đường thường</t>
        </is>
      </c>
      <c r="G2512" s="17" t="inlineStr">
        <is>
          <t>Ordering báo ALREADY_PAID: vẫn là CONFIRMED, không có ghi chú đối soát</t>
        </is>
      </c>
      <c r="H2512" s="17" t="inlineStr">
        <is>
          <t>ordering_da_paid_tu_truoc</t>
        </is>
      </c>
      <c r="I2512" s="16" t="inlineStr">
        <is>
          <t>Đạt</t>
        </is>
      </c>
      <c r="J2512" s="16" t="n">
        <v>0.005</v>
      </c>
    </row>
    <row r="2513">
      <c r="A2513" s="16" t="n">
        <v>2509</v>
      </c>
      <c r="B2513" s="16" t="inlineStr">
        <is>
          <t>Backend</t>
        </is>
      </c>
      <c r="C2513" s="17" t="inlineStr">
        <is>
          <t>payment-service</t>
        </is>
      </c>
      <c r="D2513" s="16" t="inlineStr">
        <is>
          <t>Unit</t>
        </is>
      </c>
      <c r="E2513" s="17" t="inlineStr">
        <is>
          <t>ConfirmTransferHandlerTest › DuongThuong</t>
        </is>
      </c>
      <c r="F2513" s="17" t="inlineStr">
        <is>
          <t>Đường thường</t>
        </is>
      </c>
      <c r="G2513" s="17" t="inlineStr">
        <is>
          <t>Trả THỪA: vẫn xác nhận và ghi đúng số đã trả, không phải số của đơn</t>
        </is>
      </c>
      <c r="H2513" s="17" t="inlineStr">
        <is>
          <t>tra_thua_van_xac_nhan</t>
        </is>
      </c>
      <c r="I2513" s="16" t="inlineStr">
        <is>
          <t>Đạt</t>
        </is>
      </c>
      <c r="J2513" s="16" t="n">
        <v>0.005</v>
      </c>
    </row>
    <row r="2514">
      <c r="A2514" s="16" t="n">
        <v>2510</v>
      </c>
      <c r="B2514" s="16" t="inlineStr">
        <is>
          <t>Backend</t>
        </is>
      </c>
      <c r="C2514" s="17" t="inlineStr">
        <is>
          <t>payment-service</t>
        </is>
      </c>
      <c r="D2514" s="16" t="inlineStr">
        <is>
          <t>Unit</t>
        </is>
      </c>
      <c r="E2514" s="17" t="inlineStr">
        <is>
          <t>ConfirmTransferHandlerTest › PhucHoi</t>
        </is>
      </c>
      <c r="F2514" s="17" t="inlineStr">
        <is>
          <t>Phục hồi khi lỗi</t>
        </is>
      </c>
      <c r="G2514" s="17" t="inlineStr">
        <is>
          <t>Ordering không phản hồi: ném ORDERING_UNAVAILABLE (503) để rollback và để payOS giao lại</t>
        </is>
      </c>
      <c r="H2514" s="17" t="inlineStr">
        <is>
          <t>ordering_khong_phan_hoi_thi_nem_503</t>
        </is>
      </c>
      <c r="I2514" s="16" t="inlineStr">
        <is>
          <t>Đạt</t>
        </is>
      </c>
      <c r="J2514" s="16" t="n">
        <v>0.15</v>
      </c>
    </row>
    <row r="2515">
      <c r="A2515" s="16" t="n">
        <v>2511</v>
      </c>
      <c r="B2515" s="16" t="inlineStr">
        <is>
          <t>Backend</t>
        </is>
      </c>
      <c r="C2515" s="17" t="inlineStr">
        <is>
          <t>payment-service</t>
        </is>
      </c>
      <c r="D2515" s="16" t="inlineStr">
        <is>
          <t>Unit</t>
        </is>
      </c>
      <c r="E2515" s="17" t="inlineStr">
        <is>
          <t>ConfirmTransferHandlerTest › TienVaoMuon</t>
        </is>
      </c>
      <c r="F2515" s="17" t="inlineStr">
        <is>
          <t>Tiền vào muộn</t>
        </is>
      </c>
      <c r="G2515" s="17" t="inlineStr">
        <is>
          <t>Ordering chuyển MANUAL_REVIEW: nhật ký CONFIRMED kèm ghi chú để người đối soát tìm ra</t>
        </is>
      </c>
      <c r="H2515" s="17" t="inlineStr">
        <is>
          <t>ordering_manual_review_thi_ghi_chu</t>
        </is>
      </c>
      <c r="I2515" s="16" t="inlineStr">
        <is>
          <t>Đạt</t>
        </is>
      </c>
      <c r="J2515" s="16" t="n">
        <v>0.008</v>
      </c>
    </row>
    <row r="2516">
      <c r="A2516" s="16" t="n">
        <v>2512</v>
      </c>
      <c r="B2516" s="16" t="inlineStr">
        <is>
          <t>Backend</t>
        </is>
      </c>
      <c r="C2516" s="17" t="inlineStr">
        <is>
          <t>payment-service</t>
        </is>
      </c>
      <c r="D2516" s="16" t="inlineStr">
        <is>
          <t>Unit</t>
        </is>
      </c>
      <c r="E2516" s="17" t="inlineStr">
        <is>
          <t>ConfirmTransferHandlerTest › TienVaoMuon</t>
        </is>
      </c>
      <c r="F2516" s="17" t="inlineStr">
        <is>
          <t>Tiền vào muộn</t>
        </is>
      </c>
      <c r="G2516" s="17" t="inlineStr">
        <is>
          <t>Thua cuộc đua với job hết hạn: NOT_PENDING, KHÔNG báo Ordering</t>
        </is>
      </c>
      <c r="H2516" s="17" t="inlineStr">
        <is>
          <t>thua_cuoc_dua_voi_job_het_han</t>
        </is>
      </c>
      <c r="I2516" s="16" t="inlineStr">
        <is>
          <t>Đạt</t>
        </is>
      </c>
      <c r="J2516" s="16" t="n">
        <v>0.007</v>
      </c>
    </row>
    <row r="2517">
      <c r="A2517" s="16" t="n">
        <v>2513</v>
      </c>
      <c r="B2517" s="16" t="inlineStr">
        <is>
          <t>Backend</t>
        </is>
      </c>
      <c r="C2517" s="17" t="inlineStr">
        <is>
          <t>payment-service</t>
        </is>
      </c>
      <c r="D2517" s="16" t="inlineStr">
        <is>
          <t>Unit</t>
        </is>
      </c>
      <c r="E2517" s="17" t="inlineStr">
        <is>
          <t>ConfirmTransferHandlerTest › TienVaoMuon</t>
        </is>
      </c>
      <c r="F2517" s="17" t="inlineStr">
        <is>
          <t>Tiền vào muộn</t>
        </is>
      </c>
      <c r="G2517" s="17" t="inlineStr">
        <is>
          <t>Intent đã HẾT HẠN: NOT_PENDING, không báo Ordering, không ghi đè trạng thái</t>
        </is>
      </c>
      <c r="H2517" s="17" t="inlineStr">
        <is>
          <t>intent_het_han_thi_khong_xac_nhan</t>
        </is>
      </c>
      <c r="I2517" s="16" t="inlineStr">
        <is>
          <t>Đạt</t>
        </is>
      </c>
      <c r="J2517" s="16" t="n">
        <v>0.006</v>
      </c>
    </row>
    <row r="2518">
      <c r="A2518" s="16" t="n">
        <v>2514</v>
      </c>
      <c r="B2518" s="16" t="inlineStr">
        <is>
          <t>Backend</t>
        </is>
      </c>
      <c r="C2518" s="17" t="inlineStr">
        <is>
          <t>payment-service</t>
        </is>
      </c>
      <c r="D2518" s="16" t="inlineStr">
        <is>
          <t>Unit</t>
        </is>
      </c>
      <c r="E2518" s="17" t="inlineStr">
        <is>
          <t>ConfirmTransferHandlerTest › TienVaoMuon</t>
        </is>
      </c>
      <c r="F2518" s="17" t="inlineStr">
        <is>
          <t>Tiền vào muộn</t>
        </is>
      </c>
      <c r="G2518" s="17" t="inlineStr">
        <is>
          <t>Intent đã HUỶ: NOT_PENDING, không báo Ordering</t>
        </is>
      </c>
      <c r="H2518" s="17" t="inlineStr">
        <is>
          <t>intent_da_huy_thi_khong_xac_nhan</t>
        </is>
      </c>
      <c r="I2518" s="16" t="inlineStr">
        <is>
          <t>Đạt</t>
        </is>
      </c>
      <c r="J2518" s="16" t="n">
        <v>0.006</v>
      </c>
    </row>
    <row r="2519">
      <c r="A2519" s="16" t="n">
        <v>2515</v>
      </c>
      <c r="B2519" s="16" t="inlineStr">
        <is>
          <t>Backend</t>
        </is>
      </c>
      <c r="C2519" s="17" t="inlineStr">
        <is>
          <t>payment-service</t>
        </is>
      </c>
      <c r="D2519" s="16" t="inlineStr">
        <is>
          <t>Unit</t>
        </is>
      </c>
      <c r="E2519" s="17" t="inlineStr">
        <is>
          <t>ConfirmTransferHandlerTest › TuChoi</t>
        </is>
      </c>
      <c r="F2519" s="17" t="inlineStr">
        <is>
          <t>Từ chối có lý do</t>
        </is>
      </c>
      <c r="G2519" s="17" t="inlineStr">
        <is>
          <t>Mã giao dịch đã ghi nhận cho CHÍNH đơn này: đi tiếp vào domain và ra DUPLICATE</t>
        </is>
      </c>
      <c r="H2519" s="17" t="inlineStr">
        <is>
          <t>ma_giao_dich_cua_chinh_don_nay</t>
        </is>
      </c>
      <c r="I2519" s="16" t="inlineStr">
        <is>
          <t>Đạt</t>
        </is>
      </c>
      <c r="J2519" s="16" t="n">
        <v>0.028</v>
      </c>
    </row>
    <row r="2520">
      <c r="A2520" s="16" t="n">
        <v>2516</v>
      </c>
      <c r="B2520" s="16" t="inlineStr">
        <is>
          <t>Backend</t>
        </is>
      </c>
      <c r="C2520" s="17" t="inlineStr">
        <is>
          <t>payment-service</t>
        </is>
      </c>
      <c r="D2520" s="16" t="inlineStr">
        <is>
          <t>Unit</t>
        </is>
      </c>
      <c r="E2520" s="17" t="inlineStr">
        <is>
          <t>ConfirmTransferHandlerTest › TuChoi</t>
        </is>
      </c>
      <c r="F2520" s="17" t="inlineStr">
        <is>
          <t>Từ chối có lý do</t>
        </is>
      </c>
      <c r="G2520" s="17" t="inlineStr">
        <is>
          <t>Trả thiếu MỘT đồng: AMOUNT_MISMATCH, intent vẫn PENDING, không báo Ordering</t>
        </is>
      </c>
      <c r="H2520" s="17" t="inlineStr">
        <is>
          <t>tra_thieu_mot_dong</t>
        </is>
      </c>
      <c r="I2520" s="16" t="inlineStr">
        <is>
          <t>Đạt</t>
        </is>
      </c>
      <c r="J2520" s="16" t="n">
        <v>0.016</v>
      </c>
    </row>
    <row r="2521">
      <c r="A2521" s="16" t="n">
        <v>2517</v>
      </c>
      <c r="B2521" s="16" t="inlineStr">
        <is>
          <t>Backend</t>
        </is>
      </c>
      <c r="C2521" s="17" t="inlineStr">
        <is>
          <t>payment-service</t>
        </is>
      </c>
      <c r="D2521" s="16" t="inlineStr">
        <is>
          <t>Unit</t>
        </is>
      </c>
      <c r="E2521" s="17" t="inlineStr">
        <is>
          <t>ConfirmTransferHandlerTest › TuChoi</t>
        </is>
      </c>
      <c r="F2521" s="17" t="inlineStr">
        <is>
          <t>Từ chối có lý do</t>
        </is>
      </c>
      <c r="G2521" s="17" t="inlineStr">
        <is>
          <t>Giao dịch KHÁC trên đơn đã nhận tiền: DUPLICATE kèm mã giao dịch cũ để đối soát tay</t>
        </is>
      </c>
      <c r="H2521" s="17" t="inlineStr">
        <is>
          <t>giao_dich_thu_hai_tren_don_da_tra</t>
        </is>
      </c>
      <c r="I2521" s="16" t="inlineStr">
        <is>
          <t>Đạt</t>
        </is>
      </c>
      <c r="J2521" s="16" t="n">
        <v>0.007</v>
      </c>
    </row>
    <row r="2522">
      <c r="A2522" s="16" t="n">
        <v>2518</v>
      </c>
      <c r="B2522" s="16" t="inlineStr">
        <is>
          <t>Backend</t>
        </is>
      </c>
      <c r="C2522" s="17" t="inlineStr">
        <is>
          <t>payment-service</t>
        </is>
      </c>
      <c r="D2522" s="16" t="inlineStr">
        <is>
          <t>Unit</t>
        </is>
      </c>
      <c r="E2522" s="17" t="inlineStr">
        <is>
          <t>ConfirmTransferHandlerTest › TuChoi</t>
        </is>
      </c>
      <c r="F2522" s="17" t="inlineStr">
        <is>
          <t>Từ chối có lý do</t>
        </is>
      </c>
      <c r="G2522" s="17" t="inlineStr">
        <is>
          <t>orderCode không thuộc intent nào: UNKNOWN_REFERENCE, nhật ký không có reference</t>
        </is>
      </c>
      <c r="H2522" s="17" t="inlineStr">
        <is>
          <t>order_code_la</t>
        </is>
      </c>
      <c r="I2522" s="16" t="inlineStr">
        <is>
          <t>Đạt</t>
        </is>
      </c>
      <c r="J2522" s="16" t="n">
        <v>0.008</v>
      </c>
    </row>
    <row r="2523">
      <c r="A2523" s="16" t="n">
        <v>2519</v>
      </c>
      <c r="B2523" s="16" t="inlineStr">
        <is>
          <t>Backend</t>
        </is>
      </c>
      <c r="C2523" s="17" t="inlineStr">
        <is>
          <t>payment-service</t>
        </is>
      </c>
      <c r="D2523" s="16" t="inlineStr">
        <is>
          <t>Unit</t>
        </is>
      </c>
      <c r="E2523" s="17" t="inlineStr">
        <is>
          <t>ConfirmTransferHandlerTest › TuChoi</t>
        </is>
      </c>
      <c r="F2523" s="17" t="inlineStr">
        <is>
          <t>Từ chối có lý do</t>
        </is>
      </c>
      <c r="G2523" s="17" t="inlineStr">
        <is>
          <t>Webhook giao lại lần hai: DUPLICATE, KHÔNG báo Ordering lần nữa</t>
        </is>
      </c>
      <c r="H2523" s="17" t="inlineStr">
        <is>
          <t>webhook_giao_lai_khong_xac_nhan_hai_lan</t>
        </is>
      </c>
      <c r="I2523" s="16" t="inlineStr">
        <is>
          <t>Đạt</t>
        </is>
      </c>
      <c r="J2523" s="16" t="n">
        <v>0.005</v>
      </c>
    </row>
    <row r="2524">
      <c r="A2524" s="16" t="n">
        <v>2520</v>
      </c>
      <c r="B2524" s="16" t="inlineStr">
        <is>
          <t>Backend</t>
        </is>
      </c>
      <c r="C2524" s="17" t="inlineStr">
        <is>
          <t>payment-service</t>
        </is>
      </c>
      <c r="D2524" s="16" t="inlineStr">
        <is>
          <t>Unit</t>
        </is>
      </c>
      <c r="E2524" s="17" t="inlineStr">
        <is>
          <t>ConfirmTransferHandlerTest › TuChoi</t>
        </is>
      </c>
      <c r="F2524" s="17" t="inlineStr">
        <is>
          <t>Từ chối có lý do</t>
        </is>
      </c>
      <c r="G2524" s="17" t="inlineStr">
        <is>
          <t>Mã giao dịch đã ghi nhận cho ĐƠN KHÁC: DUPLICATE, không chạm vào intent này</t>
        </is>
      </c>
      <c r="H2524" s="17" t="inlineStr">
        <is>
          <t>ma_giao_dich_cua_don_khac</t>
        </is>
      </c>
      <c r="I2524" s="16" t="inlineStr">
        <is>
          <t>Đạt</t>
        </is>
      </c>
      <c r="J2524" s="16" t="n">
        <v>0.007</v>
      </c>
    </row>
    <row r="2525">
      <c r="A2525" s="16" t="n">
        <v>2521</v>
      </c>
      <c r="B2525" s="16" t="inlineStr">
        <is>
          <t>Backend</t>
        </is>
      </c>
      <c r="C2525" s="17" t="inlineStr">
        <is>
          <t>payment-service</t>
        </is>
      </c>
      <c r="D2525" s="16" t="inlineStr">
        <is>
          <t>Unit</t>
        </is>
      </c>
      <c r="E2525" s="17" t="inlineStr">
        <is>
          <t>ExpireIntentsJobTest</t>
        </is>
      </c>
      <c r="F2525" s="17" t="inlineStr"/>
      <c r="G2525" s="17" t="inlineStr">
        <is>
          <t>Đóng theo mốc giờ của Clock, lô 200, trả đúng số repository báo đã đóng — không đọc rồi ghi</t>
        </is>
      </c>
      <c r="H2525" s="17" t="inlineStr">
        <is>
          <t>dong_theo_moc_clock_theo_lo</t>
        </is>
      </c>
      <c r="I2525" s="16" t="inlineStr">
        <is>
          <t>Đạt</t>
        </is>
      </c>
      <c r="J2525" s="16" t="n">
        <v>0.011</v>
      </c>
    </row>
    <row r="2526">
      <c r="A2526" s="16" t="n">
        <v>2522</v>
      </c>
      <c r="B2526" s="16" t="inlineStr">
        <is>
          <t>Backend</t>
        </is>
      </c>
      <c r="C2526" s="17" t="inlineStr">
        <is>
          <t>payment-service</t>
        </is>
      </c>
      <c r="D2526" s="16" t="inlineStr">
        <is>
          <t>Unit</t>
        </is>
      </c>
      <c r="E2526" s="17" t="inlineStr">
        <is>
          <t>HandlePayosWebhookHandlerTest › DuongXacNhan</t>
        </is>
      </c>
      <c r="F2526" s="17" t="inlineStr">
        <is>
          <t>Đường xác nhận</t>
        </is>
      </c>
      <c r="G2526" s="17" t="inlineStr">
        <is>
          <t>Kết quả từ chối nghiệp vụ (AMOUNT_MISMATCH) vẫn là authentic — controller trả 200</t>
        </is>
      </c>
      <c r="H2526" s="17" t="inlineStr">
        <is>
          <t>tu_choi_nghiep_vu_van_authentic</t>
        </is>
      </c>
      <c r="I2526" s="16" t="inlineStr">
        <is>
          <t>Đạt</t>
        </is>
      </c>
      <c r="J2526" s="16" t="n">
        <v>0.218</v>
      </c>
    </row>
    <row r="2527">
      <c r="A2527" s="16" t="n">
        <v>2523</v>
      </c>
      <c r="B2527" s="16" t="inlineStr">
        <is>
          <t>Backend</t>
        </is>
      </c>
      <c r="C2527" s="17" t="inlineStr">
        <is>
          <t>payment-service</t>
        </is>
      </c>
      <c r="D2527" s="16" t="inlineStr">
        <is>
          <t>Unit</t>
        </is>
      </c>
      <c r="E2527" s="17" t="inlineStr">
        <is>
          <t>HandlePayosWebhookHandlerTest › DuongXacNhan</t>
        </is>
      </c>
      <c r="F2527" s="17" t="inlineStr">
        <is>
          <t>Đường xác nhận</t>
        </is>
      </c>
      <c r="G2527" s="17" t="inlineStr">
        <is>
          <t>Ordering sập: lỗi 503 bay thẳng lên, không bị nuốt thành 200</t>
        </is>
      </c>
      <c r="H2527" s="17" t="inlineStr">
        <is>
          <t>ordering_sap_thi_loi_bay_len</t>
        </is>
      </c>
      <c r="I2527" s="16" t="inlineStr">
        <is>
          <t>Đạt</t>
        </is>
      </c>
      <c r="J2527" s="16" t="n">
        <v>0.008</v>
      </c>
    </row>
    <row r="2528">
      <c r="A2528" s="16" t="n">
        <v>2524</v>
      </c>
      <c r="B2528" s="16" t="inlineStr">
        <is>
          <t>Backend</t>
        </is>
      </c>
      <c r="C2528" s="17" t="inlineStr">
        <is>
          <t>payment-service</t>
        </is>
      </c>
      <c r="D2528" s="16" t="inlineStr">
        <is>
          <t>Unit</t>
        </is>
      </c>
      <c r="E2528" s="17" t="inlineStr">
        <is>
          <t>HandlePayosWebhookHandlerTest › DuongXacNhan</t>
        </is>
      </c>
      <c r="F2528" s="17" t="inlineStr">
        <is>
          <t>Đường xác nhận</t>
        </is>
      </c>
      <c r="G2528" s="17" t="inlineStr">
        <is>
          <t>Webhook đủ trường: chuyển nguyên orderCode, số tiền, mã giao dịch và payload thô xuống</t>
        </is>
      </c>
      <c r="H2528" s="17" t="inlineStr">
        <is>
          <t>chuyen_nguyen_du_lieu_xuong</t>
        </is>
      </c>
      <c r="I2528" s="16" t="inlineStr">
        <is>
          <t>Đạt</t>
        </is>
      </c>
      <c r="J2528" s="16" t="n">
        <v>0.033</v>
      </c>
    </row>
    <row r="2529">
      <c r="A2529" s="16" t="n">
        <v>2525</v>
      </c>
      <c r="B2529" s="16" t="inlineStr">
        <is>
          <t>Backend</t>
        </is>
      </c>
      <c r="C2529" s="17" t="inlineStr">
        <is>
          <t>payment-service</t>
        </is>
      </c>
      <c r="D2529" s="16" t="inlineStr">
        <is>
          <t>Unit</t>
        </is>
      </c>
      <c r="E2529" s="17" t="inlineStr">
        <is>
          <t>HandlePayosWebhookHandlerTest › KhongCoGiDeXacNhan</t>
        </is>
      </c>
      <c r="F2529" s="17" t="inlineStr">
        <is>
          <t>Đã ký nhưng không có gì để xác nhận</t>
        </is>
      </c>
      <c r="G2529" s="17" t="inlineStr">
        <is>
          <t>payOS báo giao dịch KHÔNG thành công: nhận (200), ghi vết kèm mã payOS, không xác nhận</t>
        </is>
      </c>
      <c r="H2529" s="17" t="inlineStr">
        <is>
          <t>giao_dich_that_bai</t>
        </is>
      </c>
      <c r="I2529" s="16" t="inlineStr">
        <is>
          <t>Đạt</t>
        </is>
      </c>
      <c r="J2529" s="16" t="n">
        <v>0.008</v>
      </c>
    </row>
    <row r="2530">
      <c r="A2530" s="16" t="n">
        <v>2526</v>
      </c>
      <c r="B2530" s="16" t="inlineStr">
        <is>
          <t>Backend</t>
        </is>
      </c>
      <c r="C2530" s="17" t="inlineStr">
        <is>
          <t>payment-service</t>
        </is>
      </c>
      <c r="D2530" s="16" t="inlineStr">
        <is>
          <t>Unit</t>
        </is>
      </c>
      <c r="E2530" s="17" t="inlineStr">
        <is>
          <t>HandlePayosWebhookHandlerTest › KhongCoGiDeXacNhan</t>
        </is>
      </c>
      <c r="F2530" s="17" t="inlineStr">
        <is>
          <t>Đã ký nhưng không có gì để xác nhận</t>
        </is>
      </c>
      <c r="G2530" s="17" t="inlineStr">
        <is>
          <t>Thiếu mã giao dịch: KHÔNG bịa khoá chống trùng, không xác nhận</t>
        </is>
      </c>
      <c r="H2530" s="17" t="inlineStr">
        <is>
          <t>thieu_ma_giao_dich</t>
        </is>
      </c>
      <c r="I2530" s="16" t="inlineStr">
        <is>
          <t>Đạt</t>
        </is>
      </c>
      <c r="J2530" s="16" t="n">
        <v>0.005</v>
      </c>
    </row>
    <row r="2531">
      <c r="A2531" s="16" t="n">
        <v>2527</v>
      </c>
      <c r="B2531" s="16" t="inlineStr">
        <is>
          <t>Backend</t>
        </is>
      </c>
      <c r="C2531" s="17" t="inlineStr">
        <is>
          <t>payment-service</t>
        </is>
      </c>
      <c r="D2531" s="16" t="inlineStr">
        <is>
          <t>Unit</t>
        </is>
      </c>
      <c r="E2531" s="17" t="inlineStr">
        <is>
          <t>HandlePayosWebhookHandlerTest › KhongCoGiDeXacNhan</t>
        </is>
      </c>
      <c r="F2531" s="17" t="inlineStr">
        <is>
          <t>Đã ký nhưng không có gì để xác nhận</t>
        </is>
      </c>
      <c r="G2531" s="17" t="inlineStr">
        <is>
          <t>Số tiền âm trong payload đã ký: coi như thiếu, không xác nhận</t>
        </is>
      </c>
      <c r="H2531" s="17" t="inlineStr">
        <is>
          <t>so_tien_am</t>
        </is>
      </c>
      <c r="I2531" s="16" t="inlineStr">
        <is>
          <t>Đạt</t>
        </is>
      </c>
      <c r="J2531" s="16" t="n">
        <v>0.005</v>
      </c>
    </row>
    <row r="2532">
      <c r="A2532" s="16" t="n">
        <v>2528</v>
      </c>
      <c r="B2532" s="16" t="inlineStr">
        <is>
          <t>Backend</t>
        </is>
      </c>
      <c r="C2532" s="17" t="inlineStr">
        <is>
          <t>payment-service</t>
        </is>
      </c>
      <c r="D2532" s="16" t="inlineStr">
        <is>
          <t>Unit</t>
        </is>
      </c>
      <c r="E2532" s="17" t="inlineStr">
        <is>
          <t>HandlePayosWebhookHandlerTest › KhongCoGiDeXacNhan</t>
        </is>
      </c>
      <c r="F2532" s="17" t="inlineStr">
        <is>
          <t>Đã ký nhưng không có gì để xác nhận</t>
        </is>
      </c>
      <c r="G2532" s="17" t="inlineStr">
        <is>
          <t>orderCode 0 và amount 0: nhật ký ghi NULL chứ không ghi số 0 giả</t>
        </is>
      </c>
      <c r="H2532" s="17" t="inlineStr">
        <is>
          <t>thieu_order_code_va_so_tien</t>
        </is>
      </c>
      <c r="I2532" s="16" t="inlineStr">
        <is>
          <t>Đạt</t>
        </is>
      </c>
      <c r="J2532" s="16" t="n">
        <v>0.005</v>
      </c>
    </row>
    <row r="2533">
      <c r="A2533" s="16" t="n">
        <v>2529</v>
      </c>
      <c r="B2533" s="16" t="inlineStr">
        <is>
          <t>Backend</t>
        </is>
      </c>
      <c r="C2533" s="17" t="inlineStr">
        <is>
          <t>payment-service</t>
        </is>
      </c>
      <c r="D2533" s="16" t="inlineStr">
        <is>
          <t>Unit</t>
        </is>
      </c>
      <c r="E2533" s="17" t="inlineStr">
        <is>
          <t>HandlePayosWebhookHandlerTest › XacThuc</t>
        </is>
      </c>
      <c r="F2533" s="17" t="inlineStr">
        <is>
          <t>Xác thực</t>
        </is>
      </c>
      <c r="G2533" s="17" t="inlineStr">
        <is>
          <t>Body null: vẫn ghi vết với độ dài 0, không NullPointerException</t>
        </is>
      </c>
      <c r="H2533" s="17" t="inlineStr">
        <is>
          <t>body_null_van_ghi_vet</t>
        </is>
      </c>
      <c r="I2533" s="16" t="inlineStr">
        <is>
          <t>Đạt</t>
        </is>
      </c>
      <c r="J2533" s="16" t="n">
        <v>0.01</v>
      </c>
    </row>
    <row r="2534">
      <c r="A2534" s="16" t="n">
        <v>2530</v>
      </c>
      <c r="B2534" s="16" t="inlineStr">
        <is>
          <t>Backend</t>
        </is>
      </c>
      <c r="C2534" s="17" t="inlineStr">
        <is>
          <t>payment-service</t>
        </is>
      </c>
      <c r="D2534" s="16" t="inlineStr">
        <is>
          <t>Unit</t>
        </is>
      </c>
      <c r="E2534" s="17" t="inlineStr">
        <is>
          <t>HandlePayosWebhookHandlerTest › XacThuc</t>
        </is>
      </c>
      <c r="F2534" s="17" t="inlineStr">
        <is>
          <t>Xác thực</t>
        </is>
      </c>
      <c r="G2534" s="17" t="inlineStr">
        <is>
          <t>Chữ ký sai: authentic=false, ghi vết REJECTED, KHÔNG đi tới bước xác nhận tiền</t>
        </is>
      </c>
      <c r="H2534" s="17" t="inlineStr">
        <is>
          <t>chu_ky_sai_thi_khong_xac_nhan</t>
        </is>
      </c>
      <c r="I2534" s="16" t="inlineStr">
        <is>
          <t>Đạt</t>
        </is>
      </c>
      <c r="J2534" s="16" t="n">
        <v>0.004</v>
      </c>
    </row>
    <row r="2535">
      <c r="A2535" s="16" t="n">
        <v>2531</v>
      </c>
      <c r="B2535" s="16" t="inlineStr">
        <is>
          <t>Backend</t>
        </is>
      </c>
      <c r="C2535" s="17" t="inlineStr">
        <is>
          <t>payment-service</t>
        </is>
      </c>
      <c r="D2535" s="16" t="inlineStr">
        <is>
          <t>Unit</t>
        </is>
      </c>
      <c r="E2535" s="17" t="inlineStr">
        <is>
          <t>OpenIntentHandlerTest › DuongThuong</t>
        </is>
      </c>
      <c r="F2535" s="17" t="inlineStr">
        <is>
          <t>Đường thường</t>
        </is>
      </c>
      <c r="G2535" s="17" t="inlineStr">
        <is>
          <t>Intent ghi xuống mang đúng tổ chức, số tiền và hạn của lệnh</t>
        </is>
      </c>
      <c r="H2535" s="17" t="inlineStr">
        <is>
          <t>intent_ghi_xuong_dung_du_lieu</t>
        </is>
      </c>
      <c r="I2535" s="16" t="inlineStr">
        <is>
          <t>Đạt</t>
        </is>
      </c>
      <c r="J2535" s="16" t="n">
        <v>0.008</v>
      </c>
    </row>
    <row r="2536">
      <c r="A2536" s="16" t="n">
        <v>2532</v>
      </c>
      <c r="B2536" s="16" t="inlineStr">
        <is>
          <t>Backend</t>
        </is>
      </c>
      <c r="C2536" s="17" t="inlineStr">
        <is>
          <t>payment-service</t>
        </is>
      </c>
      <c r="D2536" s="16" t="inlineStr">
        <is>
          <t>Unit</t>
        </is>
      </c>
      <c r="E2536" s="17" t="inlineStr">
        <is>
          <t>OpenIntentHandlerTest › DuongThuong</t>
        </is>
      </c>
      <c r="F2536" s="17" t="inlineStr">
        <is>
          <t>Đường thường</t>
        </is>
      </c>
      <c r="G2536" s="17" t="inlineStr">
        <is>
          <t>Đơn mới: cấp orderCode, gửi payOS đúng số tiền của đơn, mô tả 9 ký tự, URL quay về trang đơn</t>
        </is>
      </c>
      <c r="H2536" s="17" t="inlineStr">
        <is>
          <t>don_moi_tao_link_dung_noi_dung</t>
        </is>
      </c>
      <c r="I2536" s="16" t="inlineStr">
        <is>
          <t>Đạt</t>
        </is>
      </c>
      <c r="J2536" s="16" t="n">
        <v>0.008</v>
      </c>
    </row>
    <row r="2537">
      <c r="A2537" s="16" t="n">
        <v>2533</v>
      </c>
      <c r="B2537" s="16" t="inlineStr">
        <is>
          <t>Backend</t>
        </is>
      </c>
      <c r="C2537" s="17" t="inlineStr">
        <is>
          <t>payment-service</t>
        </is>
      </c>
      <c r="D2537" s="16" t="inlineStr">
        <is>
          <t>Unit</t>
        </is>
      </c>
      <c r="E2537" s="17" t="inlineStr">
        <is>
          <t>OpenIntentHandlerTest › Idempotent</t>
        </is>
      </c>
      <c r="F2537" s="17" t="inlineStr">
        <is>
          <t>Idempotent</t>
        </is>
      </c>
      <c r="G2537" s="17" t="inlineStr">
        <is>
          <t>Đơn đã có intent với số tiền KHÁC: vẫn trả link cũ — số tiền lấy từ intent, không từ lệnh</t>
        </is>
      </c>
      <c r="H2537" s="17" t="inlineStr">
        <is>
          <t>lenh_lap_lai_voi_so_tien_khac</t>
        </is>
      </c>
      <c r="I2537" s="16" t="inlineStr">
        <is>
          <t>Đạt</t>
        </is>
      </c>
      <c r="J2537" s="16" t="n">
        <v>0.006</v>
      </c>
    </row>
    <row r="2538">
      <c r="A2538" s="16" t="n">
        <v>2534</v>
      </c>
      <c r="B2538" s="16" t="inlineStr">
        <is>
          <t>Backend</t>
        </is>
      </c>
      <c r="C2538" s="17" t="inlineStr">
        <is>
          <t>payment-service</t>
        </is>
      </c>
      <c r="D2538" s="16" t="inlineStr">
        <is>
          <t>Unit</t>
        </is>
      </c>
      <c r="E2538" s="17" t="inlineStr">
        <is>
          <t>OpenIntentHandlerTest › Idempotent</t>
        </is>
      </c>
      <c r="F2538" s="17" t="inlineStr">
        <is>
          <t>Idempotent</t>
        </is>
      </c>
      <c r="G2538" s="17" t="inlineStr">
        <is>
          <t>Không đóng được link mồ côi: checkout vẫn thành công với intent đã thắng</t>
        </is>
      </c>
      <c r="H2538" s="17" t="inlineStr">
        <is>
          <t>dong_link_mo_coi_hong_van_thanh_cong</t>
        </is>
      </c>
      <c r="I2538" s="16" t="inlineStr">
        <is>
          <t>Đạt</t>
        </is>
      </c>
      <c r="J2538" s="16" t="n">
        <v>0.005</v>
      </c>
    </row>
    <row r="2539">
      <c r="A2539" s="16" t="n">
        <v>2535</v>
      </c>
      <c r="B2539" s="16" t="inlineStr">
        <is>
          <t>Backend</t>
        </is>
      </c>
      <c r="C2539" s="17" t="inlineStr">
        <is>
          <t>payment-service</t>
        </is>
      </c>
      <c r="D2539" s="16" t="inlineStr">
        <is>
          <t>Unit</t>
        </is>
      </c>
      <c r="E2539" s="17" t="inlineStr">
        <is>
          <t>OpenIntentHandlerTest › Idempotent</t>
        </is>
      </c>
      <c r="F2539" s="17" t="inlineStr">
        <is>
          <t>Idempotent</t>
        </is>
      </c>
      <c r="G2539" s="17" t="inlineStr">
        <is>
          <t>Thua cuộc đua mở song song: trả intent đã thắng và ĐÓNG link mồ côi vừa tạo</t>
        </is>
      </c>
      <c r="H2539" s="17" t="inlineStr">
        <is>
          <t>thua_cuoc_dua_thi_dong_link_mo_coi</t>
        </is>
      </c>
      <c r="I2539" s="16" t="inlineStr">
        <is>
          <t>Đạt</t>
        </is>
      </c>
      <c r="J2539" s="16" t="n">
        <v>0.004</v>
      </c>
    </row>
    <row r="2540">
      <c r="A2540" s="16" t="n">
        <v>2536</v>
      </c>
      <c r="B2540" s="16" t="inlineStr">
        <is>
          <t>Backend</t>
        </is>
      </c>
      <c r="C2540" s="17" t="inlineStr">
        <is>
          <t>payment-service</t>
        </is>
      </c>
      <c r="D2540" s="16" t="inlineStr">
        <is>
          <t>Unit</t>
        </is>
      </c>
      <c r="E2540" s="17" t="inlineStr">
        <is>
          <t>OpenIntentHandlerTest › Idempotent</t>
        </is>
      </c>
      <c r="F2540" s="17" t="inlineStr">
        <is>
          <t>Idempotent</t>
        </is>
      </c>
      <c r="G2540" s="17" t="inlineStr">
        <is>
          <t>Đơn đã có intent: trả đúng link cũ, KHÔNG gọi payOS, KHÔNG cấp orderCode mới</t>
        </is>
      </c>
      <c r="H2540" s="17" t="inlineStr">
        <is>
          <t>don_da_co_intent</t>
        </is>
      </c>
      <c r="I2540" s="16" t="inlineStr">
        <is>
          <t>Đạt</t>
        </is>
      </c>
      <c r="J2540" s="16" t="n">
        <v>0.003</v>
      </c>
    </row>
    <row r="2541">
      <c r="A2541" s="16" t="n">
        <v>2537</v>
      </c>
      <c r="B2541" s="16" t="inlineStr">
        <is>
          <t>Backend</t>
        </is>
      </c>
      <c r="C2541" s="17" t="inlineStr">
        <is>
          <t>payment-service</t>
        </is>
      </c>
      <c r="D2541" s="16" t="inlineStr">
        <is>
          <t>Unit</t>
        </is>
      </c>
      <c r="E2541" s="17" t="inlineStr">
        <is>
          <t>OpenIntentHandlerTest › LoiTuPayos</t>
        </is>
      </c>
      <c r="F2541" s="17" t="inlineStr">
        <is>
          <t>Lỗi từ payOS</t>
        </is>
      </c>
      <c r="G2541" s="17" t="inlineStr">
        <is>
          <t>payOS ghi số tiền khác đơn trên link: không ghi intent nào</t>
        </is>
      </c>
      <c r="H2541" s="17" t="inlineStr">
        <is>
          <t>payos_ghi_sai_so_tien</t>
        </is>
      </c>
      <c r="I2541" s="16" t="inlineStr">
        <is>
          <t>Đạt</t>
        </is>
      </c>
      <c r="J2541" s="16" t="n">
        <v>0.01</v>
      </c>
    </row>
    <row r="2542">
      <c r="A2542" s="16" t="n">
        <v>2538</v>
      </c>
      <c r="B2542" s="16" t="inlineStr">
        <is>
          <t>Backend</t>
        </is>
      </c>
      <c r="C2542" s="17" t="inlineStr">
        <is>
          <t>payment-service</t>
        </is>
      </c>
      <c r="D2542" s="16" t="inlineStr">
        <is>
          <t>Unit</t>
        </is>
      </c>
      <c r="E2542" s="17" t="inlineStr">
        <is>
          <t>OpenIntentHandlerTest › LoiTuPayos</t>
        </is>
      </c>
      <c r="F2542" s="17" t="inlineStr">
        <is>
          <t>Lỗi từ payOS</t>
        </is>
      </c>
      <c r="G2542" s="17" t="inlineStr">
        <is>
          <t>Sequence vượt trần 9.999.999: nổ ngay, KHÔNG gọi payOS với mô tả 10 ký tự</t>
        </is>
      </c>
      <c r="H2542" s="17" t="inlineStr">
        <is>
          <t>sequence_vuot_tran</t>
        </is>
      </c>
      <c r="I2542" s="16" t="inlineStr">
        <is>
          <t>Đạt</t>
        </is>
      </c>
      <c r="J2542" s="16" t="n">
        <v>0.006</v>
      </c>
    </row>
    <row r="2543">
      <c r="A2543" s="16" t="n">
        <v>2539</v>
      </c>
      <c r="B2543" s="16" t="inlineStr">
        <is>
          <t>Backend</t>
        </is>
      </c>
      <c r="C2543" s="17" t="inlineStr">
        <is>
          <t>payment-service</t>
        </is>
      </c>
      <c r="D2543" s="16" t="inlineStr">
        <is>
          <t>Unit</t>
        </is>
      </c>
      <c r="E2543" s="17" t="inlineStr">
        <is>
          <t>OpenIntentHandlerTest › LoiTuPayos</t>
        </is>
      </c>
      <c r="F2543" s="17" t="inlineStr">
        <is>
          <t>Lỗi từ payOS</t>
        </is>
      </c>
      <c r="G2543" s="17" t="inlineStr">
        <is>
          <t>payOS không phản hồi: 503 PAYOS_UNAVAILABLE, không ghi intent nào</t>
        </is>
      </c>
      <c r="H2543" s="17" t="inlineStr">
        <is>
          <t>payos_khong_phan_hoi</t>
        </is>
      </c>
      <c r="I2543" s="16" t="inlineStr">
        <is>
          <t>Đạt</t>
        </is>
      </c>
      <c r="J2543" s="16" t="n">
        <v>0.008</v>
      </c>
    </row>
    <row r="2544">
      <c r="A2544" s="16" t="n">
        <v>2540</v>
      </c>
      <c r="B2544" s="16" t="inlineStr">
        <is>
          <t>Backend</t>
        </is>
      </c>
      <c r="C2544" s="17" t="inlineStr">
        <is>
          <t>payment-service</t>
        </is>
      </c>
      <c r="D2544" s="16" t="inlineStr">
        <is>
          <t>Unit</t>
        </is>
      </c>
      <c r="E2544" s="17" t="inlineStr">
        <is>
          <t>OpenIntentHandlerTest › LoiTuPayos</t>
        </is>
      </c>
      <c r="F2544" s="17" t="inlineStr">
        <is>
          <t>Lỗi từ payOS</t>
        </is>
      </c>
      <c r="G2544" s="17" t="inlineStr">
        <is>
          <t>payOS từ chối: 502 PAYOS_REJECTED, không ghi intent nào</t>
        </is>
      </c>
      <c r="H2544" s="17" t="inlineStr">
        <is>
          <t>payos_tu_choi</t>
        </is>
      </c>
      <c r="I2544" s="16" t="inlineStr">
        <is>
          <t>Đạt</t>
        </is>
      </c>
      <c r="J2544" s="16" t="n">
        <v>0.006</v>
      </c>
    </row>
    <row r="2545">
      <c r="A2545" s="16" t="n">
        <v>2541</v>
      </c>
      <c r="B2545" s="16" t="inlineStr">
        <is>
          <t>Backend</t>
        </is>
      </c>
      <c r="C2545" s="17" t="inlineStr">
        <is>
          <t>payment-service</t>
        </is>
      </c>
      <c r="D2545" s="16" t="inlineStr">
        <is>
          <t>Unit</t>
        </is>
      </c>
      <c r="E2545" s="17" t="inlineStr">
        <is>
          <t>ReconcileIntentHandlerTest › DuongThuong</t>
        </is>
      </c>
      <c r="F2545" s="17" t="inlineStr">
        <is>
          <t>Đường thường</t>
        </is>
      </c>
      <c r="G2545" s="17" t="inlineStr">
        <is>
          <t>payOS báo PAID nhưng thu THIẾU: vẫn chuyển xuống để domain chặn, không tự quyết ở đây</t>
        </is>
      </c>
      <c r="H2545" s="17" t="inlineStr">
        <is>
          <t>paid_nhung_thieu_tien</t>
        </is>
      </c>
      <c r="I2545" s="16" t="inlineStr">
        <is>
          <t>Đạt</t>
        </is>
      </c>
      <c r="J2545" s="16" t="n">
        <v>0.008</v>
      </c>
    </row>
    <row r="2546">
      <c r="A2546" s="16" t="n">
        <v>2542</v>
      </c>
      <c r="B2546" s="16" t="inlineStr">
        <is>
          <t>Backend</t>
        </is>
      </c>
      <c r="C2546" s="17" t="inlineStr">
        <is>
          <t>payment-service</t>
        </is>
      </c>
      <c r="D2546" s="16" t="inlineStr">
        <is>
          <t>Unit</t>
        </is>
      </c>
      <c r="E2546" s="17" t="inlineStr">
        <is>
          <t>ReconcileIntentHandlerTest › DuongThuong</t>
        </is>
      </c>
      <c r="F2546" s="17" t="inlineStr">
        <is>
          <t>Đường thường</t>
        </is>
      </c>
      <c r="G2546" s="17" t="inlineStr">
        <is>
          <t>payOS báo PAID: chuyển số ĐÃ THU và mã giao dịch xuống cùng handler với webhook</t>
        </is>
      </c>
      <c r="H2546" s="17" t="inlineStr">
        <is>
          <t>paid_thi_di_qua_confirm_transfer</t>
        </is>
      </c>
      <c r="I2546" s="16" t="inlineStr">
        <is>
          <t>Đạt</t>
        </is>
      </c>
      <c r="J2546" s="16" t="n">
        <v>0.008999999999999999</v>
      </c>
    </row>
    <row r="2547">
      <c r="A2547" s="16" t="n">
        <v>2543</v>
      </c>
      <c r="B2547" s="16" t="inlineStr">
        <is>
          <t>Backend</t>
        </is>
      </c>
      <c r="C2547" s="17" t="inlineStr">
        <is>
          <t>payment-service</t>
        </is>
      </c>
      <c r="D2547" s="16" t="inlineStr">
        <is>
          <t>Unit</t>
        </is>
      </c>
      <c r="E2547" s="17" t="inlineStr">
        <is>
          <t>ReconcileIntentHandlerTest › KhongCoGi</t>
        </is>
      </c>
      <c r="F2547" s="17" t="inlineStr">
        <is>
          <t>Không có gì để ghi nhận</t>
        </is>
      </c>
      <c r="G2547" s="17" t="inlineStr">
        <is>
          <t>Intent thời SePay: không hỏi payOS với mã đơn 0</t>
        </is>
      </c>
      <c r="H2547" s="17" t="inlineStr">
        <is>
          <t>intent_cu_khong_hoi_payos</t>
        </is>
      </c>
      <c r="I2547" s="16" t="inlineStr">
        <is>
          <t>Đạt</t>
        </is>
      </c>
      <c r="J2547" s="16" t="n">
        <v>0.005</v>
      </c>
    </row>
    <row r="2548">
      <c r="A2548" s="16" t="n">
        <v>2544</v>
      </c>
      <c r="B2548" s="16" t="inlineStr">
        <is>
          <t>Backend</t>
        </is>
      </c>
      <c r="C2548" s="17" t="inlineStr">
        <is>
          <t>payment-service</t>
        </is>
      </c>
      <c r="D2548" s="16" t="inlineStr">
        <is>
          <t>Unit</t>
        </is>
      </c>
      <c r="E2548" s="17" t="inlineStr">
        <is>
          <t>ReconcileIntentHandlerTest › KhongCoGi</t>
        </is>
      </c>
      <c r="F2548" s="17" t="inlineStr">
        <is>
          <t>Không có gì để ghi nhận</t>
        </is>
      </c>
      <c r="G2548" s="17" t="inlineStr">
        <is>
          <t>payOS còn PENDING: NOT_PAID kèm trạng thái payOS trong ghi chú</t>
        </is>
      </c>
      <c r="H2548" s="17" t="inlineStr">
        <is>
          <t>payos_con_pending</t>
        </is>
      </c>
      <c r="I2548" s="16" t="inlineStr">
        <is>
          <t>Đạt</t>
        </is>
      </c>
      <c r="J2548" s="16" t="n">
        <v>0.004</v>
      </c>
    </row>
    <row r="2549">
      <c r="A2549" s="16" t="n">
        <v>2545</v>
      </c>
      <c r="B2549" s="16" t="inlineStr">
        <is>
          <t>Backend</t>
        </is>
      </c>
      <c r="C2549" s="17" t="inlineStr">
        <is>
          <t>payment-service</t>
        </is>
      </c>
      <c r="D2549" s="16" t="inlineStr">
        <is>
          <t>Unit</t>
        </is>
      </c>
      <c r="E2549" s="17" t="inlineStr">
        <is>
          <t>ReconcileIntentHandlerTest › KhongCoGi</t>
        </is>
      </c>
      <c r="F2549" s="17" t="inlineStr">
        <is>
          <t>Không có gì để ghi nhận</t>
        </is>
      </c>
      <c r="G2549" s="17" t="inlineStr">
        <is>
          <t>Đã xác nhận: DUPLICATE, không hỏi payOS — gọi đối soát hai lần là vô hại</t>
        </is>
      </c>
      <c r="H2549" s="17" t="inlineStr">
        <is>
          <t>da_xac_nhan</t>
        </is>
      </c>
      <c r="I2549" s="16" t="inlineStr">
        <is>
          <t>Đạt</t>
        </is>
      </c>
      <c r="J2549" s="16" t="n">
        <v>0.004</v>
      </c>
    </row>
    <row r="2550">
      <c r="A2550" s="16" t="n">
        <v>2546</v>
      </c>
      <c r="B2550" s="16" t="inlineStr">
        <is>
          <t>Backend</t>
        </is>
      </c>
      <c r="C2550" s="17" t="inlineStr">
        <is>
          <t>payment-service</t>
        </is>
      </c>
      <c r="D2550" s="16" t="inlineStr">
        <is>
          <t>Unit</t>
        </is>
      </c>
      <c r="E2550" s="17" t="inlineStr">
        <is>
          <t>ReconcileIntentHandlerTest › KhongCoGi</t>
        </is>
      </c>
      <c r="F2550" s="17" t="inlineStr">
        <is>
          <t>Không có gì để ghi nhận</t>
        </is>
      </c>
      <c r="G2550" s="17" t="inlineStr">
        <is>
          <t>payOS không biết link: UNKNOWN_REFERENCE</t>
        </is>
      </c>
      <c r="H2550" s="17" t="inlineStr">
        <is>
          <t>payos_khong_biet_link</t>
        </is>
      </c>
      <c r="I2550" s="16" t="inlineStr">
        <is>
          <t>Đạt</t>
        </is>
      </c>
      <c r="J2550" s="16" t="n">
        <v>0.004</v>
      </c>
    </row>
    <row r="2551">
      <c r="A2551" s="16" t="n">
        <v>2547</v>
      </c>
      <c r="B2551" s="16" t="inlineStr">
        <is>
          <t>Backend</t>
        </is>
      </c>
      <c r="C2551" s="17" t="inlineStr">
        <is>
          <t>payment-service</t>
        </is>
      </c>
      <c r="D2551" s="16" t="inlineStr">
        <is>
          <t>Unit</t>
        </is>
      </c>
      <c r="E2551" s="17" t="inlineStr">
        <is>
          <t>ReconcileIntentHandlerTest › KhongCoGi</t>
        </is>
      </c>
      <c r="F2551" s="17" t="inlineStr">
        <is>
          <t>Không có gì để ghi nhận</t>
        </is>
      </c>
      <c r="G2551" s="17" t="inlineStr">
        <is>
          <t>Không có intent: 404 PAYMENT_INTENT_NOT_FOUND</t>
        </is>
      </c>
      <c r="H2551" s="17" t="inlineStr">
        <is>
          <t>khong_co_intent</t>
        </is>
      </c>
      <c r="I2551" s="16" t="inlineStr">
        <is>
          <t>Đạt</t>
        </is>
      </c>
      <c r="J2551" s="16" t="n">
        <v>0.006</v>
      </c>
    </row>
    <row r="2552">
      <c r="A2552" s="16" t="n">
        <v>2548</v>
      </c>
      <c r="B2552" s="16" t="inlineStr">
        <is>
          <t>Backend</t>
        </is>
      </c>
      <c r="C2552" s="17" t="inlineStr">
        <is>
          <t>payment-service</t>
        </is>
      </c>
      <c r="D2552" s="16" t="inlineStr">
        <is>
          <t>Unit</t>
        </is>
      </c>
      <c r="E2552" s="17" t="inlineStr">
        <is>
          <t>ReconcileIntentHandlerTest › KhongCoGi</t>
        </is>
      </c>
      <c r="F2552" s="17" t="inlineStr">
        <is>
          <t>Không có gì để ghi nhận</t>
        </is>
      </c>
      <c r="G2552" s="17" t="inlineStr">
        <is>
          <t>payOS báo 'paid' viết thường: KHÔNG coi là đã thu — so khớp đúng chữ</t>
        </is>
      </c>
      <c r="H2552" s="17" t="inlineStr">
        <is>
          <t>trang_thai_viet_thuong_khong_phai_paid</t>
        </is>
      </c>
      <c r="I2552" s="16" t="inlineStr">
        <is>
          <t>Đạt</t>
        </is>
      </c>
      <c r="J2552" s="16" t="n">
        <v>0.006</v>
      </c>
    </row>
    <row r="2553">
      <c r="A2553" s="16" t="n">
        <v>2549</v>
      </c>
      <c r="B2553" s="16" t="inlineStr">
        <is>
          <t>Backend</t>
        </is>
      </c>
      <c r="C2553" s="17" t="inlineStr">
        <is>
          <t>payment-service</t>
        </is>
      </c>
      <c r="D2553" s="16" t="inlineStr">
        <is>
          <t>Unit</t>
        </is>
      </c>
      <c r="E2553" s="17" t="inlineStr">
        <is>
          <t>ReconcileIntentHandlerTest › LoiTuPayos</t>
        </is>
      </c>
      <c r="F2553" s="17" t="inlineStr">
        <is>
          <t>Lỗi từ payOS</t>
        </is>
      </c>
      <c r="G2553" s="17" t="inlineStr">
        <is>
          <t>Chữ ký response sai: lỗi bay lên nguyên vẹn, KHÔNG quy về 'chưa có gì'</t>
        </is>
      </c>
      <c r="H2553" s="17" t="inlineStr">
        <is>
          <t>chu_ky_response_sai_bay_len</t>
        </is>
      </c>
      <c r="I2553" s="16" t="inlineStr">
        <is>
          <t>Đạt</t>
        </is>
      </c>
      <c r="J2553" s="16" t="n">
        <v>0.007</v>
      </c>
    </row>
    <row r="2554">
      <c r="A2554" s="16" t="n">
        <v>2550</v>
      </c>
      <c r="B2554" s="16" t="inlineStr">
        <is>
          <t>Backend</t>
        </is>
      </c>
      <c r="C2554" s="17" t="inlineStr">
        <is>
          <t>payment-service</t>
        </is>
      </c>
      <c r="D2554" s="16" t="inlineStr">
        <is>
          <t>Unit</t>
        </is>
      </c>
      <c r="E2554" s="17" t="inlineStr">
        <is>
          <t>ReconcileIntentHandlerTest › LoiTuPayos</t>
        </is>
      </c>
      <c r="F2554" s="17" t="inlineStr">
        <is>
          <t>Lỗi từ payOS</t>
        </is>
      </c>
      <c r="G2554" s="17" t="inlineStr">
        <is>
          <t>payOS không phản hồi: 503 PAYOS_UNAVAILABLE</t>
        </is>
      </c>
      <c r="H2554" s="17" t="inlineStr">
        <is>
          <t>payos_khong_phan_hoi</t>
        </is>
      </c>
      <c r="I2554" s="16" t="inlineStr">
        <is>
          <t>Đạt</t>
        </is>
      </c>
      <c r="J2554" s="16" t="n">
        <v>0.008999999999999999</v>
      </c>
    </row>
    <row r="2555">
      <c r="A2555" s="16" t="n">
        <v>2551</v>
      </c>
      <c r="B2555" s="16" t="inlineStr">
        <is>
          <t>Backend</t>
        </is>
      </c>
      <c r="C2555" s="17" t="inlineStr">
        <is>
          <t>payment-service</t>
        </is>
      </c>
      <c r="D2555" s="16" t="inlineStr">
        <is>
          <t>Unit</t>
        </is>
      </c>
      <c r="E2555" s="17" t="inlineStr">
        <is>
          <t>RegisterPayosWebhookHandlerTest</t>
        </is>
      </c>
      <c r="F2555" s="17" t="inlineStr"/>
      <c r="G2555" s="17" t="inlineStr">
        <is>
          <t>Không truyền URL: dùng URL trong cấu hình và trả về tài khoản kênh để kiểm bằng mắt</t>
        </is>
      </c>
      <c r="H2555" s="17" t="inlineStr">
        <is>
          <t>dung_url_cau_hinh</t>
        </is>
      </c>
      <c r="I2555" s="16" t="inlineStr">
        <is>
          <t>Đạt</t>
        </is>
      </c>
      <c r="J2555" s="16" t="n">
        <v>0.021</v>
      </c>
    </row>
    <row r="2556">
      <c r="A2556" s="16" t="n">
        <v>2552</v>
      </c>
      <c r="B2556" s="16" t="inlineStr">
        <is>
          <t>Backend</t>
        </is>
      </c>
      <c r="C2556" s="17" t="inlineStr">
        <is>
          <t>payment-service</t>
        </is>
      </c>
      <c r="D2556" s="16" t="inlineStr">
        <is>
          <t>Unit</t>
        </is>
      </c>
      <c r="E2556" s="17" t="inlineStr">
        <is>
          <t>RegisterPayosWebhookHandlerTest</t>
        </is>
      </c>
      <c r="F2556" s="17" t="inlineStr"/>
      <c r="G2556" s="17" t="inlineStr">
        <is>
          <t>URL truyền tường minh thắng URL cấu hình</t>
        </is>
      </c>
      <c r="H2556" s="17" t="inlineStr">
        <is>
          <t>url_tuong_minh_thang</t>
        </is>
      </c>
      <c r="I2556" s="16" t="inlineStr">
        <is>
          <t>Đạt</t>
        </is>
      </c>
      <c r="J2556" s="16" t="n">
        <v>0.006</v>
      </c>
    </row>
    <row r="2557">
      <c r="A2557" s="16" t="n">
        <v>2553</v>
      </c>
      <c r="B2557" s="16" t="inlineStr">
        <is>
          <t>Backend</t>
        </is>
      </c>
      <c r="C2557" s="17" t="inlineStr">
        <is>
          <t>payment-service</t>
        </is>
      </c>
      <c r="D2557" s="16" t="inlineStr">
        <is>
          <t>Unit</t>
        </is>
      </c>
      <c r="E2557" s="17" t="inlineStr">
        <is>
          <t>RegisterPayosWebhookHandlerTest</t>
        </is>
      </c>
      <c r="F2557" s="17" t="inlineStr"/>
      <c r="G2557" s="17" t="inlineStr">
        <is>
          <t>payOS không phản hồi: 503 PAYOS_UNAVAILABLE — thử lại được</t>
        </is>
      </c>
      <c r="H2557" s="17" t="inlineStr">
        <is>
          <t>payos_khong_phan_hoi</t>
        </is>
      </c>
      <c r="I2557" s="16" t="inlineStr">
        <is>
          <t>Đạt</t>
        </is>
      </c>
      <c r="J2557" s="16" t="n">
        <v>0.011</v>
      </c>
    </row>
    <row r="2558">
      <c r="A2558" s="16" t="n">
        <v>2554</v>
      </c>
      <c r="B2558" s="16" t="inlineStr">
        <is>
          <t>Backend</t>
        </is>
      </c>
      <c r="C2558" s="17" t="inlineStr">
        <is>
          <t>payment-service</t>
        </is>
      </c>
      <c r="D2558" s="16" t="inlineStr">
        <is>
          <t>Unit</t>
        </is>
      </c>
      <c r="E2558" s="17" t="inlineStr">
        <is>
          <t>RegisterPayosWebhookHandlerTest</t>
        </is>
      </c>
      <c r="F2558" s="17" t="inlineStr"/>
      <c r="G2558" s="17" t="inlineStr">
        <is>
          <t>URL truyền vào trống trơn (khoảng trắng) cũng coi như không truyền</t>
        </is>
      </c>
      <c r="H2558" s="17" t="inlineStr">
        <is>
          <t>url_khoang_trang_dung_cau_hinh</t>
        </is>
      </c>
      <c r="I2558" s="16" t="inlineStr">
        <is>
          <t>Đạt</t>
        </is>
      </c>
      <c r="J2558" s="16" t="n">
        <v>0.007</v>
      </c>
    </row>
    <row r="2559">
      <c r="A2559" s="16" t="n">
        <v>2555</v>
      </c>
      <c r="B2559" s="16" t="inlineStr">
        <is>
          <t>Backend</t>
        </is>
      </c>
      <c r="C2559" s="17" t="inlineStr">
        <is>
          <t>payment-service</t>
        </is>
      </c>
      <c r="D2559" s="16" t="inlineStr">
        <is>
          <t>Unit</t>
        </is>
      </c>
      <c r="E2559" s="17" t="inlineStr">
        <is>
          <t>RegisterPayosWebhookHandlerTest</t>
        </is>
      </c>
      <c r="F2559" s="17" t="inlineStr"/>
      <c r="G2559" s="17" t="inlineStr">
        <is>
          <t>Không có URL ở đâu cả: PAYOS_REJECTED, KHÔNG gọi payOS</t>
        </is>
      </c>
      <c r="H2559" s="17" t="inlineStr">
        <is>
          <t>khong_co_url</t>
        </is>
      </c>
      <c r="I2559" s="16" t="inlineStr">
        <is>
          <t>Đạt</t>
        </is>
      </c>
      <c r="J2559" s="16" t="n">
        <v>0.008</v>
      </c>
    </row>
    <row r="2560">
      <c r="A2560" s="16" t="n">
        <v>2556</v>
      </c>
      <c r="B2560" s="16" t="inlineStr">
        <is>
          <t>Backend</t>
        </is>
      </c>
      <c r="C2560" s="17" t="inlineStr">
        <is>
          <t>payment-service</t>
        </is>
      </c>
      <c r="D2560" s="16" t="inlineStr">
        <is>
          <t>Unit</t>
        </is>
      </c>
      <c r="E2560" s="17" t="inlineStr">
        <is>
          <t>RegisterPayosWebhookHandlerTest</t>
        </is>
      </c>
      <c r="F2560" s="17" t="inlineStr"/>
      <c r="G2560" s="17" t="inlineStr">
        <is>
          <t>payOS từ chối URL: 502 kèm nguyên câu lỗi của payOS</t>
        </is>
      </c>
      <c r="H2560" s="17" t="inlineStr">
        <is>
          <t>payos_tu_choi</t>
        </is>
      </c>
      <c r="I2560" s="16" t="inlineStr">
        <is>
          <t>Đạt</t>
        </is>
      </c>
      <c r="J2560" s="16" t="n">
        <v>0.008999999999999999</v>
      </c>
    </row>
    <row r="2561">
      <c r="A2561" s="16" t="n">
        <v>2557</v>
      </c>
      <c r="B2561" s="16" t="inlineStr">
        <is>
          <t>Backend</t>
        </is>
      </c>
      <c r="C2561" s="17" t="inlineStr">
        <is>
          <t>payment-service</t>
        </is>
      </c>
      <c r="D2561" s="16" t="inlineStr">
        <is>
          <t>Unit</t>
        </is>
      </c>
      <c r="E2561" s="17" t="inlineStr">
        <is>
          <t>SimulateTransferHandlerTest › ChotCauHinh</t>
        </is>
      </c>
      <c r="F2561" s="17" t="inlineStr">
        <is>
          <t>Chốt cấu hình</t>
        </is>
      </c>
      <c r="G2561" s="17" t="inlineStr">
        <is>
          <t>Sandbox tắt: 403 SANDBOX_DISABLED, không đọc intent, không chạm đường xác nhận</t>
        </is>
      </c>
      <c r="H2561" s="17" t="inlineStr">
        <is>
          <t>sandbox_tat_thi_khong_the_gia_lap</t>
        </is>
      </c>
      <c r="I2561" s="16" t="inlineStr">
        <is>
          <t>Đạt</t>
        </is>
      </c>
      <c r="J2561" s="16" t="n">
        <v>0.004</v>
      </c>
    </row>
    <row r="2562">
      <c r="A2562" s="16" t="n">
        <v>2558</v>
      </c>
      <c r="B2562" s="16" t="inlineStr">
        <is>
          <t>Backend</t>
        </is>
      </c>
      <c r="C2562" s="17" t="inlineStr">
        <is>
          <t>payment-service</t>
        </is>
      </c>
      <c r="D2562" s="16" t="inlineStr">
        <is>
          <t>Unit</t>
        </is>
      </c>
      <c r="E2562" s="17" t="inlineStr">
        <is>
          <t>SimulateTransferHandlerTest › ChotCauHinh</t>
        </is>
      </c>
      <c r="F2562" s="17" t="inlineStr">
        <is>
          <t>Chốt cấu hình</t>
        </is>
      </c>
      <c r="G2562" s="17" t="inlineStr">
        <is>
          <t>Sandbox tắt: kể cả lệnh có mã giao dịch và số tiền đầy đủ cũng bị chặn</t>
        </is>
      </c>
      <c r="H2562" s="17" t="inlineStr">
        <is>
          <t>sandbox_tat_lenh_day_du_cung_bi_chan</t>
        </is>
      </c>
      <c r="I2562" s="16" t="inlineStr">
        <is>
          <t>Đạt</t>
        </is>
      </c>
      <c r="J2562" s="16" t="n">
        <v>0.005</v>
      </c>
    </row>
    <row r="2563">
      <c r="A2563" s="16" t="n">
        <v>2559</v>
      </c>
      <c r="B2563" s="16" t="inlineStr">
        <is>
          <t>Backend</t>
        </is>
      </c>
      <c r="C2563" s="17" t="inlineStr">
        <is>
          <t>payment-service</t>
        </is>
      </c>
      <c r="D2563" s="16" t="inlineStr">
        <is>
          <t>Unit</t>
        </is>
      </c>
      <c r="E2563" s="17" t="inlineStr">
        <is>
          <t>SimulateTransferHandlerTest › SandboxBat</t>
        </is>
      </c>
      <c r="F2563" s="17" t="inlineStr">
        <is>
          <t>Sandbox bật</t>
        </is>
      </c>
      <c r="G2563" s="17" t="inlineStr">
        <is>
          <t>Truyền số tiền và mã giao dịch: giữ nguyên để thử được nhánh thiếu tiền và webhook trùng</t>
        </is>
      </c>
      <c r="H2563" s="17" t="inlineStr">
        <is>
          <t>truyen_so_tien_va_ma</t>
        </is>
      </c>
      <c r="I2563" s="16" t="inlineStr">
        <is>
          <t>Đạt</t>
        </is>
      </c>
      <c r="J2563" s="16" t="n">
        <v>0.038</v>
      </c>
    </row>
    <row r="2564">
      <c r="A2564" s="16" t="n">
        <v>2560</v>
      </c>
      <c r="B2564" s="16" t="inlineStr">
        <is>
          <t>Backend</t>
        </is>
      </c>
      <c r="C2564" s="17" t="inlineStr">
        <is>
          <t>payment-service</t>
        </is>
      </c>
      <c r="D2564" s="16" t="inlineStr">
        <is>
          <t>Unit</t>
        </is>
      </c>
      <c r="E2564" s="17" t="inlineStr">
        <is>
          <t>SimulateTransferHandlerTest › SandboxBat</t>
        </is>
      </c>
      <c r="F2564" s="17" t="inlineStr">
        <is>
          <t>Sandbox bật</t>
        </is>
      </c>
      <c r="G2564" s="17" t="inlineStr">
        <is>
          <t>Không truyền gì: trả đủ số của đơn, mã giao dịch tự sinh dạng SBX-, provider SANDBOX</t>
        </is>
      </c>
      <c r="H2564" s="17" t="inlineStr">
        <is>
          <t>mac_dinh_tra_du</t>
        </is>
      </c>
      <c r="I2564" s="16" t="inlineStr">
        <is>
          <t>Đạt</t>
        </is>
      </c>
      <c r="J2564" s="16" t="n">
        <v>0.008</v>
      </c>
    </row>
    <row r="2565">
      <c r="A2565" s="16" t="n">
        <v>2561</v>
      </c>
      <c r="B2565" s="16" t="inlineStr">
        <is>
          <t>Backend</t>
        </is>
      </c>
      <c r="C2565" s="17" t="inlineStr">
        <is>
          <t>payment-service</t>
        </is>
      </c>
      <c r="D2565" s="16" t="inlineStr">
        <is>
          <t>Unit</t>
        </is>
      </c>
      <c r="E2565" s="17" t="inlineStr">
        <is>
          <t>SimulateTransferHandlerTest › SandboxBat</t>
        </is>
      </c>
      <c r="F2565" s="17" t="inlineStr">
        <is>
          <t>Sandbox bật</t>
        </is>
      </c>
      <c r="G2565" s="17" t="inlineStr">
        <is>
          <t>Hai lần giả lập không truyền mã: hai mã giao dịch khác nhau</t>
        </is>
      </c>
      <c r="H2565" s="17" t="inlineStr">
        <is>
          <t>ma_tu_sinh_khong_trung</t>
        </is>
      </c>
      <c r="I2565" s="16" t="inlineStr">
        <is>
          <t>Đạt</t>
        </is>
      </c>
      <c r="J2565" s="16" t="n">
        <v>0.008999999999999999</v>
      </c>
    </row>
    <row r="2566">
      <c r="A2566" s="16" t="n">
        <v>2562</v>
      </c>
      <c r="B2566" s="16" t="inlineStr">
        <is>
          <t>Backend</t>
        </is>
      </c>
      <c r="C2566" s="17" t="inlineStr">
        <is>
          <t>payment-service</t>
        </is>
      </c>
      <c r="D2566" s="16" t="inlineStr">
        <is>
          <t>Unit</t>
        </is>
      </c>
      <c r="E2566" s="17" t="inlineStr">
        <is>
          <t>SimulateTransferHandlerTest › SandboxBat</t>
        </is>
      </c>
      <c r="F2566" s="17" t="inlineStr">
        <is>
          <t>Sandbox bật</t>
        </is>
      </c>
      <c r="G2566" s="17" t="inlineStr">
        <is>
          <t>Không có intent: 404 PAYMENT_INTENT_NOT_FOUND</t>
        </is>
      </c>
      <c r="H2566" s="17" t="inlineStr">
        <is>
          <t>khong_co_intent</t>
        </is>
      </c>
      <c r="I2566" s="16" t="inlineStr">
        <is>
          <t>Đạt</t>
        </is>
      </c>
      <c r="J2566" s="16" t="n">
        <v>0.006</v>
      </c>
    </row>
    <row r="2567">
      <c r="A2567" s="16" t="n">
        <v>2563</v>
      </c>
      <c r="B2567" s="16" t="inlineStr">
        <is>
          <t>Backend</t>
        </is>
      </c>
      <c r="C2567" s="17" t="inlineStr">
        <is>
          <t>payment-service</t>
        </is>
      </c>
      <c r="D2567" s="16" t="inlineStr">
        <is>
          <t>Unit</t>
        </is>
      </c>
      <c r="E2567" s="17" t="inlineStr">
        <is>
          <t>PaymentPropertiesTest</t>
        </is>
      </c>
      <c r="F2567" s="17" t="inlineStr"/>
      <c r="G2567" s="17" t="inlineStr">
        <is>
          <t>Thiếu cả khối payos: không khởi động được</t>
        </is>
      </c>
      <c r="H2567" s="17" t="inlineStr">
        <is>
          <t>thieu_khoi_payos</t>
        </is>
      </c>
      <c r="I2567" s="16" t="inlineStr">
        <is>
          <t>Đạt</t>
        </is>
      </c>
      <c r="J2567" s="16" t="n">
        <v>0.004</v>
      </c>
    </row>
    <row r="2568">
      <c r="A2568" s="16" t="n">
        <v>2564</v>
      </c>
      <c r="B2568" s="16" t="inlineStr">
        <is>
          <t>Backend</t>
        </is>
      </c>
      <c r="C2568" s="17" t="inlineStr">
        <is>
          <t>payment-service</t>
        </is>
      </c>
      <c r="D2568" s="16" t="inlineStr">
        <is>
          <t>Unit</t>
        </is>
      </c>
      <c r="E2568" s="17" t="inlineStr">
        <is>
          <t>PaymentPropertiesTest › DaCauHinh</t>
        </is>
      </c>
      <c r="F2568" s="17" t="inlineStr">
        <is>
          <t>Đã cấu hình hay chưa</t>
        </is>
      </c>
      <c r="G2568" s="17" t="inlineStr">
        <is>
          <t>Đủ ba khoá: đã cấu hình</t>
        </is>
      </c>
      <c r="H2568" s="17" t="inlineStr">
        <is>
          <t>du_ba_khoa</t>
        </is>
      </c>
      <c r="I2568" s="16" t="inlineStr">
        <is>
          <t>Đạt</t>
        </is>
      </c>
      <c r="J2568" s="16" t="n">
        <v>0.001</v>
      </c>
    </row>
    <row r="2569">
      <c r="A2569" s="16" t="n">
        <v>2565</v>
      </c>
      <c r="B2569" s="16" t="inlineStr">
        <is>
          <t>Backend</t>
        </is>
      </c>
      <c r="C2569" s="17" t="inlineStr">
        <is>
          <t>payment-service</t>
        </is>
      </c>
      <c r="D2569" s="16" t="inlineStr">
        <is>
          <t>Unit</t>
        </is>
      </c>
      <c r="E2569" s="17" t="inlineStr">
        <is>
          <t>PaymentPropertiesTest › DaCauHinh</t>
        </is>
      </c>
      <c r="F2569" s="17" t="inlineStr">
        <is>
          <t>Đã cấu hình hay chưa</t>
        </is>
      </c>
      <c r="G2569" s="17" t="inlineStr">
        <is>
          <t>Thiếu hoặc trắng bất kỳ khoá nào: CHƯA cấu hình</t>
        </is>
      </c>
      <c r="H2569" s="17" t="inlineStr">
        <is>
          <t>thieu_mot_khoa(String, String, String)[1]</t>
        </is>
      </c>
      <c r="I2569" s="16" t="inlineStr">
        <is>
          <t>Đạt</t>
        </is>
      </c>
      <c r="J2569" s="16" t="n">
        <v>0.022</v>
      </c>
    </row>
    <row r="2570">
      <c r="A2570" s="16" t="n">
        <v>2566</v>
      </c>
      <c r="B2570" s="16" t="inlineStr">
        <is>
          <t>Backend</t>
        </is>
      </c>
      <c r="C2570" s="17" t="inlineStr">
        <is>
          <t>payment-service</t>
        </is>
      </c>
      <c r="D2570" s="16" t="inlineStr">
        <is>
          <t>Unit</t>
        </is>
      </c>
      <c r="E2570" s="17" t="inlineStr">
        <is>
          <t>PaymentPropertiesTest › DaCauHinh</t>
        </is>
      </c>
      <c r="F2570" s="17" t="inlineStr">
        <is>
          <t>Đã cấu hình hay chưa</t>
        </is>
      </c>
      <c r="G2570" s="17" t="inlineStr">
        <is>
          <t>Thiếu hoặc trắng bất kỳ khoá nào: CHƯA cấu hình</t>
        </is>
      </c>
      <c r="H2570" s="17" t="inlineStr">
        <is>
          <t>thieu_mot_khoa(String, String, String)[2]</t>
        </is>
      </c>
      <c r="I2570" s="16" t="inlineStr">
        <is>
          <t>Đạt</t>
        </is>
      </c>
      <c r="J2570" s="16" t="n">
        <v>0.001</v>
      </c>
    </row>
    <row r="2571">
      <c r="A2571" s="16" t="n">
        <v>2567</v>
      </c>
      <c r="B2571" s="16" t="inlineStr">
        <is>
          <t>Backend</t>
        </is>
      </c>
      <c r="C2571" s="17" t="inlineStr">
        <is>
          <t>payment-service</t>
        </is>
      </c>
      <c r="D2571" s="16" t="inlineStr">
        <is>
          <t>Unit</t>
        </is>
      </c>
      <c r="E2571" s="17" t="inlineStr">
        <is>
          <t>PaymentPropertiesTest › DaCauHinh</t>
        </is>
      </c>
      <c r="F2571" s="17" t="inlineStr">
        <is>
          <t>Đã cấu hình hay chưa</t>
        </is>
      </c>
      <c r="G2571" s="17" t="inlineStr">
        <is>
          <t>Thiếu hoặc trắng bất kỳ khoá nào: CHƯA cấu hình</t>
        </is>
      </c>
      <c r="H2571" s="17" t="inlineStr">
        <is>
          <t>thieu_mot_khoa(String, String, String)[3]</t>
        </is>
      </c>
      <c r="I2571" s="16" t="inlineStr">
        <is>
          <t>Đạt</t>
        </is>
      </c>
      <c r="J2571" s="16" t="n">
        <v>0.002</v>
      </c>
    </row>
    <row r="2572">
      <c r="A2572" s="16" t="n">
        <v>2568</v>
      </c>
      <c r="B2572" s="16" t="inlineStr">
        <is>
          <t>Backend</t>
        </is>
      </c>
      <c r="C2572" s="17" t="inlineStr">
        <is>
          <t>payment-service</t>
        </is>
      </c>
      <c r="D2572" s="16" t="inlineStr">
        <is>
          <t>Unit</t>
        </is>
      </c>
      <c r="E2572" s="17" t="inlineStr">
        <is>
          <t>PaymentPropertiesTest › DaCauHinh</t>
        </is>
      </c>
      <c r="F2572" s="17" t="inlineStr">
        <is>
          <t>Đã cấu hình hay chưa</t>
        </is>
      </c>
      <c r="G2572" s="17" t="inlineStr">
        <is>
          <t>Thiếu hoặc trắng bất kỳ khoá nào: CHƯA cấu hình</t>
        </is>
      </c>
      <c r="H2572" s="17" t="inlineStr">
        <is>
          <t>thieu_mot_khoa(String, String, String)[4]</t>
        </is>
      </c>
      <c r="I2572" s="16" t="inlineStr">
        <is>
          <t>Đạt</t>
        </is>
      </c>
      <c r="J2572" s="16" t="n">
        <v>0.001</v>
      </c>
    </row>
    <row r="2573">
      <c r="A2573" s="16" t="n">
        <v>2569</v>
      </c>
      <c r="B2573" s="16" t="inlineStr">
        <is>
          <t>Backend</t>
        </is>
      </c>
      <c r="C2573" s="17" t="inlineStr">
        <is>
          <t>payment-service</t>
        </is>
      </c>
      <c r="D2573" s="16" t="inlineStr">
        <is>
          <t>Unit</t>
        </is>
      </c>
      <c r="E2573" s="17" t="inlineStr">
        <is>
          <t>PaymentPropertiesTest › DaCauHinh</t>
        </is>
      </c>
      <c r="F2573" s="17" t="inlineStr">
        <is>
          <t>Đã cấu hình hay chưa</t>
        </is>
      </c>
      <c r="G2573" s="17" t="inlineStr">
        <is>
          <t>Thiếu hoặc trắng bất kỳ khoá nào: CHƯA cấu hình</t>
        </is>
      </c>
      <c r="H2573" s="17" t="inlineStr">
        <is>
          <t>thieu_mot_khoa(String, String, String)[5]</t>
        </is>
      </c>
      <c r="I2573" s="16" t="inlineStr">
        <is>
          <t>Đạt</t>
        </is>
      </c>
      <c r="J2573" s="16" t="n">
        <v>0.002</v>
      </c>
    </row>
    <row r="2574">
      <c r="A2574" s="16" t="n">
        <v>2570</v>
      </c>
      <c r="B2574" s="16" t="inlineStr">
        <is>
          <t>Backend</t>
        </is>
      </c>
      <c r="C2574" s="17" t="inlineStr">
        <is>
          <t>payment-service</t>
        </is>
      </c>
      <c r="D2574" s="16" t="inlineStr">
        <is>
          <t>Unit</t>
        </is>
      </c>
      <c r="E2574" s="17" t="inlineStr">
        <is>
          <t>PaymentPropertiesTest › MacDinh</t>
        </is>
      </c>
      <c r="F2574" s="17" t="inlineStr">
        <is>
          <t>Giá trị mặc định</t>
        </is>
      </c>
      <c r="G2574" s="17" t="inlineStr">
        <is>
          <t>Dấu '/' cuối URL bị cắt để không sinh '//' trong đường dẫn</t>
        </is>
      </c>
      <c r="H2574" s="17" t="inlineStr">
        <is>
          <t>cat_dau_gach_cuoi</t>
        </is>
      </c>
      <c r="I2574" s="16" t="inlineStr">
        <is>
          <t>Đạt</t>
        </is>
      </c>
      <c r="J2574" s="16" t="n">
        <v>0.003</v>
      </c>
    </row>
    <row r="2575">
      <c r="A2575" s="16" t="n">
        <v>2571</v>
      </c>
      <c r="B2575" s="16" t="inlineStr">
        <is>
          <t>Backend</t>
        </is>
      </c>
      <c r="C2575" s="17" t="inlineStr">
        <is>
          <t>payment-service</t>
        </is>
      </c>
      <c r="D2575" s="16" t="inlineStr">
        <is>
          <t>Unit</t>
        </is>
      </c>
      <c r="E2575" s="17" t="inlineStr">
        <is>
          <t>PaymentPropertiesTest › MacDinh</t>
        </is>
      </c>
      <c r="F2575" s="17" t="inlineStr">
        <is>
          <t>Giá trị mặc định</t>
        </is>
      </c>
      <c r="G2575" s="17" t="inlineStr">
        <is>
          <t>Timeout khai tường minh được giữ nguyên</t>
        </is>
      </c>
      <c r="H2575" s="17" t="inlineStr">
        <is>
          <t>timeout_tuong_minh</t>
        </is>
      </c>
      <c r="I2575" s="16" t="inlineStr">
        <is>
          <t>Đạt</t>
        </is>
      </c>
      <c r="J2575" s="16" t="n">
        <v>0.001</v>
      </c>
    </row>
    <row r="2576">
      <c r="A2576" s="16" t="n">
        <v>2572</v>
      </c>
      <c r="B2576" s="16" t="inlineStr">
        <is>
          <t>Backend</t>
        </is>
      </c>
      <c r="C2576" s="17" t="inlineStr">
        <is>
          <t>payment-service</t>
        </is>
      </c>
      <c r="D2576" s="16" t="inlineStr">
        <is>
          <t>Unit</t>
        </is>
      </c>
      <c r="E2576" s="17" t="inlineStr">
        <is>
          <t>PaymentPropertiesTest › MacDinh</t>
        </is>
      </c>
      <c r="F2576" s="17" t="inlineStr">
        <is>
          <t>Giá trị mặc định</t>
        </is>
      </c>
      <c r="G2576" s="17" t="inlineStr">
        <is>
          <t>Để trống: gốc API payOS thật, web localhost:3000, timeout 3s/10s</t>
        </is>
      </c>
      <c r="H2576" s="17" t="inlineStr">
        <is>
          <t>de_trong_thi_dung_mac_dinh</t>
        </is>
      </c>
      <c r="I2576" s="16" t="inlineStr">
        <is>
          <t>Đạt</t>
        </is>
      </c>
      <c r="J2576" s="16" t="n">
        <v>0.001</v>
      </c>
    </row>
    <row r="2577">
      <c r="A2577" s="16" t="n">
        <v>2573</v>
      </c>
      <c r="B2577" s="16" t="inlineStr">
        <is>
          <t>Backend</t>
        </is>
      </c>
      <c r="C2577" s="17" t="inlineStr">
        <is>
          <t>payment-service</t>
        </is>
      </c>
      <c r="D2577" s="16" t="inlineStr">
        <is>
          <t>ArchUnit</t>
        </is>
      </c>
      <c r="E2577" s="17" t="inlineStr">
        <is>
          <t>ArchitectureTest</t>
        </is>
      </c>
      <c r="F2577" s="17" t="inlineStr"/>
      <c r="G2577" s="17" t="inlineStr">
        <is>
          <t>domain thuan nghiep vu</t>
        </is>
      </c>
      <c r="H2577" s="17" t="inlineStr">
        <is>
          <t>domain_thuan_nghiep_vu</t>
        </is>
      </c>
      <c r="I2577" s="16" t="inlineStr">
        <is>
          <t>Đạt</t>
        </is>
      </c>
      <c r="J2577" s="16" t="n">
        <v>4.846</v>
      </c>
    </row>
    <row r="2578">
      <c r="A2578" s="16" t="n">
        <v>2574</v>
      </c>
      <c r="B2578" s="16" t="inlineStr">
        <is>
          <t>Backend</t>
        </is>
      </c>
      <c r="C2578" s="17" t="inlineStr">
        <is>
          <t>payment-service</t>
        </is>
      </c>
      <c r="D2578" s="16" t="inlineStr">
        <is>
          <t>ArchUnit</t>
        </is>
      </c>
      <c r="E2578" s="17" t="inlineStr">
        <is>
          <t>ArchitectureTest</t>
        </is>
      </c>
      <c r="F2578" s="17" t="inlineStr"/>
      <c r="G2578" s="17" t="inlineStr">
        <is>
          <t>chieu phu thuoc hexagonal</t>
        </is>
      </c>
      <c r="H2578" s="17" t="inlineStr">
        <is>
          <t>chieu_phu_thuoc_hexagonal</t>
        </is>
      </c>
      <c r="I2578" s="16" t="inlineStr">
        <is>
          <t>Đạt</t>
        </is>
      </c>
      <c r="J2578" s="16" t="n">
        <v>0.439</v>
      </c>
    </row>
    <row r="2579">
      <c r="A2579" s="16" t="n">
        <v>2575</v>
      </c>
      <c r="B2579" s="16" t="inlineStr">
        <is>
          <t>Backend</t>
        </is>
      </c>
      <c r="C2579" s="17" t="inlineStr">
        <is>
          <t>payment-service</t>
        </is>
      </c>
      <c r="D2579" s="16" t="inlineStr">
        <is>
          <t>ArchUnit</t>
        </is>
      </c>
      <c r="E2579" s="17" t="inlineStr">
        <is>
          <t>ArchitectureTest</t>
        </is>
      </c>
      <c r="F2579" s="17" t="inlineStr"/>
      <c r="G2579" s="17" t="inlineStr">
        <is>
          <t>khong import cheo context</t>
        </is>
      </c>
      <c r="H2579" s="17" t="inlineStr">
        <is>
          <t>khong_import_cheo_context</t>
        </is>
      </c>
      <c r="I2579" s="16" t="inlineStr">
        <is>
          <t>Đạt</t>
        </is>
      </c>
      <c r="J2579" s="16" t="n">
        <v>0.03</v>
      </c>
    </row>
    <row r="2580">
      <c r="A2580" s="16" t="n">
        <v>2576</v>
      </c>
      <c r="B2580" s="16" t="inlineStr">
        <is>
          <t>Backend</t>
        </is>
      </c>
      <c r="C2580" s="17" t="inlineStr">
        <is>
          <t>payment-service</t>
        </is>
      </c>
      <c r="D2580" s="16" t="inlineStr">
        <is>
          <t>Unit</t>
        </is>
      </c>
      <c r="E2580" s="17" t="inlineStr">
        <is>
          <t>PaymentIntentTest</t>
        </is>
      </c>
      <c r="F2580" s="17" t="inlineStr"/>
      <c r="G2580" s="17" t="inlineStr">
        <is>
          <t>Mở intent: giữ nguyên mã QR, tài khoản ảo và link thanh toán payOS trả về</t>
        </is>
      </c>
      <c r="H2580" s="17" t="inlineStr">
        <is>
          <t>mo_intent_giu_nguyen_du_lieu_payos</t>
        </is>
      </c>
      <c r="I2580" s="16" t="inlineStr">
        <is>
          <t>Đạt</t>
        </is>
      </c>
      <c r="J2580" s="16" t="n">
        <v>0.002</v>
      </c>
    </row>
    <row r="2581">
      <c r="A2581" s="16" t="n">
        <v>2577</v>
      </c>
      <c r="B2581" s="16" t="inlineStr">
        <is>
          <t>Backend</t>
        </is>
      </c>
      <c r="C2581" s="17" t="inlineStr">
        <is>
          <t>payment-service</t>
        </is>
      </c>
      <c r="D2581" s="16" t="inlineStr">
        <is>
          <t>Unit</t>
        </is>
      </c>
      <c r="E2581" s="17" t="inlineStr">
        <is>
          <t>PaymentIntentTest</t>
        </is>
      </c>
      <c r="F2581" s="17" t="inlineStr"/>
      <c r="G2581" s="17" t="inlineStr">
        <is>
          <t>Chuyển THIẾU tiền thì KHÔNG được ghi nhận</t>
        </is>
      </c>
      <c r="H2581" s="17" t="inlineStr">
        <is>
          <t>tra_thieu_thi_tu_choi</t>
        </is>
      </c>
      <c r="I2581" s="16" t="inlineStr">
        <is>
          <t>Đạt</t>
        </is>
      </c>
      <c r="J2581" s="16" t="n">
        <v>0.002</v>
      </c>
    </row>
    <row r="2582">
      <c r="A2582" s="16" t="n">
        <v>2578</v>
      </c>
      <c r="B2582" s="16" t="inlineStr">
        <is>
          <t>Backend</t>
        </is>
      </c>
      <c r="C2582" s="17" t="inlineStr">
        <is>
          <t>payment-service</t>
        </is>
      </c>
      <c r="D2582" s="16" t="inlineStr">
        <is>
          <t>Unit</t>
        </is>
      </c>
      <c r="E2582" s="17" t="inlineStr">
        <is>
          <t>PaymentIntentTest</t>
        </is>
      </c>
      <c r="F2582" s="17" t="inlineStr"/>
      <c r="G2582" s="17" t="inlineStr">
        <is>
          <t>Reference không thuộc orderCode của link: KHÔNG mở intent</t>
        </is>
      </c>
      <c r="H2582" s="17" t="inlineStr">
        <is>
          <t>reference_lech_order_code_thi_khong_mo</t>
        </is>
      </c>
      <c r="I2582" s="16" t="inlineStr">
        <is>
          <t>Đạt</t>
        </is>
      </c>
      <c r="J2582" s="16" t="n">
        <v>0.002</v>
      </c>
    </row>
    <row r="2583">
      <c r="A2583" s="16" t="n">
        <v>2579</v>
      </c>
      <c r="B2583" s="16" t="inlineStr">
        <is>
          <t>Backend</t>
        </is>
      </c>
      <c r="C2583" s="17" t="inlineStr">
        <is>
          <t>payment-service</t>
        </is>
      </c>
      <c r="D2583" s="16" t="inlineStr">
        <is>
          <t>Unit</t>
        </is>
      </c>
      <c r="E2583" s="17" t="inlineStr">
        <is>
          <t>PaymentIntentTest</t>
        </is>
      </c>
      <c r="F2583" s="17" t="inlineStr"/>
      <c r="G2583" s="17" t="inlineStr">
        <is>
          <t>Đã nhận tiền thì không huỷ được yêu cầu thanh toán</t>
        </is>
      </c>
      <c r="H2583" s="17" t="inlineStr">
        <is>
          <t>da_nhan_tien_thi_khong_huy</t>
        </is>
      </c>
      <c r="I2583" s="16" t="inlineStr">
        <is>
          <t>Đạt</t>
        </is>
      </c>
      <c r="J2583" s="16" t="n">
        <v>0.002</v>
      </c>
    </row>
    <row r="2584">
      <c r="A2584" s="16" t="n">
        <v>2580</v>
      </c>
      <c r="B2584" s="16" t="inlineStr">
        <is>
          <t>Backend</t>
        </is>
      </c>
      <c r="C2584" s="17" t="inlineStr">
        <is>
          <t>payment-service</t>
        </is>
      </c>
      <c r="D2584" s="16" t="inlineStr">
        <is>
          <t>Unit</t>
        </is>
      </c>
      <c r="E2584" s="17" t="inlineStr">
        <is>
          <t>PaymentIntentTest</t>
        </is>
      </c>
      <c r="F2584" s="17" t="inlineStr"/>
      <c r="G2584" s="17" t="inlineStr">
        <is>
          <t>orderCode vượt dải thì NÉM LỖI, không lặng lẽ sinh chuỗi 10 ký tự</t>
        </is>
      </c>
      <c r="H2584" s="17" t="inlineStr">
        <is>
          <t>order_code_vuot_dai_thi_nem_loi</t>
        </is>
      </c>
      <c r="I2584" s="16" t="inlineStr">
        <is>
          <t>Đạt</t>
        </is>
      </c>
      <c r="J2584" s="16" t="n">
        <v>0.001</v>
      </c>
    </row>
    <row r="2585">
      <c r="A2585" s="16" t="n">
        <v>2581</v>
      </c>
      <c r="B2585" s="16" t="inlineStr">
        <is>
          <t>Backend</t>
        </is>
      </c>
      <c r="C2585" s="17" t="inlineStr">
        <is>
          <t>payment-service</t>
        </is>
      </c>
      <c r="D2585" s="16" t="inlineStr">
        <is>
          <t>Unit</t>
        </is>
      </c>
      <c r="E2585" s="17" t="inlineStr">
        <is>
          <t>PaymentIntentTest</t>
        </is>
      </c>
      <c r="F2585" s="17" t="inlineStr"/>
      <c r="G2585" s="17" t="inlineStr">
        <is>
          <t>Reference và orderCode là hai cách viết của cùng một số</t>
        </is>
      </c>
      <c r="H2585" s="17" t="inlineStr">
        <is>
          <t>reference_va_order_code_la_mot</t>
        </is>
      </c>
      <c r="I2585" s="16" t="inlineStr">
        <is>
          <t>Đạt</t>
        </is>
      </c>
      <c r="J2585" s="16" t="n">
        <v>0.001</v>
      </c>
    </row>
    <row r="2586">
      <c r="A2586" s="16" t="n">
        <v>2582</v>
      </c>
      <c r="B2586" s="16" t="inlineStr">
        <is>
          <t>Backend</t>
        </is>
      </c>
      <c r="C2586" s="17" t="inlineStr">
        <is>
          <t>payment-service</t>
        </is>
      </c>
      <c r="D2586" s="16" t="inlineStr">
        <is>
          <t>Unit</t>
        </is>
      </c>
      <c r="E2586" s="17" t="inlineStr">
        <is>
          <t>PaymentIntentTest</t>
        </is>
      </c>
      <c r="F2586" s="17" t="inlineStr"/>
      <c r="G2586" s="17" t="inlineStr">
        <is>
          <t>Chuyển đủ tiền: ghi nhận và chốt trạng thái</t>
        </is>
      </c>
      <c r="H2586" s="17" t="inlineStr">
        <is>
          <t>tra_du_thi_ghi_nhan</t>
        </is>
      </c>
      <c r="I2586" s="16" t="inlineStr">
        <is>
          <t>Đạt</t>
        </is>
      </c>
      <c r="J2586" s="16" t="n">
        <v>0.001</v>
      </c>
    </row>
    <row r="2587">
      <c r="A2587" s="16" t="n">
        <v>2583</v>
      </c>
      <c r="B2587" s="16" t="inlineStr">
        <is>
          <t>Backend</t>
        </is>
      </c>
      <c r="C2587" s="17" t="inlineStr">
        <is>
          <t>payment-service</t>
        </is>
      </c>
      <c r="D2587" s="16" t="inlineStr">
        <is>
          <t>Unit</t>
        </is>
      </c>
      <c r="E2587" s="17" t="inlineStr">
        <is>
          <t>PaymentIntentTest</t>
        </is>
      </c>
      <c r="F2587" s="17" t="inlineStr"/>
      <c r="G2587" s="17" t="inlineStr">
        <is>
          <t>Chuyển THỪA tiền vẫn ghi nhận; phần dư hoàn ngoài hệ thống</t>
        </is>
      </c>
      <c r="H2587" s="17" t="inlineStr">
        <is>
          <t>tra_thua_van_ghi_nhan</t>
        </is>
      </c>
      <c r="I2587" s="16" t="inlineStr">
        <is>
          <t>Đạt</t>
        </is>
      </c>
      <c r="J2587" s="16" t="n">
        <v>0.001</v>
      </c>
    </row>
    <row r="2588">
      <c r="A2588" s="16" t="n">
        <v>2584</v>
      </c>
      <c r="B2588" s="16" t="inlineStr">
        <is>
          <t>Backend</t>
        </is>
      </c>
      <c r="C2588" s="17" t="inlineStr">
        <is>
          <t>payment-service</t>
        </is>
      </c>
      <c r="D2588" s="16" t="inlineStr">
        <is>
          <t>Unit</t>
        </is>
      </c>
      <c r="E2588" s="17" t="inlineStr">
        <is>
          <t>PaymentIntentTest</t>
        </is>
      </c>
      <c r="F2588" s="17" t="inlineStr"/>
      <c r="G2588" s="17" t="inlineStr">
        <is>
          <t>payOS ghi số tiền khác đơn: KHÔNG mở intent</t>
        </is>
      </c>
      <c r="H2588" s="17" t="inlineStr">
        <is>
          <t>so_tien_tren_link_lech_thi_khong_mo</t>
        </is>
      </c>
      <c r="I2588" s="16" t="inlineStr">
        <is>
          <t>Đạt</t>
        </is>
      </c>
      <c r="J2588" s="16" t="n">
        <v>0.002</v>
      </c>
    </row>
    <row r="2589">
      <c r="A2589" s="16" t="n">
        <v>2585</v>
      </c>
      <c r="B2589" s="16" t="inlineStr">
        <is>
          <t>Backend</t>
        </is>
      </c>
      <c r="C2589" s="17" t="inlineStr">
        <is>
          <t>payment-service</t>
        </is>
      </c>
      <c r="D2589" s="16" t="inlineStr">
        <is>
          <t>Unit</t>
        </is>
      </c>
      <c r="E2589" s="17" t="inlineStr">
        <is>
          <t>PaymentIntentTest</t>
        </is>
      </c>
      <c r="F2589" s="17" t="inlineStr"/>
      <c r="G2589" s="17" t="inlineStr">
        <is>
          <t>Yêu cầu đã huỷ thì tiền vào sau đó không được ghi nhận tự động</t>
        </is>
      </c>
      <c r="H2589" s="17" t="inlineStr">
        <is>
          <t>huy_roi_thi_khong_ghi_nhan</t>
        </is>
      </c>
      <c r="I2589" s="16" t="inlineStr">
        <is>
          <t>Đạt</t>
        </is>
      </c>
      <c r="J2589" s="16" t="n">
        <v>0.001</v>
      </c>
    </row>
    <row r="2590">
      <c r="A2590" s="16" t="n">
        <v>2586</v>
      </c>
      <c r="B2590" s="16" t="inlineStr">
        <is>
          <t>Backend</t>
        </is>
      </c>
      <c r="C2590" s="17" t="inlineStr">
        <is>
          <t>payment-service</t>
        </is>
      </c>
      <c r="D2590" s="16" t="inlineStr">
        <is>
          <t>Unit</t>
        </is>
      </c>
      <c r="E2590" s="17" t="inlineStr">
        <is>
          <t>PaymentIntentTest</t>
        </is>
      </c>
      <c r="F2590" s="17" t="inlineStr"/>
      <c r="G2590" s="17" t="inlineStr">
        <is>
          <t>Giao dịch KHÁC trên đơn đã trả tiền: cần người đối soát, không tự xử</t>
        </is>
      </c>
      <c r="H2590" s="17" t="inlineStr">
        <is>
          <t>chuyen_tien_hai_lan_thi_bao_dong</t>
        </is>
      </c>
      <c r="I2590" s="16" t="inlineStr">
        <is>
          <t>Đạt</t>
        </is>
      </c>
      <c r="J2590" s="16" t="n">
        <v>0</v>
      </c>
    </row>
    <row r="2591">
      <c r="A2591" s="16" t="n">
        <v>2587</v>
      </c>
      <c r="B2591" s="16" t="inlineStr">
        <is>
          <t>Backend</t>
        </is>
      </c>
      <c r="C2591" s="17" t="inlineStr">
        <is>
          <t>payment-service</t>
        </is>
      </c>
      <c r="D2591" s="16" t="inlineStr">
        <is>
          <t>Unit</t>
        </is>
      </c>
      <c r="E2591" s="17" t="inlineStr">
        <is>
          <t>PaymentIntentTest</t>
        </is>
      </c>
      <c r="F2591" s="17" t="inlineStr"/>
      <c r="G2591" s="17" t="inlineStr">
        <is>
          <t>Cùng một giao dịch tới lần hai là trùng, không phải lỗi</t>
        </is>
      </c>
      <c r="H2591" s="17" t="inlineStr">
        <is>
          <t>webhook_trung_la_binh_thuong</t>
        </is>
      </c>
      <c r="I2591" s="16" t="inlineStr">
        <is>
          <t>Đạt</t>
        </is>
      </c>
      <c r="J2591" s="16" t="n">
        <v>0.001</v>
      </c>
    </row>
    <row r="2592">
      <c r="A2592" s="16" t="n">
        <v>2588</v>
      </c>
      <c r="B2592" s="16" t="inlineStr">
        <is>
          <t>Backend</t>
        </is>
      </c>
      <c r="C2592" s="17" t="inlineStr">
        <is>
          <t>payment-service</t>
        </is>
      </c>
      <c r="D2592" s="16" t="inlineStr">
        <is>
          <t>Unit</t>
        </is>
      </c>
      <c r="E2592" s="17" t="inlineStr">
        <is>
          <t>PaymentStateMatrixTest › DungAggregate</t>
        </is>
      </c>
      <c r="F2592" s="17" t="inlineStr">
        <is>
          <t>Dựng aggregate</t>
        </is>
      </c>
      <c r="G2592" s="17" t="inlineStr">
        <is>
          <t>Reference sai khuôn trong database: không rehydrate được</t>
        </is>
      </c>
      <c r="H2592" s="17" t="inlineStr">
        <is>
          <t>reference_sai_khuon</t>
        </is>
      </c>
      <c r="I2592" s="16" t="inlineStr">
        <is>
          <t>Đạt</t>
        </is>
      </c>
      <c r="J2592" s="16" t="n">
        <v>0.004</v>
      </c>
    </row>
    <row r="2593">
      <c r="A2593" s="16" t="n">
        <v>2589</v>
      </c>
      <c r="B2593" s="16" t="inlineStr">
        <is>
          <t>Backend</t>
        </is>
      </c>
      <c r="C2593" s="17" t="inlineStr">
        <is>
          <t>payment-service</t>
        </is>
      </c>
      <c r="D2593" s="16" t="inlineStr">
        <is>
          <t>Unit</t>
        </is>
      </c>
      <c r="E2593" s="17" t="inlineStr">
        <is>
          <t>PaymentStateMatrixTest › DungAggregate</t>
        </is>
      </c>
      <c r="F2593" s="17" t="inlineStr">
        <is>
          <t>Dựng aggregate</t>
        </is>
      </c>
      <c r="G2593" s="17" t="inlineStr">
        <is>
          <t>Intent không có link payOS (mã 0) và intent có link phân biệt được</t>
        </is>
      </c>
      <c r="H2593" s="17" t="inlineStr">
        <is>
          <t>co_hay_khong_co_link</t>
        </is>
      </c>
      <c r="I2593" s="16" t="inlineStr">
        <is>
          <t>Đạt</t>
        </is>
      </c>
      <c r="J2593" s="16" t="n">
        <v>0.002</v>
      </c>
    </row>
    <row r="2594">
      <c r="A2594" s="16" t="n">
        <v>2590</v>
      </c>
      <c r="B2594" s="16" t="inlineStr">
        <is>
          <t>Backend</t>
        </is>
      </c>
      <c r="C2594" s="17" t="inlineStr">
        <is>
          <t>payment-service</t>
        </is>
      </c>
      <c r="D2594" s="16" t="inlineStr">
        <is>
          <t>Unit</t>
        </is>
      </c>
      <c r="E2594" s="17" t="inlineStr">
        <is>
          <t>PaymentStateMatrixTest › DungAggregate</t>
        </is>
      </c>
      <c r="F2594" s="17" t="inlineStr">
        <is>
          <t>Dựng aggregate</t>
        </is>
      </c>
      <c r="G2594" s="17" t="inlineStr">
        <is>
          <t>Số tiền không dương: không dựng được, kể cả khi rehydrate từ database</t>
        </is>
      </c>
      <c r="H2594" s="17" t="inlineStr">
        <is>
          <t>so_tien_khong_duong(long)[1]</t>
        </is>
      </c>
      <c r="I2594" s="16" t="inlineStr">
        <is>
          <t>Đạt</t>
        </is>
      </c>
      <c r="J2594" s="16" t="n">
        <v>0.004</v>
      </c>
    </row>
    <row r="2595">
      <c r="A2595" s="16" t="n">
        <v>2591</v>
      </c>
      <c r="B2595" s="16" t="inlineStr">
        <is>
          <t>Backend</t>
        </is>
      </c>
      <c r="C2595" s="17" t="inlineStr">
        <is>
          <t>payment-service</t>
        </is>
      </c>
      <c r="D2595" s="16" t="inlineStr">
        <is>
          <t>Unit</t>
        </is>
      </c>
      <c r="E2595" s="17" t="inlineStr">
        <is>
          <t>PaymentStateMatrixTest › DungAggregate</t>
        </is>
      </c>
      <c r="F2595" s="17" t="inlineStr">
        <is>
          <t>Dựng aggregate</t>
        </is>
      </c>
      <c r="G2595" s="17" t="inlineStr">
        <is>
          <t>Số tiền không dương: không dựng được, kể cả khi rehydrate từ database</t>
        </is>
      </c>
      <c r="H2595" s="17" t="inlineStr">
        <is>
          <t>so_tien_khong_duong(long)[2]</t>
        </is>
      </c>
      <c r="I2595" s="16" t="inlineStr">
        <is>
          <t>Đạt</t>
        </is>
      </c>
      <c r="J2595" s="16" t="n">
        <v>0.002</v>
      </c>
    </row>
    <row r="2596">
      <c r="A2596" s="16" t="n">
        <v>2592</v>
      </c>
      <c r="B2596" s="16" t="inlineStr">
        <is>
          <t>Backend</t>
        </is>
      </c>
      <c r="C2596" s="17" t="inlineStr">
        <is>
          <t>payment-service</t>
        </is>
      </c>
      <c r="D2596" s="16" t="inlineStr">
        <is>
          <t>Unit</t>
        </is>
      </c>
      <c r="E2596" s="17" t="inlineStr">
        <is>
          <t>PaymentStateMatrixTest › Link</t>
        </is>
      </c>
      <c r="F2596" s="17" t="inlineStr">
        <is>
          <t>PayosLink</t>
        </is>
      </c>
      <c r="G2596" s="17" t="inlineStr">
        <is>
          <t>orderCode không dương: từ chối</t>
        </is>
      </c>
      <c r="H2596" s="17" t="inlineStr">
        <is>
          <t>order_code_khong_duong(long)[1]</t>
        </is>
      </c>
      <c r="I2596" s="16" t="inlineStr">
        <is>
          <t>Đạt</t>
        </is>
      </c>
      <c r="J2596" s="16" t="n">
        <v>0.008</v>
      </c>
    </row>
    <row r="2597">
      <c r="A2597" s="16" t="n">
        <v>2593</v>
      </c>
      <c r="B2597" s="16" t="inlineStr">
        <is>
          <t>Backend</t>
        </is>
      </c>
      <c r="C2597" s="17" t="inlineStr">
        <is>
          <t>payment-service</t>
        </is>
      </c>
      <c r="D2597" s="16" t="inlineStr">
        <is>
          <t>Unit</t>
        </is>
      </c>
      <c r="E2597" s="17" t="inlineStr">
        <is>
          <t>PaymentStateMatrixTest › Link</t>
        </is>
      </c>
      <c r="F2597" s="17" t="inlineStr">
        <is>
          <t>PayosLink</t>
        </is>
      </c>
      <c r="G2597" s="17" t="inlineStr">
        <is>
          <t>orderCode không dương: từ chối</t>
        </is>
      </c>
      <c r="H2597" s="17" t="inlineStr">
        <is>
          <t>order_code_khong_duong(long)[2]</t>
        </is>
      </c>
      <c r="I2597" s="16" t="inlineStr">
        <is>
          <t>Đạt</t>
        </is>
      </c>
      <c r="J2597" s="16" t="n">
        <v>0.001</v>
      </c>
    </row>
    <row r="2598">
      <c r="A2598" s="16" t="n">
        <v>2594</v>
      </c>
      <c r="B2598" s="16" t="inlineStr">
        <is>
          <t>Backend</t>
        </is>
      </c>
      <c r="C2598" s="17" t="inlineStr">
        <is>
          <t>payment-service</t>
        </is>
      </c>
      <c r="D2598" s="16" t="inlineStr">
        <is>
          <t>Unit</t>
        </is>
      </c>
      <c r="E2598" s="17" t="inlineStr">
        <is>
          <t>PaymentStateMatrixTest › Link</t>
        </is>
      </c>
      <c r="F2598" s="17" t="inlineStr">
        <is>
          <t>PayosLink</t>
        </is>
      </c>
      <c r="G2598" s="17" t="inlineStr">
        <is>
          <t>Thiếu trường bắt buộc (trắng): từ chối — không để một intent không quét được vào database</t>
        </is>
      </c>
      <c r="H2598" s="17" t="inlineStr">
        <is>
          <t>thieu_truong_bat_buoc(String)[1]</t>
        </is>
      </c>
      <c r="I2598" s="16" t="inlineStr">
        <is>
          <t>Đạt</t>
        </is>
      </c>
      <c r="J2598" s="16" t="n">
        <v>0.004</v>
      </c>
    </row>
    <row r="2599">
      <c r="A2599" s="16" t="n">
        <v>2595</v>
      </c>
      <c r="B2599" s="16" t="inlineStr">
        <is>
          <t>Backend</t>
        </is>
      </c>
      <c r="C2599" s="17" t="inlineStr">
        <is>
          <t>payment-service</t>
        </is>
      </c>
      <c r="D2599" s="16" t="inlineStr">
        <is>
          <t>Unit</t>
        </is>
      </c>
      <c r="E2599" s="17" t="inlineStr">
        <is>
          <t>PaymentStateMatrixTest › Link</t>
        </is>
      </c>
      <c r="F2599" s="17" t="inlineStr">
        <is>
          <t>PayosLink</t>
        </is>
      </c>
      <c r="G2599" s="17" t="inlineStr">
        <is>
          <t>Thiếu trường bắt buộc (trắng): từ chối — không để một intent không quét được vào database</t>
        </is>
      </c>
      <c r="H2599" s="17" t="inlineStr">
        <is>
          <t>thieu_truong_bat_buoc(String)[2]</t>
        </is>
      </c>
      <c r="I2599" s="16" t="inlineStr">
        <is>
          <t>Đạt</t>
        </is>
      </c>
      <c r="J2599" s="16" t="n">
        <v>0.002</v>
      </c>
    </row>
    <row r="2600">
      <c r="A2600" s="16" t="n">
        <v>2596</v>
      </c>
      <c r="B2600" s="16" t="inlineStr">
        <is>
          <t>Backend</t>
        </is>
      </c>
      <c r="C2600" s="17" t="inlineStr">
        <is>
          <t>payment-service</t>
        </is>
      </c>
      <c r="D2600" s="16" t="inlineStr">
        <is>
          <t>Unit</t>
        </is>
      </c>
      <c r="E2600" s="17" t="inlineStr">
        <is>
          <t>PaymentStateMatrixTest › Link</t>
        </is>
      </c>
      <c r="F2600" s="17" t="inlineStr">
        <is>
          <t>PayosLink</t>
        </is>
      </c>
      <c r="G2600" s="17" t="inlineStr">
        <is>
          <t>Thiếu trường bắt buộc (trắng): từ chối — không để một intent không quét được vào database</t>
        </is>
      </c>
      <c r="H2600" s="17" t="inlineStr">
        <is>
          <t>thieu_truong_bat_buoc(String)[3]</t>
        </is>
      </c>
      <c r="I2600" s="16" t="inlineStr">
        <is>
          <t>Đạt</t>
        </is>
      </c>
      <c r="J2600" s="16" t="n">
        <v>0.001</v>
      </c>
    </row>
    <row r="2601">
      <c r="A2601" s="16" t="n">
        <v>2597</v>
      </c>
      <c r="B2601" s="16" t="inlineStr">
        <is>
          <t>Backend</t>
        </is>
      </c>
      <c r="C2601" s="17" t="inlineStr">
        <is>
          <t>payment-service</t>
        </is>
      </c>
      <c r="D2601" s="16" t="inlineStr">
        <is>
          <t>Unit</t>
        </is>
      </c>
      <c r="E2601" s="17" t="inlineStr">
        <is>
          <t>PaymentStateMatrixTest › Link</t>
        </is>
      </c>
      <c r="F2601" s="17" t="inlineStr">
        <is>
          <t>PayosLink</t>
        </is>
      </c>
      <c r="G2601" s="17" t="inlineStr">
        <is>
          <t>Thiếu trường bắt buộc (trắng): từ chối — không để một intent không quét được vào database</t>
        </is>
      </c>
      <c r="H2601" s="17" t="inlineStr">
        <is>
          <t>thieu_truong_bat_buoc(String)[4]</t>
        </is>
      </c>
      <c r="I2601" s="16" t="inlineStr">
        <is>
          <t>Đạt</t>
        </is>
      </c>
      <c r="J2601" s="16" t="n">
        <v>0.001</v>
      </c>
    </row>
    <row r="2602">
      <c r="A2602" s="16" t="n">
        <v>2598</v>
      </c>
      <c r="B2602" s="16" t="inlineStr">
        <is>
          <t>Backend</t>
        </is>
      </c>
      <c r="C2602" s="17" t="inlineStr">
        <is>
          <t>payment-service</t>
        </is>
      </c>
      <c r="D2602" s="16" t="inlineStr">
        <is>
          <t>Unit</t>
        </is>
      </c>
      <c r="E2602" s="17" t="inlineStr">
        <is>
          <t>PaymentStateMatrixTest › Link</t>
        </is>
      </c>
      <c r="F2602" s="17" t="inlineStr">
        <is>
          <t>PayosLink</t>
        </is>
      </c>
      <c r="G2602" s="17" t="inlineStr">
        <is>
          <t>Thiếu trường bắt buộc (trắng): từ chối — không để một intent không quét được vào database</t>
        </is>
      </c>
      <c r="H2602" s="17" t="inlineStr">
        <is>
          <t>thieu_truong_bat_buoc(String)[5]</t>
        </is>
      </c>
      <c r="I2602" s="16" t="inlineStr">
        <is>
          <t>Đạt</t>
        </is>
      </c>
      <c r="J2602" s="16" t="n">
        <v>0.001</v>
      </c>
    </row>
    <row r="2603">
      <c r="A2603" s="16" t="n">
        <v>2599</v>
      </c>
      <c r="B2603" s="16" t="inlineStr">
        <is>
          <t>Backend</t>
        </is>
      </c>
      <c r="C2603" s="17" t="inlineStr">
        <is>
          <t>payment-service</t>
        </is>
      </c>
      <c r="D2603" s="16" t="inlineStr">
        <is>
          <t>Unit</t>
        </is>
      </c>
      <c r="E2603" s="17" t="inlineStr">
        <is>
          <t>PaymentStateMatrixTest › Link</t>
        </is>
      </c>
      <c r="F2603" s="17" t="inlineStr">
        <is>
          <t>PayosLink</t>
        </is>
      </c>
      <c r="G2603" s="17" t="inlineStr">
        <is>
          <t>Số tiền không dương: từ chối</t>
        </is>
      </c>
      <c r="H2603" s="17" t="inlineStr">
        <is>
          <t>so_tien_khong_duong(long)[1]</t>
        </is>
      </c>
      <c r="I2603" s="16" t="inlineStr">
        <is>
          <t>Đạt</t>
        </is>
      </c>
      <c r="J2603" s="16" t="n">
        <v>0.002</v>
      </c>
    </row>
    <row r="2604">
      <c r="A2604" s="16" t="n">
        <v>2600</v>
      </c>
      <c r="B2604" s="16" t="inlineStr">
        <is>
          <t>Backend</t>
        </is>
      </c>
      <c r="C2604" s="17" t="inlineStr">
        <is>
          <t>payment-service</t>
        </is>
      </c>
      <c r="D2604" s="16" t="inlineStr">
        <is>
          <t>Unit</t>
        </is>
      </c>
      <c r="E2604" s="17" t="inlineStr">
        <is>
          <t>PaymentStateMatrixTest › Link</t>
        </is>
      </c>
      <c r="F2604" s="17" t="inlineStr">
        <is>
          <t>PayosLink</t>
        </is>
      </c>
      <c r="G2604" s="17" t="inlineStr">
        <is>
          <t>Số tiền không dương: từ chối</t>
        </is>
      </c>
      <c r="H2604" s="17" t="inlineStr">
        <is>
          <t>so_tien_khong_duong(long)[2]</t>
        </is>
      </c>
      <c r="I2604" s="16" t="inlineStr">
        <is>
          <t>Đạt</t>
        </is>
      </c>
      <c r="J2604" s="16" t="n">
        <v>0.001</v>
      </c>
    </row>
    <row r="2605">
      <c r="A2605" s="16" t="n">
        <v>2601</v>
      </c>
      <c r="B2605" s="16" t="inlineStr">
        <is>
          <t>Backend</t>
        </is>
      </c>
      <c r="C2605" s="17" t="inlineStr">
        <is>
          <t>payment-service</t>
        </is>
      </c>
      <c r="D2605" s="16" t="inlineStr">
        <is>
          <t>Unit</t>
        </is>
      </c>
      <c r="E2605" s="17" t="inlineStr">
        <is>
          <t>PaymentStateMatrixTest › Link</t>
        </is>
      </c>
      <c r="F2605" s="17" t="inlineStr">
        <is>
          <t>PayosLink</t>
        </is>
      </c>
      <c r="G2605" s="17" t="inlineStr">
        <is>
          <t>Link hợp lệ giữ nguyên dữ liệu payOS trả về; status và accountName được phép trống</t>
        </is>
      </c>
      <c r="H2605" s="17" t="inlineStr">
        <is>
          <t>link_hop_le</t>
        </is>
      </c>
      <c r="I2605" s="16" t="inlineStr">
        <is>
          <t>Đạt</t>
        </is>
      </c>
      <c r="J2605" s="16" t="n">
        <v>0.001</v>
      </c>
    </row>
    <row r="2606">
      <c r="A2606" s="16" t="n">
        <v>2602</v>
      </c>
      <c r="B2606" s="16" t="inlineStr">
        <is>
          <t>Backend</t>
        </is>
      </c>
      <c r="C2606" s="17" t="inlineStr">
        <is>
          <t>payment-service</t>
        </is>
      </c>
      <c r="D2606" s="16" t="inlineStr">
        <is>
          <t>Unit</t>
        </is>
      </c>
      <c r="E2606" s="17" t="inlineStr">
        <is>
          <t>PaymentStateMatrixTest › MaTranCancel</t>
        </is>
      </c>
      <c r="F2606" s="17" t="inlineStr">
        <is>
          <t>Ma trận cancel</t>
        </is>
      </c>
      <c r="G2606" s="17" t="inlineStr">
        <is>
          <t>Intent đã hết hạn: không huỷ được, giữ EXPIRED</t>
        </is>
      </c>
      <c r="H2606" s="17" t="inlineStr">
        <is>
          <t>het_han_khong_huy</t>
        </is>
      </c>
      <c r="I2606" s="16" t="inlineStr">
        <is>
          <t>Đạt</t>
        </is>
      </c>
      <c r="J2606" s="16" t="n">
        <v>0.002</v>
      </c>
    </row>
    <row r="2607">
      <c r="A2607" s="16" t="n">
        <v>2603</v>
      </c>
      <c r="B2607" s="16" t="inlineStr">
        <is>
          <t>Backend</t>
        </is>
      </c>
      <c r="C2607" s="17" t="inlineStr">
        <is>
          <t>payment-service</t>
        </is>
      </c>
      <c r="D2607" s="16" t="inlineStr">
        <is>
          <t>Unit</t>
        </is>
      </c>
      <c r="E2607" s="17" t="inlineStr">
        <is>
          <t>PaymentStateMatrixTest › MaTranCancel</t>
        </is>
      </c>
      <c r="F2607" s="17" t="inlineStr">
        <is>
          <t>Ma trận cancel</t>
        </is>
      </c>
      <c r="G2607" s="17" t="inlineStr">
        <is>
          <t>Huỷ lần hai: false và giữ mốc huỷ của lần đầu</t>
        </is>
      </c>
      <c r="H2607" s="17" t="inlineStr">
        <is>
          <t>huy_hai_lan</t>
        </is>
      </c>
      <c r="I2607" s="16" t="inlineStr">
        <is>
          <t>Đạt</t>
        </is>
      </c>
      <c r="J2607" s="16" t="n">
        <v>0.001</v>
      </c>
    </row>
    <row r="2608">
      <c r="A2608" s="16" t="n">
        <v>2604</v>
      </c>
      <c r="B2608" s="16" t="inlineStr">
        <is>
          <t>Backend</t>
        </is>
      </c>
      <c r="C2608" s="17" t="inlineStr">
        <is>
          <t>payment-service</t>
        </is>
      </c>
      <c r="D2608" s="16" t="inlineStr">
        <is>
          <t>Unit</t>
        </is>
      </c>
      <c r="E2608" s="17" t="inlineStr">
        <is>
          <t>PaymentStateMatrixTest › MaTranConfirm</t>
        </is>
      </c>
      <c r="F2608" s="17" t="inlineStr">
        <is>
          <t>Ma trận confirm theo trạng thái</t>
        </is>
      </c>
      <c r="G2608" s="17" t="inlineStr">
        <is>
          <t>Intent đã đóng: NOT_PENDING và KHÔNG đổi gì trên aggregate</t>
        </is>
      </c>
      <c r="H2608" s="17" t="inlineStr">
        <is>
          <t>da_dong_thi_not_pending(PaymentStatus)[1]</t>
        </is>
      </c>
      <c r="I2608" s="16" t="inlineStr">
        <is>
          <t>Đạt</t>
        </is>
      </c>
      <c r="J2608" s="16" t="n">
        <v>0.002</v>
      </c>
    </row>
    <row r="2609">
      <c r="A2609" s="16" t="n">
        <v>2605</v>
      </c>
      <c r="B2609" s="16" t="inlineStr">
        <is>
          <t>Backend</t>
        </is>
      </c>
      <c r="C2609" s="17" t="inlineStr">
        <is>
          <t>payment-service</t>
        </is>
      </c>
      <c r="D2609" s="16" t="inlineStr">
        <is>
          <t>Unit</t>
        </is>
      </c>
      <c r="E2609" s="17" t="inlineStr">
        <is>
          <t>PaymentStateMatrixTest › MaTranConfirm</t>
        </is>
      </c>
      <c r="F2609" s="17" t="inlineStr">
        <is>
          <t>Ma trận confirm theo trạng thái</t>
        </is>
      </c>
      <c r="G2609" s="17" t="inlineStr">
        <is>
          <t>Intent đã đóng: NOT_PENDING và KHÔNG đổi gì trên aggregate</t>
        </is>
      </c>
      <c r="H2609" s="17" t="inlineStr">
        <is>
          <t>da_dong_thi_not_pending(PaymentStatus)[2]</t>
        </is>
      </c>
      <c r="I2609" s="16" t="inlineStr">
        <is>
          <t>Đạt</t>
        </is>
      </c>
      <c r="J2609" s="16" t="n">
        <v>0.001</v>
      </c>
    </row>
    <row r="2610">
      <c r="A2610" s="16" t="n">
        <v>2606</v>
      </c>
      <c r="B2610" s="16" t="inlineStr">
        <is>
          <t>Backend</t>
        </is>
      </c>
      <c r="C2610" s="17" t="inlineStr">
        <is>
          <t>payment-service</t>
        </is>
      </c>
      <c r="D2610" s="16" t="inlineStr">
        <is>
          <t>Unit</t>
        </is>
      </c>
      <c r="E2610" s="17" t="inlineStr">
        <is>
          <t>PaymentStateMatrixTest › MaTranConfirm</t>
        </is>
      </c>
      <c r="F2610" s="17" t="inlineStr">
        <is>
          <t>Ma trận confirm theo trạng thái</t>
        </is>
      </c>
      <c r="G2610" s="17" t="inlineStr">
        <is>
          <t>Trả thiếu không để lại dấu nửa vời trên aggregate</t>
        </is>
      </c>
      <c r="H2610" s="17" t="inlineStr">
        <is>
          <t>tra_thieu_khong_de_dau</t>
        </is>
      </c>
      <c r="I2610" s="16" t="inlineStr">
        <is>
          <t>Đạt</t>
        </is>
      </c>
      <c r="J2610" s="16" t="n">
        <v>0.001</v>
      </c>
    </row>
    <row r="2611">
      <c r="A2611" s="16" t="n">
        <v>2607</v>
      </c>
      <c r="B2611" s="16" t="inlineStr">
        <is>
          <t>Backend</t>
        </is>
      </c>
      <c r="C2611" s="17" t="inlineStr">
        <is>
          <t>payment-service</t>
        </is>
      </c>
      <c r="D2611" s="16" t="inlineStr">
        <is>
          <t>Unit</t>
        </is>
      </c>
      <c r="E2611" s="17" t="inlineStr">
        <is>
          <t>PaymentStateMatrixTest › MaTranConfirm</t>
        </is>
      </c>
      <c r="F2611" s="17" t="inlineStr">
        <is>
          <t>Ma trận confirm theo trạng thái</t>
        </is>
      </c>
      <c r="G2611" s="17" t="inlineStr">
        <is>
          <t>Đã xác nhận rồi, giao dịch khác trả THIẾU: ALREADY_CONFIRMED, không ghi đè số đã trả</t>
        </is>
      </c>
      <c r="H2611" s="17" t="inlineStr">
        <is>
          <t>da_xac_nhan_giao_dich_khac_tra_thieu</t>
        </is>
      </c>
      <c r="I2611" s="16" t="inlineStr">
        <is>
          <t>Đạt</t>
        </is>
      </c>
      <c r="J2611" s="16" t="n">
        <v>0.001</v>
      </c>
    </row>
    <row r="2612">
      <c r="A2612" s="16" t="n">
        <v>2608</v>
      </c>
      <c r="B2612" s="16" t="inlineStr">
        <is>
          <t>Backend</t>
        </is>
      </c>
      <c r="C2612" s="17" t="inlineStr">
        <is>
          <t>payment-service</t>
        </is>
      </c>
      <c r="D2612" s="16" t="inlineStr">
        <is>
          <t>Unit</t>
        </is>
      </c>
      <c r="E2612" s="17" t="inlineStr">
        <is>
          <t>PaymentStateMatrixTest › MaTranConfirm</t>
        </is>
      </c>
      <c r="F2612" s="17" t="inlineStr">
        <is>
          <t>Ma trận confirm theo trạng thái</t>
        </is>
      </c>
      <c r="G2612" s="17" t="inlineStr">
        <is>
          <t>Trả đúng bằng số của đơn là đủ — biên không lệch một đồng</t>
        </is>
      </c>
      <c r="H2612" s="17" t="inlineStr">
        <is>
          <t>tra_dung_bien</t>
        </is>
      </c>
      <c r="I2612" s="16" t="inlineStr">
        <is>
          <t>Đạt</t>
        </is>
      </c>
      <c r="J2612" s="16" t="n">
        <v>0.001</v>
      </c>
    </row>
    <row r="2613">
      <c r="A2613" s="16" t="n">
        <v>2609</v>
      </c>
      <c r="B2613" s="16" t="inlineStr">
        <is>
          <t>Backend</t>
        </is>
      </c>
      <c r="C2613" s="17" t="inlineStr">
        <is>
          <t>payment-service</t>
        </is>
      </c>
      <c r="D2613" s="16" t="inlineStr">
        <is>
          <t>Unit</t>
        </is>
      </c>
      <c r="E2613" s="17" t="inlineStr">
        <is>
          <t>PaymentStateMatrixTest › MaTranConfirm</t>
        </is>
      </c>
      <c r="F2613" s="17" t="inlineStr">
        <is>
          <t>Ma trận confirm theo trạng thái</t>
        </is>
      </c>
      <c r="G2613" s="17" t="inlineStr">
        <is>
          <t>Đã đóng VÀ trả thiếu: NOT_PENDING thắng — trạng thái kiểm trước số tiền</t>
        </is>
      </c>
      <c r="H2613" s="17" t="inlineStr">
        <is>
          <t>da_dong_va_tra_thieu</t>
        </is>
      </c>
      <c r="I2613" s="16" t="inlineStr">
        <is>
          <t>Đạt</t>
        </is>
      </c>
      <c r="J2613" s="16" t="n">
        <v>0.001</v>
      </c>
    </row>
    <row r="2614">
      <c r="A2614" s="16" t="n">
        <v>2610</v>
      </c>
      <c r="B2614" s="16" t="inlineStr">
        <is>
          <t>Backend</t>
        </is>
      </c>
      <c r="C2614" s="17" t="inlineStr">
        <is>
          <t>payment-service</t>
        </is>
      </c>
      <c r="D2614" s="16" t="inlineStr">
        <is>
          <t>Unit</t>
        </is>
      </c>
      <c r="E2614" s="17" t="inlineStr">
        <is>
          <t>PaymentStateMatrixTest › Reference</t>
        </is>
      </c>
      <c r="F2614" s="17" t="inlineStr">
        <is>
          <t>PaymentReference</t>
        </is>
      </c>
      <c r="G2614" s="17" t="inlineStr">
        <is>
          <t>null: từ chối</t>
        </is>
      </c>
      <c r="H2614" s="17" t="inlineStr">
        <is>
          <t>null_bi_tu_choi</t>
        </is>
      </c>
      <c r="I2614" s="16" t="inlineStr">
        <is>
          <t>Đạt</t>
        </is>
      </c>
      <c r="J2614" s="16" t="n">
        <v>0.003</v>
      </c>
    </row>
    <row r="2615">
      <c r="A2615" s="16" t="n">
        <v>2611</v>
      </c>
      <c r="B2615" s="16" t="inlineStr">
        <is>
          <t>Backend</t>
        </is>
      </c>
      <c r="C2615" s="17" t="inlineStr">
        <is>
          <t>payment-service</t>
        </is>
      </c>
      <c r="D2615" s="16" t="inlineStr">
        <is>
          <t>Unit</t>
        </is>
      </c>
      <c r="E2615" s="17" t="inlineStr">
        <is>
          <t>PaymentStateMatrixTest › Reference</t>
        </is>
      </c>
      <c r="F2615" s="17" t="inlineStr">
        <is>
          <t>PaymentReference</t>
        </is>
      </c>
      <c r="G2615" s="17" t="inlineStr">
        <is>
          <t>Hai đầu của dải orderCode đều sinh đúng 9 ký tự và đảo ngược được</t>
        </is>
      </c>
      <c r="H2615" s="17" t="inlineStr">
        <is>
          <t>hai_dau_dai</t>
        </is>
      </c>
      <c r="I2615" s="16" t="inlineStr">
        <is>
          <t>Đạt</t>
        </is>
      </c>
      <c r="J2615" s="16" t="n">
        <v>0.001</v>
      </c>
    </row>
    <row r="2616">
      <c r="A2616" s="16" t="n">
        <v>2612</v>
      </c>
      <c r="B2616" s="16" t="inlineStr">
        <is>
          <t>Backend</t>
        </is>
      </c>
      <c r="C2616" s="17" t="inlineStr">
        <is>
          <t>payment-service</t>
        </is>
      </c>
      <c r="D2616" s="16" t="inlineStr">
        <is>
          <t>Unit</t>
        </is>
      </c>
      <c r="E2616" s="17" t="inlineStr">
        <is>
          <t>PaymentStateMatrixTest › Reference</t>
        </is>
      </c>
      <c r="F2616" s="17" t="inlineStr">
        <is>
          <t>PaymentReference</t>
        </is>
      </c>
      <c r="G2616" s="17" t="inlineStr">
        <is>
          <t>Sai khuôn NT + 7 chữ số: từ chối</t>
        </is>
      </c>
      <c r="H2616" s="17" t="inlineStr">
        <is>
          <t>sai_khuon(String)[1]</t>
        </is>
      </c>
      <c r="I2616" s="16" t="inlineStr">
        <is>
          <t>Đạt</t>
        </is>
      </c>
      <c r="J2616" s="16" t="n">
        <v>0.003</v>
      </c>
    </row>
    <row r="2617">
      <c r="A2617" s="16" t="n">
        <v>2613</v>
      </c>
      <c r="B2617" s="16" t="inlineStr">
        <is>
          <t>Backend</t>
        </is>
      </c>
      <c r="C2617" s="17" t="inlineStr">
        <is>
          <t>payment-service</t>
        </is>
      </c>
      <c r="D2617" s="16" t="inlineStr">
        <is>
          <t>Unit</t>
        </is>
      </c>
      <c r="E2617" s="17" t="inlineStr">
        <is>
          <t>PaymentStateMatrixTest › Reference</t>
        </is>
      </c>
      <c r="F2617" s="17" t="inlineStr">
        <is>
          <t>PaymentReference</t>
        </is>
      </c>
      <c r="G2617" s="17" t="inlineStr">
        <is>
          <t>Sai khuôn NT + 7 chữ số: từ chối</t>
        </is>
      </c>
      <c r="H2617" s="17" t="inlineStr">
        <is>
          <t>sai_khuon(String)[2]</t>
        </is>
      </c>
      <c r="I2617" s="16" t="inlineStr">
        <is>
          <t>Đạt</t>
        </is>
      </c>
      <c r="J2617" s="16" t="n">
        <v>0.002</v>
      </c>
    </row>
    <row r="2618">
      <c r="A2618" s="16" t="n">
        <v>2614</v>
      </c>
      <c r="B2618" s="16" t="inlineStr">
        <is>
          <t>Backend</t>
        </is>
      </c>
      <c r="C2618" s="17" t="inlineStr">
        <is>
          <t>payment-service</t>
        </is>
      </c>
      <c r="D2618" s="16" t="inlineStr">
        <is>
          <t>Unit</t>
        </is>
      </c>
      <c r="E2618" s="17" t="inlineStr">
        <is>
          <t>PaymentStateMatrixTest › Reference</t>
        </is>
      </c>
      <c r="F2618" s="17" t="inlineStr">
        <is>
          <t>PaymentReference</t>
        </is>
      </c>
      <c r="G2618" s="17" t="inlineStr">
        <is>
          <t>Sai khuôn NT + 7 chữ số: từ chối</t>
        </is>
      </c>
      <c r="H2618" s="17" t="inlineStr">
        <is>
          <t>sai_khuon(String)[3]</t>
        </is>
      </c>
      <c r="I2618" s="16" t="inlineStr">
        <is>
          <t>Đạt</t>
        </is>
      </c>
      <c r="J2618" s="16" t="n">
        <v>0.002</v>
      </c>
    </row>
    <row r="2619">
      <c r="A2619" s="16" t="n">
        <v>2615</v>
      </c>
      <c r="B2619" s="16" t="inlineStr">
        <is>
          <t>Backend</t>
        </is>
      </c>
      <c r="C2619" s="17" t="inlineStr">
        <is>
          <t>payment-service</t>
        </is>
      </c>
      <c r="D2619" s="16" t="inlineStr">
        <is>
          <t>Unit</t>
        </is>
      </c>
      <c r="E2619" s="17" t="inlineStr">
        <is>
          <t>PaymentStateMatrixTest › Reference</t>
        </is>
      </c>
      <c r="F2619" s="17" t="inlineStr">
        <is>
          <t>PaymentReference</t>
        </is>
      </c>
      <c r="G2619" s="17" t="inlineStr">
        <is>
          <t>Sai khuôn NT + 7 chữ số: từ chối</t>
        </is>
      </c>
      <c r="H2619" s="17" t="inlineStr">
        <is>
          <t>sai_khuon(String)[4]</t>
        </is>
      </c>
      <c r="I2619" s="16" t="inlineStr">
        <is>
          <t>Đạt</t>
        </is>
      </c>
      <c r="J2619" s="16" t="n">
        <v>0.002</v>
      </c>
    </row>
    <row r="2620">
      <c r="A2620" s="16" t="n">
        <v>2616</v>
      </c>
      <c r="B2620" s="16" t="inlineStr">
        <is>
          <t>Backend</t>
        </is>
      </c>
      <c r="C2620" s="17" t="inlineStr">
        <is>
          <t>payment-service</t>
        </is>
      </c>
      <c r="D2620" s="16" t="inlineStr">
        <is>
          <t>Unit</t>
        </is>
      </c>
      <c r="E2620" s="17" t="inlineStr">
        <is>
          <t>PaymentStateMatrixTest › Reference</t>
        </is>
      </c>
      <c r="F2620" s="17" t="inlineStr">
        <is>
          <t>PaymentReference</t>
        </is>
      </c>
      <c r="G2620" s="17" t="inlineStr">
        <is>
          <t>Sai khuôn NT + 7 chữ số: từ chối</t>
        </is>
      </c>
      <c r="H2620" s="17" t="inlineStr">
        <is>
          <t>sai_khuon(String)[5]</t>
        </is>
      </c>
      <c r="I2620" s="16" t="inlineStr">
        <is>
          <t>Đạt</t>
        </is>
      </c>
      <c r="J2620" s="16" t="n">
        <v>0.001</v>
      </c>
    </row>
    <row r="2621">
      <c r="A2621" s="16" t="n">
        <v>2617</v>
      </c>
      <c r="B2621" s="16" t="inlineStr">
        <is>
          <t>Backend</t>
        </is>
      </c>
      <c r="C2621" s="17" t="inlineStr">
        <is>
          <t>payment-service</t>
        </is>
      </c>
      <c r="D2621" s="16" t="inlineStr">
        <is>
          <t>Unit</t>
        </is>
      </c>
      <c r="E2621" s="17" t="inlineStr">
        <is>
          <t>PaymentStateMatrixTest › Reference</t>
        </is>
      </c>
      <c r="F2621" s="17" t="inlineStr">
        <is>
          <t>PaymentReference</t>
        </is>
      </c>
      <c r="G2621" s="17" t="inlineStr">
        <is>
          <t>Sai khuôn NT + 7 chữ số: từ chối</t>
        </is>
      </c>
      <c r="H2621" s="17" t="inlineStr">
        <is>
          <t>sai_khuon(String)[6]</t>
        </is>
      </c>
      <c r="I2621" s="16" t="inlineStr">
        <is>
          <t>Đạt</t>
        </is>
      </c>
      <c r="J2621" s="16" t="n">
        <v>0.001</v>
      </c>
    </row>
    <row r="2622">
      <c r="A2622" s="16" t="n">
        <v>2618</v>
      </c>
      <c r="B2622" s="16" t="inlineStr">
        <is>
          <t>Backend</t>
        </is>
      </c>
      <c r="C2622" s="17" t="inlineStr">
        <is>
          <t>payment-service</t>
        </is>
      </c>
      <c r="D2622" s="16" t="inlineStr">
        <is>
          <t>Unit</t>
        </is>
      </c>
      <c r="E2622" s="17" t="inlineStr">
        <is>
          <t>PaymentStateMatrixTest › Reference</t>
        </is>
      </c>
      <c r="F2622" s="17" t="inlineStr">
        <is>
          <t>PaymentReference</t>
        </is>
      </c>
      <c r="G2622" s="17" t="inlineStr">
        <is>
          <t>Sai khuôn NT + 7 chữ số: từ chối</t>
        </is>
      </c>
      <c r="H2622" s="17" t="inlineStr">
        <is>
          <t>sai_khuon(String)[7]</t>
        </is>
      </c>
      <c r="I2622" s="16" t="inlineStr">
        <is>
          <t>Đạt</t>
        </is>
      </c>
      <c r="J2622" s="16" t="n">
        <v>0.001</v>
      </c>
    </row>
    <row r="2623">
      <c r="A2623" s="16" t="n">
        <v>2619</v>
      </c>
      <c r="B2623" s="16" t="inlineStr">
        <is>
          <t>Backend</t>
        </is>
      </c>
      <c r="C2623" s="17" t="inlineStr">
        <is>
          <t>payment-service</t>
        </is>
      </c>
      <c r="D2623" s="16" t="inlineStr">
        <is>
          <t>Unit</t>
        </is>
      </c>
      <c r="E2623" s="17" t="inlineStr">
        <is>
          <t>OrderingHttpAdapterTest › KhongTraLoi</t>
        </is>
      </c>
      <c r="F2623" s="17" t="inlineStr">
        <is>
          <t>Ordering không trả lời được</t>
        </is>
      </c>
      <c r="G2623" s="17" t="inlineStr">
        <is>
          <t>HTTP 500: OrderingUnavailableException — để webhook được giao lại</t>
        </is>
      </c>
      <c r="H2623" s="17" t="inlineStr">
        <is>
          <t>loi_500</t>
        </is>
      </c>
      <c r="I2623" s="16" t="inlineStr">
        <is>
          <t>Đạt</t>
        </is>
      </c>
      <c r="J2623" s="16" t="n">
        <v>1.498</v>
      </c>
    </row>
    <row r="2624">
      <c r="A2624" s="16" t="n">
        <v>2620</v>
      </c>
      <c r="B2624" s="16" t="inlineStr">
        <is>
          <t>Backend</t>
        </is>
      </c>
      <c r="C2624" s="17" t="inlineStr">
        <is>
          <t>payment-service</t>
        </is>
      </c>
      <c r="D2624" s="16" t="inlineStr">
        <is>
          <t>Unit</t>
        </is>
      </c>
      <c r="E2624" s="17" t="inlineStr">
        <is>
          <t>OrderingHttpAdapterTest › KhongTraLoi</t>
        </is>
      </c>
      <c r="F2624" s="17" t="inlineStr">
        <is>
          <t>Ordering không trả lời được</t>
        </is>
      </c>
      <c r="G2624" s="17" t="inlineStr">
        <is>
          <t>HTTP 404/409: cũng là 'không phản hồi' — payment không tự kết luận thay Ordering</t>
        </is>
      </c>
      <c r="H2624" s="17" t="inlineStr">
        <is>
          <t>loi_4xx</t>
        </is>
      </c>
      <c r="I2624" s="16" t="inlineStr">
        <is>
          <t>Đạt</t>
        </is>
      </c>
      <c r="J2624" s="16" t="n">
        <v>0.018</v>
      </c>
    </row>
    <row r="2625">
      <c r="A2625" s="16" t="n">
        <v>2621</v>
      </c>
      <c r="B2625" s="16" t="inlineStr">
        <is>
          <t>Backend</t>
        </is>
      </c>
      <c r="C2625" s="17" t="inlineStr">
        <is>
          <t>payment-service</t>
        </is>
      </c>
      <c r="D2625" s="16" t="inlineStr">
        <is>
          <t>Unit</t>
        </is>
      </c>
      <c r="E2625" s="17" t="inlineStr">
        <is>
          <t>OrderingHttpAdapterTest › KhongTraLoi</t>
        </is>
      </c>
      <c r="F2625" s="17" t="inlineStr">
        <is>
          <t>Ordering không trả lời được</t>
        </is>
      </c>
      <c r="G2625" s="17" t="inlineStr">
        <is>
          <t>Body 200 không phải JSON: OrderingUnavailableException, không nuốt thành PAID</t>
        </is>
      </c>
      <c r="H2625" s="17" t="inlineStr">
        <is>
          <t>body_hong</t>
        </is>
      </c>
      <c r="I2625" s="16" t="inlineStr">
        <is>
          <t>Đạt</t>
        </is>
      </c>
      <c r="J2625" s="16" t="n">
        <v>0.242</v>
      </c>
    </row>
    <row r="2626">
      <c r="A2626" s="16" t="n">
        <v>2622</v>
      </c>
      <c r="B2626" s="16" t="inlineStr">
        <is>
          <t>Backend</t>
        </is>
      </c>
      <c r="C2626" s="17" t="inlineStr">
        <is>
          <t>payment-service</t>
        </is>
      </c>
      <c r="D2626" s="16" t="inlineStr">
        <is>
          <t>Unit</t>
        </is>
      </c>
      <c r="E2626" s="17" t="inlineStr">
        <is>
          <t>OrderingHttpAdapterTest › KhongTraLoi</t>
        </is>
      </c>
      <c r="F2626" s="17" t="inlineStr">
        <is>
          <t>Ordering không trả lời được</t>
        </is>
      </c>
      <c r="G2626" s="17" t="inlineStr">
        <is>
          <t>Lỗi mạng: OrderingUnavailableException giữ nguyên nguyên nhân gốc</t>
        </is>
      </c>
      <c r="H2626" s="17" t="inlineStr">
        <is>
          <t>loi_mang</t>
        </is>
      </c>
      <c r="I2626" s="16" t="inlineStr">
        <is>
          <t>Đạt</t>
        </is>
      </c>
      <c r="J2626" s="16" t="n">
        <v>0.013</v>
      </c>
    </row>
    <row r="2627">
      <c r="A2627" s="16" t="n">
        <v>2623</v>
      </c>
      <c r="B2627" s="16" t="inlineStr">
        <is>
          <t>Backend</t>
        </is>
      </c>
      <c r="C2627" s="17" t="inlineStr">
        <is>
          <t>payment-service</t>
        </is>
      </c>
      <c r="D2627" s="16" t="inlineStr">
        <is>
          <t>Unit</t>
        </is>
      </c>
      <c r="E2627" s="17" t="inlineStr">
        <is>
          <t>OrderingHttpAdapterTest › TraLoi</t>
        </is>
      </c>
      <c r="F2627" s="17" t="inlineStr">
        <is>
          <t>Ordering trả lời</t>
        </is>
      </c>
      <c r="G2627" s="17" t="inlineStr">
        <is>
          <t>Ba câu trả lời đã biết được dịch đúng</t>
        </is>
      </c>
      <c r="H2627" s="17" t="inlineStr">
        <is>
          <t>ba_cau_tra_loi(String, Confirmation)[1]</t>
        </is>
      </c>
      <c r="I2627" s="16" t="inlineStr">
        <is>
          <t>Đạt</t>
        </is>
      </c>
      <c r="J2627" s="16" t="n">
        <v>0.059</v>
      </c>
    </row>
    <row r="2628">
      <c r="A2628" s="16" t="n">
        <v>2624</v>
      </c>
      <c r="B2628" s="16" t="inlineStr">
        <is>
          <t>Backend</t>
        </is>
      </c>
      <c r="C2628" s="17" t="inlineStr">
        <is>
          <t>payment-service</t>
        </is>
      </c>
      <c r="D2628" s="16" t="inlineStr">
        <is>
          <t>Unit</t>
        </is>
      </c>
      <c r="E2628" s="17" t="inlineStr">
        <is>
          <t>OrderingHttpAdapterTest › TraLoi</t>
        </is>
      </c>
      <c r="F2628" s="17" t="inlineStr">
        <is>
          <t>Ordering trả lời</t>
        </is>
      </c>
      <c r="G2628" s="17" t="inlineStr">
        <is>
          <t>Ba câu trả lời đã biết được dịch đúng</t>
        </is>
      </c>
      <c r="H2628" s="17" t="inlineStr">
        <is>
          <t>ba_cau_tra_loi(String, Confirmation)[2]</t>
        </is>
      </c>
      <c r="I2628" s="16" t="inlineStr">
        <is>
          <t>Đạt</t>
        </is>
      </c>
      <c r="J2628" s="16" t="n">
        <v>0.018</v>
      </c>
    </row>
    <row r="2629">
      <c r="A2629" s="16" t="n">
        <v>2625</v>
      </c>
      <c r="B2629" s="16" t="inlineStr">
        <is>
          <t>Backend</t>
        </is>
      </c>
      <c r="C2629" s="17" t="inlineStr">
        <is>
          <t>payment-service</t>
        </is>
      </c>
      <c r="D2629" s="16" t="inlineStr">
        <is>
          <t>Unit</t>
        </is>
      </c>
      <c r="E2629" s="17" t="inlineStr">
        <is>
          <t>OrderingHttpAdapterTest › TraLoi</t>
        </is>
      </c>
      <c r="F2629" s="17" t="inlineStr">
        <is>
          <t>Ordering trả lời</t>
        </is>
      </c>
      <c r="G2629" s="17" t="inlineStr">
        <is>
          <t>Ba câu trả lời đã biết được dịch đúng</t>
        </is>
      </c>
      <c r="H2629" s="17" t="inlineStr">
        <is>
          <t>ba_cau_tra_loi(String, Confirmation)[3]</t>
        </is>
      </c>
      <c r="I2629" s="16" t="inlineStr">
        <is>
          <t>Đạt</t>
        </is>
      </c>
      <c r="J2629" s="16" t="n">
        <v>0.014</v>
      </c>
    </row>
    <row r="2630">
      <c r="A2630" s="16" t="n">
        <v>2626</v>
      </c>
      <c r="B2630" s="16" t="inlineStr">
        <is>
          <t>Backend</t>
        </is>
      </c>
      <c r="C2630" s="17" t="inlineStr">
        <is>
          <t>payment-service</t>
        </is>
      </c>
      <c r="D2630" s="16" t="inlineStr">
        <is>
          <t>Unit</t>
        </is>
      </c>
      <c r="E2630" s="17" t="inlineStr">
        <is>
          <t>OrderingHttpAdapterTest › TraLoi</t>
        </is>
      </c>
      <c r="F2630" s="17" t="inlineStr">
        <is>
          <t>Ordering trả lời</t>
        </is>
      </c>
      <c r="G2630" s="17" t="inlineStr">
        <is>
          <t>Giá trị outcome lạ hoặc trống: coi như PAID, không ném</t>
        </is>
      </c>
      <c r="H2630" s="17" t="inlineStr">
        <is>
          <t>outcome_la</t>
        </is>
      </c>
      <c r="I2630" s="16" t="inlineStr">
        <is>
          <t>Đạt</t>
        </is>
      </c>
      <c r="J2630" s="16" t="n">
        <v>0.016</v>
      </c>
    </row>
    <row r="2631">
      <c r="A2631" s="16" t="n">
        <v>2627</v>
      </c>
      <c r="B2631" s="16" t="inlineStr">
        <is>
          <t>Backend</t>
        </is>
      </c>
      <c r="C2631" s="17" t="inlineStr">
        <is>
          <t>payment-service</t>
        </is>
      </c>
      <c r="D2631" s="16" t="inlineStr">
        <is>
          <t>Unit</t>
        </is>
      </c>
      <c r="E2631" s="17" t="inlineStr">
        <is>
          <t>OrderingHttpAdapterTest › TraLoi</t>
        </is>
      </c>
      <c r="F2631" s="17" t="inlineStr">
        <is>
          <t>Ordering trả lời</t>
        </is>
      </c>
      <c r="G2631" s="17" t="inlineStr">
        <is>
          <t>204 không body (Ordering bản cũ): coi như PAID, không biến rolling deploy thành vòng retry</t>
        </is>
      </c>
      <c r="H2631" s="17" t="inlineStr">
        <is>
          <t>khong_body_la_paid</t>
        </is>
      </c>
      <c r="I2631" s="16" t="inlineStr">
        <is>
          <t>Đạt</t>
        </is>
      </c>
      <c r="J2631" s="16" t="n">
        <v>0.008</v>
      </c>
    </row>
    <row r="2632">
      <c r="A2632" s="16" t="n">
        <v>2628</v>
      </c>
      <c r="B2632" s="16" t="inlineStr">
        <is>
          <t>Backend</t>
        </is>
      </c>
      <c r="C2632" s="17" t="inlineStr">
        <is>
          <t>payment-service</t>
        </is>
      </c>
      <c r="D2632" s="16" t="inlineStr">
        <is>
          <t>Unit</t>
        </is>
      </c>
      <c r="E2632" s="17" t="inlineStr">
        <is>
          <t>PayosHttpGatewayTest › HuyVaDangKy</t>
        </is>
      </c>
      <c r="F2632" s="17" t="inlineStr">
        <is>
          <t>Huỷ link và đăng ký webhook</t>
        </is>
      </c>
      <c r="G2632" s="17" t="inlineStr">
        <is>
          <t>Đăng ký webhook: response KHÔNG ký vẫn được nhận</t>
        </is>
      </c>
      <c r="H2632" s="17" t="inlineStr">
        <is>
          <t>dang_ky_webhook_khong_ky</t>
        </is>
      </c>
      <c r="I2632" s="16" t="inlineStr">
        <is>
          <t>Đạt</t>
        </is>
      </c>
      <c r="J2632" s="16" t="n">
        <v>0.219</v>
      </c>
    </row>
    <row r="2633">
      <c r="A2633" s="16" t="n">
        <v>2629</v>
      </c>
      <c r="B2633" s="16" t="inlineStr">
        <is>
          <t>Backend</t>
        </is>
      </c>
      <c r="C2633" s="17" t="inlineStr">
        <is>
          <t>payment-service</t>
        </is>
      </c>
      <c r="D2633" s="16" t="inlineStr">
        <is>
          <t>Unit</t>
        </is>
      </c>
      <c r="E2633" s="17" t="inlineStr">
        <is>
          <t>PayosHttpGatewayTest › HuyVaDangKy</t>
        </is>
      </c>
      <c r="F2633" s="17" t="inlineStr">
        <is>
          <t>Huỷ link và đăng ký webhook</t>
        </is>
      </c>
      <c r="G2633" s="17" t="inlineStr">
        <is>
          <t>Huỷ link đã thanh toán: Rejected mang mã payOS</t>
        </is>
      </c>
      <c r="H2633" s="17" t="inlineStr">
        <is>
          <t>huy_link_da_thanh_toan</t>
        </is>
      </c>
      <c r="I2633" s="16" t="inlineStr">
        <is>
          <t>Đạt</t>
        </is>
      </c>
      <c r="J2633" s="16" t="n">
        <v>0.012</v>
      </c>
    </row>
    <row r="2634">
      <c r="A2634" s="16" t="n">
        <v>2630</v>
      </c>
      <c r="B2634" s="16" t="inlineStr">
        <is>
          <t>Backend</t>
        </is>
      </c>
      <c r="C2634" s="17" t="inlineStr">
        <is>
          <t>payment-service</t>
        </is>
      </c>
      <c r="D2634" s="16" t="inlineStr">
        <is>
          <t>Unit</t>
        </is>
      </c>
      <c r="E2634" s="17" t="inlineStr">
        <is>
          <t>PayosHttpGatewayTest › HuyVaDangKy</t>
        </is>
      </c>
      <c r="F2634" s="17" t="inlineStr">
        <is>
          <t>Huỷ link và đăng ký webhook</t>
        </is>
      </c>
      <c r="G2634" s="17" t="inlineStr">
        <is>
          <t>Huỷ link không có lý do: dùng lý do mặc định, không gửi null</t>
        </is>
      </c>
      <c r="H2634" s="17" t="inlineStr">
        <is>
          <t>huy_link_khong_ly_do</t>
        </is>
      </c>
      <c r="I2634" s="16" t="inlineStr">
        <is>
          <t>Đạt</t>
        </is>
      </c>
      <c r="J2634" s="16" t="n">
        <v>0.011</v>
      </c>
    </row>
    <row r="2635">
      <c r="A2635" s="16" t="n">
        <v>2631</v>
      </c>
      <c r="B2635" s="16" t="inlineStr">
        <is>
          <t>Backend</t>
        </is>
      </c>
      <c r="C2635" s="17" t="inlineStr">
        <is>
          <t>payment-service</t>
        </is>
      </c>
      <c r="D2635" s="16" t="inlineStr">
        <is>
          <t>Unit</t>
        </is>
      </c>
      <c r="E2635" s="17" t="inlineStr">
        <is>
          <t>PayosHttpGatewayTest › HuyVaDangKy</t>
        </is>
      </c>
      <c r="F2635" s="17" t="inlineStr">
        <is>
          <t>Huỷ link và đăng ký webhook</t>
        </is>
      </c>
      <c r="G2635" s="17" t="inlineStr">
        <is>
          <t>Huỷ link: POST đúng đường dẫn với lý do huỷ</t>
        </is>
      </c>
      <c r="H2635" s="17" t="inlineStr">
        <is>
          <t>huy_link</t>
        </is>
      </c>
      <c r="I2635" s="16" t="inlineStr">
        <is>
          <t>Đạt</t>
        </is>
      </c>
      <c r="J2635" s="16" t="n">
        <v>0.012</v>
      </c>
    </row>
    <row r="2636">
      <c r="A2636" s="16" t="n">
        <v>2632</v>
      </c>
      <c r="B2636" s="16" t="inlineStr">
        <is>
          <t>Backend</t>
        </is>
      </c>
      <c r="C2636" s="17" t="inlineStr">
        <is>
          <t>payment-service</t>
        </is>
      </c>
      <c r="D2636" s="16" t="inlineStr">
        <is>
          <t>Unit</t>
        </is>
      </c>
      <c r="E2636" s="17" t="inlineStr">
        <is>
          <t>PayosHttpGatewayTest › KiemWebhook</t>
        </is>
      </c>
      <c r="F2636" s="17" t="inlineStr">
        <is>
          <t>Kiểm webhook</t>
        </is>
      </c>
      <c r="G2636" s="17" t="inlineStr">
        <is>
          <t>Không có reference: dùng paymentLinkId làm mã giao dịch</t>
        </is>
      </c>
      <c r="H2636" s="17" t="inlineStr">
        <is>
          <t>khong_reference_dung_link_id</t>
        </is>
      </c>
      <c r="I2636" s="16" t="inlineStr">
        <is>
          <t>Đạt</t>
        </is>
      </c>
      <c r="J2636" s="16" t="n">
        <v>0.253</v>
      </c>
    </row>
    <row r="2637">
      <c r="A2637" s="16" t="n">
        <v>2633</v>
      </c>
      <c r="B2637" s="16" t="inlineStr">
        <is>
          <t>Backend</t>
        </is>
      </c>
      <c r="C2637" s="17" t="inlineStr">
        <is>
          <t>payment-service</t>
        </is>
      </c>
      <c r="D2637" s="16" t="inlineStr">
        <is>
          <t>Unit</t>
        </is>
      </c>
      <c r="E2637" s="17" t="inlineStr">
        <is>
          <t>PayosHttpGatewayTest › KiemWebhook</t>
        </is>
      </c>
      <c r="F2637" s="17" t="inlineStr">
        <is>
          <t>Kiểm webhook</t>
        </is>
      </c>
      <c r="G2637" s="17" t="inlineStr">
        <is>
          <t>Service chưa có checksum key: TỪ CHỐI mọi webhook, không mở cửa</t>
        </is>
      </c>
      <c r="H2637" s="17" t="inlineStr">
        <is>
          <t>thieu_checksum_key</t>
        </is>
      </c>
      <c r="I2637" s="16" t="inlineStr">
        <is>
          <t>Đạt</t>
        </is>
      </c>
      <c r="J2637" s="16" t="n">
        <v>0.036</v>
      </c>
    </row>
    <row r="2638">
      <c r="A2638" s="16" t="n">
        <v>2634</v>
      </c>
      <c r="B2638" s="16" t="inlineStr">
        <is>
          <t>Backend</t>
        </is>
      </c>
      <c r="C2638" s="17" t="inlineStr">
        <is>
          <t>payment-service</t>
        </is>
      </c>
      <c r="D2638" s="16" t="inlineStr">
        <is>
          <t>Unit</t>
        </is>
      </c>
      <c r="E2638" s="17" t="inlineStr">
        <is>
          <t>PayosHttpGatewayTest › KiemWebhook</t>
        </is>
      </c>
      <c r="F2638" s="17" t="inlineStr">
        <is>
          <t>Kiểm webhook</t>
        </is>
      </c>
      <c r="G2638" s="17" t="inlineStr">
        <is>
          <t>Ký bằng khoá khác: từ chối</t>
        </is>
      </c>
      <c r="H2638" s="17" t="inlineStr">
        <is>
          <t>khoa_khac</t>
        </is>
      </c>
      <c r="I2638" s="16" t="inlineStr">
        <is>
          <t>Đạt</t>
        </is>
      </c>
      <c r="J2638" s="16" t="n">
        <v>0.019</v>
      </c>
    </row>
    <row r="2639">
      <c r="A2639" s="16" t="n">
        <v>2635</v>
      </c>
      <c r="B2639" s="16" t="inlineStr">
        <is>
          <t>Backend</t>
        </is>
      </c>
      <c r="C2639" s="17" t="inlineStr">
        <is>
          <t>payment-service</t>
        </is>
      </c>
      <c r="D2639" s="16" t="inlineStr">
        <is>
          <t>Unit</t>
        </is>
      </c>
      <c r="E2639" s="17" t="inlineStr">
        <is>
          <t>PayosHttpGatewayTest › KiemWebhook</t>
        </is>
      </c>
      <c r="F2639" s="17" t="inlineStr">
        <is>
          <t>Kiểm webhook</t>
        </is>
      </c>
      <c r="G2639" s="17" t="inlineStr">
        <is>
          <t>Sửa số tiền sau khi ký: từ chối, không đọc trường nào</t>
        </is>
      </c>
      <c r="H2639" s="17" t="inlineStr">
        <is>
          <t>sua_so_tien</t>
        </is>
      </c>
      <c r="I2639" s="16" t="inlineStr">
        <is>
          <t>Đạt</t>
        </is>
      </c>
      <c r="J2639" s="16" t="n">
        <v>0.017</v>
      </c>
    </row>
    <row r="2640">
      <c r="A2640" s="16" t="n">
        <v>2636</v>
      </c>
      <c r="B2640" s="16" t="inlineStr">
        <is>
          <t>Backend</t>
        </is>
      </c>
      <c r="C2640" s="17" t="inlineStr">
        <is>
          <t>payment-service</t>
        </is>
      </c>
      <c r="D2640" s="16" t="inlineStr">
        <is>
          <t>Unit</t>
        </is>
      </c>
      <c r="E2640" s="17" t="inlineStr">
        <is>
          <t>PayosHttpGatewayTest › KiemWebhook</t>
        </is>
      </c>
      <c r="F2640" s="17" t="inlineStr">
        <is>
          <t>Kiểm webhook</t>
        </is>
      </c>
      <c r="G2640" s="17" t="inlineStr">
        <is>
          <t>Envelope báo thành công nhưng data.code khác 00: đã ký nhưng KHÔNG thành công</t>
        </is>
      </c>
      <c r="H2640" s="17" t="inlineStr">
        <is>
          <t>data_code_that_bai</t>
        </is>
      </c>
      <c r="I2640" s="16" t="inlineStr">
        <is>
          <t>Đạt</t>
        </is>
      </c>
      <c r="J2640" s="16" t="n">
        <v>0.038</v>
      </c>
    </row>
    <row r="2641">
      <c r="A2641" s="16" t="n">
        <v>2637</v>
      </c>
      <c r="B2641" s="16" t="inlineStr">
        <is>
          <t>Backend</t>
        </is>
      </c>
      <c r="C2641" s="17" t="inlineStr">
        <is>
          <t>payment-service</t>
        </is>
      </c>
      <c r="D2641" s="16" t="inlineStr">
        <is>
          <t>Unit</t>
        </is>
      </c>
      <c r="E2641" s="17" t="inlineStr">
        <is>
          <t>PayosHttpGatewayTest › KiemWebhook</t>
        </is>
      </c>
      <c r="F2641" s="17" t="inlineStr">
        <is>
          <t>Kiểm webhook</t>
        </is>
      </c>
      <c r="G2641" s="17" t="inlineStr">
        <is>
          <t>Envelope báo thất bại (code 01, success=false): không thành công dù data.code là 00</t>
        </is>
      </c>
      <c r="H2641" s="17" t="inlineStr">
        <is>
          <t>envelope_that_bai</t>
        </is>
      </c>
      <c r="I2641" s="16" t="inlineStr">
        <is>
          <t>Đạt</t>
        </is>
      </c>
      <c r="J2641" s="16" t="n">
        <v>0.018</v>
      </c>
    </row>
    <row r="2642">
      <c r="A2642" s="16" t="n">
        <v>2638</v>
      </c>
      <c r="B2642" s="16" t="inlineStr">
        <is>
          <t>Backend</t>
        </is>
      </c>
      <c r="C2642" s="17" t="inlineStr">
        <is>
          <t>payment-service</t>
        </is>
      </c>
      <c r="D2642" s="16" t="inlineStr">
        <is>
          <t>Unit</t>
        </is>
      </c>
      <c r="E2642" s="17" t="inlineStr">
        <is>
          <t>PayosHttpGatewayTest › KiemWebhook</t>
        </is>
      </c>
      <c r="F2642" s="17" t="inlineStr">
        <is>
          <t>Kiểm webhook</t>
        </is>
      </c>
      <c r="G2642" s="17" t="inlineStr">
        <is>
          <t>Đã ký đúng: đọc orderCode, số tiền, mã giao dịch, thành công</t>
        </is>
      </c>
      <c r="H2642" s="17" t="inlineStr">
        <is>
          <t>da_ky_dung</t>
        </is>
      </c>
      <c r="I2642" s="16" t="inlineStr">
        <is>
          <t>Đạt</t>
        </is>
      </c>
      <c r="J2642" s="16" t="n">
        <v>0.026</v>
      </c>
    </row>
    <row r="2643">
      <c r="A2643" s="16" t="n">
        <v>2639</v>
      </c>
      <c r="B2643" s="16" t="inlineStr">
        <is>
          <t>Backend</t>
        </is>
      </c>
      <c r="C2643" s="17" t="inlineStr">
        <is>
          <t>payment-service</t>
        </is>
      </c>
      <c r="D2643" s="16" t="inlineStr">
        <is>
          <t>Unit</t>
        </is>
      </c>
      <c r="E2643" s="17" t="inlineStr">
        <is>
          <t>PayosHttpGatewayTest › KiemWebhook</t>
        </is>
      </c>
      <c r="F2643" s="17" t="inlineStr">
        <is>
          <t>Kiểm webhook</t>
        </is>
      </c>
      <c r="G2643" s="17" t="inlineStr">
        <is>
          <t>Không có trường signature: từ chối</t>
        </is>
      </c>
      <c r="H2643" s="17" t="inlineStr">
        <is>
          <t>khong_co_chu_ky</t>
        </is>
      </c>
      <c r="I2643" s="16" t="inlineStr">
        <is>
          <t>Đạt</t>
        </is>
      </c>
      <c r="J2643" s="16" t="n">
        <v>0.014</v>
      </c>
    </row>
    <row r="2644">
      <c r="A2644" s="16" t="n">
        <v>2640</v>
      </c>
      <c r="B2644" s="16" t="inlineStr">
        <is>
          <t>Backend</t>
        </is>
      </c>
      <c r="C2644" s="17" t="inlineStr">
        <is>
          <t>payment-service</t>
        </is>
      </c>
      <c r="D2644" s="16" t="inlineStr">
        <is>
          <t>Unit</t>
        </is>
      </c>
      <c r="E2644" s="17" t="inlineStr">
        <is>
          <t>PayosHttpGatewayTest › KiemWebhook</t>
        </is>
      </c>
      <c r="F2644" s="17" t="inlineStr">
        <is>
          <t>Kiểm webhook</t>
        </is>
      </c>
      <c r="G2644" s="17" t="inlineStr">
        <is>
          <t>Body không phải JSON, là mảng, hoặc thiếu data: từ chối kèm lý do riêng</t>
        </is>
      </c>
      <c r="H2644" s="17" t="inlineStr">
        <is>
          <t>body_hong</t>
        </is>
      </c>
      <c r="I2644" s="16" t="inlineStr">
        <is>
          <t>Đạt</t>
        </is>
      </c>
      <c r="J2644" s="16" t="n">
        <v>0.015</v>
      </c>
    </row>
    <row r="2645">
      <c r="A2645" s="16" t="n">
        <v>2641</v>
      </c>
      <c r="B2645" s="16" t="inlineStr">
        <is>
          <t>Backend</t>
        </is>
      </c>
      <c r="C2645" s="17" t="inlineStr">
        <is>
          <t>payment-service</t>
        </is>
      </c>
      <c r="D2645" s="16" t="inlineStr">
        <is>
          <t>Unit</t>
        </is>
      </c>
      <c r="E2645" s="17" t="inlineStr">
        <is>
          <t>PayosHttpGatewayTest › TaoLink</t>
        </is>
      </c>
      <c r="F2645" s="17" t="inlineStr">
        <is>
          <t>Tạo link</t>
        </is>
      </c>
      <c r="G2645" s="17" t="inlineStr">
        <is>
          <t>HTTP 502 trang HTML của proxy: Unavailable</t>
        </is>
      </c>
      <c r="H2645" s="17" t="inlineStr">
        <is>
          <t>http_502_html</t>
        </is>
      </c>
      <c r="I2645" s="16" t="inlineStr">
        <is>
          <t>Đạt</t>
        </is>
      </c>
      <c r="J2645" s="16" t="n">
        <v>0.026</v>
      </c>
    </row>
    <row r="2646">
      <c r="A2646" s="16" t="n">
        <v>2642</v>
      </c>
      <c r="B2646" s="16" t="inlineStr">
        <is>
          <t>Backend</t>
        </is>
      </c>
      <c r="C2646" s="17" t="inlineStr">
        <is>
          <t>payment-service</t>
        </is>
      </c>
      <c r="D2646" s="16" t="inlineStr">
        <is>
          <t>Unit</t>
        </is>
      </c>
      <c r="E2646" s="17" t="inlineStr">
        <is>
          <t>PayosHttpGatewayTest › TaoLink</t>
        </is>
      </c>
      <c r="F2646" s="17" t="inlineStr">
        <is>
          <t>Tạo link</t>
        </is>
      </c>
      <c r="G2646" s="17" t="inlineStr">
        <is>
          <t>Gửi đúng header, đúng body và chữ ký năm trường; đọc lại link từ data đã ký</t>
        </is>
      </c>
      <c r="H2646" s="17" t="inlineStr">
        <is>
          <t>tao_link_thanh_cong</t>
        </is>
      </c>
      <c r="I2646" s="16" t="inlineStr">
        <is>
          <t>Đạt</t>
        </is>
      </c>
      <c r="J2646" s="16" t="n">
        <v>0.044</v>
      </c>
    </row>
    <row r="2647">
      <c r="A2647" s="16" t="n">
        <v>2643</v>
      </c>
      <c r="B2647" s="16" t="inlineStr">
        <is>
          <t>Backend</t>
        </is>
      </c>
      <c r="C2647" s="17" t="inlineStr">
        <is>
          <t>payment-service</t>
        </is>
      </c>
      <c r="D2647" s="16" t="inlineStr">
        <is>
          <t>Unit</t>
        </is>
      </c>
      <c r="E2647" s="17" t="inlineStr">
        <is>
          <t>PayosHttpGatewayTest › TaoLink</t>
        </is>
      </c>
      <c r="F2647" s="17" t="inlineStr">
        <is>
          <t>Tạo link</t>
        </is>
      </c>
      <c r="G2647" s="17" t="inlineStr">
        <is>
          <t>Code 00 mà không có data: Rejected, không NullPointerException</t>
        </is>
      </c>
      <c r="H2647" s="17" t="inlineStr">
        <is>
          <t>code_00_khong_data</t>
        </is>
      </c>
      <c r="I2647" s="16" t="inlineStr">
        <is>
          <t>Đạt</t>
        </is>
      </c>
      <c r="J2647" s="16" t="n">
        <v>0.013</v>
      </c>
    </row>
    <row r="2648">
      <c r="A2648" s="16" t="n">
        <v>2644</v>
      </c>
      <c r="B2648" s="16" t="inlineStr">
        <is>
          <t>Backend</t>
        </is>
      </c>
      <c r="C2648" s="17" t="inlineStr">
        <is>
          <t>payment-service</t>
        </is>
      </c>
      <c r="D2648" s="16" t="inlineStr">
        <is>
          <t>Unit</t>
        </is>
      </c>
      <c r="E2648" s="17" t="inlineStr">
        <is>
          <t>PayosHttpGatewayTest › TaoLink</t>
        </is>
      </c>
      <c r="F2648" s="17" t="inlineStr">
        <is>
          <t>Tạo link</t>
        </is>
      </c>
      <c r="G2648" s="17" t="inlineStr">
        <is>
          <t>Mô tả dài hơn 9 ký tự: từ chối tại chỗ, KHÔNG gọi payOS</t>
        </is>
      </c>
      <c r="H2648" s="17" t="inlineStr">
        <is>
          <t>mo_ta_qua_dai</t>
        </is>
      </c>
      <c r="I2648" s="16" t="inlineStr">
        <is>
          <t>Đạt</t>
        </is>
      </c>
      <c r="J2648" s="16" t="n">
        <v>0.01</v>
      </c>
    </row>
    <row r="2649">
      <c r="A2649" s="16" t="n">
        <v>2645</v>
      </c>
      <c r="B2649" s="16" t="inlineStr">
        <is>
          <t>Backend</t>
        </is>
      </c>
      <c r="C2649" s="17" t="inlineStr">
        <is>
          <t>payment-service</t>
        </is>
      </c>
      <c r="D2649" s="16" t="inlineStr">
        <is>
          <t>Unit</t>
        </is>
      </c>
      <c r="E2649" s="17" t="inlineStr">
        <is>
          <t>PayosHttpGatewayTest › TaoLink</t>
        </is>
      </c>
      <c r="F2649" s="17" t="inlineStr">
        <is>
          <t>Tạo link</t>
        </is>
      </c>
      <c r="G2649" s="17" t="inlineStr">
        <is>
          <t>HTTP 503 kèm envelope JSON: Unavailable (5xx là lỗi tạm thời theo hợp đồng của port)</t>
        </is>
      </c>
      <c r="H2649" s="17" t="inlineStr">
        <is>
          <t>http_503_json_la_tam_thoi</t>
        </is>
      </c>
      <c r="I2649" s="16" t="inlineStr">
        <is>
          <t>Đạt</t>
        </is>
      </c>
      <c r="J2649" s="16" t="n">
        <v>0.017</v>
      </c>
    </row>
    <row r="2650">
      <c r="A2650" s="16" t="n">
        <v>2646</v>
      </c>
      <c r="B2650" s="16" t="inlineStr">
        <is>
          <t>Backend</t>
        </is>
      </c>
      <c r="C2650" s="17" t="inlineStr">
        <is>
          <t>payment-service</t>
        </is>
      </c>
      <c r="D2650" s="16" t="inlineStr">
        <is>
          <t>Unit</t>
        </is>
      </c>
      <c r="E2650" s="17" t="inlineStr">
        <is>
          <t>PayosHttpGatewayTest › TaoLink</t>
        </is>
      </c>
      <c r="F2650" s="17" t="inlineStr">
        <is>
          <t>Tạo link</t>
        </is>
      </c>
      <c r="G2650" s="17" t="inlineStr">
        <is>
          <t>Chưa cấu hình credential: Unavailable, KHÔNG gọi payOS</t>
        </is>
      </c>
      <c r="H2650" s="17" t="inlineStr">
        <is>
          <t>chua_cau_hinh</t>
        </is>
      </c>
      <c r="I2650" s="16" t="inlineStr">
        <is>
          <t>Đạt</t>
        </is>
      </c>
      <c r="J2650" s="16" t="n">
        <v>0.036</v>
      </c>
    </row>
    <row r="2651">
      <c r="A2651" s="16" t="n">
        <v>2647</v>
      </c>
      <c r="B2651" s="16" t="inlineStr">
        <is>
          <t>Backend</t>
        </is>
      </c>
      <c r="C2651" s="17" t="inlineStr">
        <is>
          <t>payment-service</t>
        </is>
      </c>
      <c r="D2651" s="16" t="inlineStr">
        <is>
          <t>Unit</t>
        </is>
      </c>
      <c r="E2651" s="17" t="inlineStr">
        <is>
          <t>PayosHttpGatewayTest › TaoLink</t>
        </is>
      </c>
      <c r="F2651" s="17" t="inlineStr">
        <is>
          <t>Tạo link</t>
        </is>
      </c>
      <c r="G2651" s="17" t="inlineStr">
        <is>
          <t>Chữ ký response bị sửa (đổi số tài khoản ảo): Rejected SIGNATURE_MISMATCH</t>
        </is>
      </c>
      <c r="H2651" s="17" t="inlineStr">
        <is>
          <t>chu_ky_response_sai</t>
        </is>
      </c>
      <c r="I2651" s="16" t="inlineStr">
        <is>
          <t>Đạt</t>
        </is>
      </c>
      <c r="J2651" s="16" t="n">
        <v>0.033</v>
      </c>
    </row>
    <row r="2652">
      <c r="A2652" s="16" t="n">
        <v>2648</v>
      </c>
      <c r="B2652" s="16" t="inlineStr">
        <is>
          <t>Backend</t>
        </is>
      </c>
      <c r="C2652" s="17" t="inlineStr">
        <is>
          <t>payment-service</t>
        </is>
      </c>
      <c r="D2652" s="16" t="inlineStr">
        <is>
          <t>Unit</t>
        </is>
      </c>
      <c r="E2652" s="17" t="inlineStr">
        <is>
          <t>PayosHttpGatewayTest › TaoLink</t>
        </is>
      </c>
      <c r="F2652" s="17" t="inlineStr">
        <is>
          <t>Tạo link</t>
        </is>
      </c>
      <c r="G2652" s="17" t="inlineStr">
        <is>
          <t>payOS trả HTTP 200 kèm code khác 00: Rejected mang đúng mã payOS</t>
        </is>
      </c>
      <c r="H2652" s="17" t="inlineStr">
        <is>
          <t>loi_nghiep_vu_trong_http_200</t>
        </is>
      </c>
      <c r="I2652" s="16" t="inlineStr">
        <is>
          <t>Đạt</t>
        </is>
      </c>
      <c r="J2652" s="16" t="n">
        <v>0.023</v>
      </c>
    </row>
    <row r="2653">
      <c r="A2653" s="16" t="n">
        <v>2649</v>
      </c>
      <c r="B2653" s="16" t="inlineStr">
        <is>
          <t>Backend</t>
        </is>
      </c>
      <c r="C2653" s="17" t="inlineStr">
        <is>
          <t>payment-service</t>
        </is>
      </c>
      <c r="D2653" s="16" t="inlineStr">
        <is>
          <t>Unit</t>
        </is>
      </c>
      <c r="E2653" s="17" t="inlineStr">
        <is>
          <t>PayosHttpGatewayTest › TaoLink</t>
        </is>
      </c>
      <c r="F2653" s="17" t="inlineStr">
        <is>
          <t>Tạo link</t>
        </is>
      </c>
      <c r="G2653" s="17" t="inlineStr">
        <is>
          <t>HTTP 200 body rỗng: Unavailable</t>
        </is>
      </c>
      <c r="H2653" s="17" t="inlineStr">
        <is>
          <t>body_rong</t>
        </is>
      </c>
      <c r="I2653" s="16" t="inlineStr">
        <is>
          <t>Đạt</t>
        </is>
      </c>
      <c r="J2653" s="16" t="n">
        <v>0.016</v>
      </c>
    </row>
    <row r="2654">
      <c r="A2654" s="16" t="n">
        <v>2650</v>
      </c>
      <c r="B2654" s="16" t="inlineStr">
        <is>
          <t>Backend</t>
        </is>
      </c>
      <c r="C2654" s="17" t="inlineStr">
        <is>
          <t>payment-service</t>
        </is>
      </c>
      <c r="D2654" s="16" t="inlineStr">
        <is>
          <t>Unit</t>
        </is>
      </c>
      <c r="E2654" s="17" t="inlineStr">
        <is>
          <t>PayosHttpGatewayTest › TaoLink</t>
        </is>
      </c>
      <c r="F2654" s="17" t="inlineStr">
        <is>
          <t>Tạo link</t>
        </is>
      </c>
      <c r="G2654" s="17" t="inlineStr">
        <is>
          <t>HTTP 400 kèm body lỗi: đọc được lý do (không mất body), Rejected</t>
        </is>
      </c>
      <c r="H2654" s="17" t="inlineStr">
        <is>
          <t>http_400_doc_duoc_body</t>
        </is>
      </c>
      <c r="I2654" s="16" t="inlineStr">
        <is>
          <t>Đạt</t>
        </is>
      </c>
      <c r="J2654" s="16" t="n">
        <v>0.017</v>
      </c>
    </row>
    <row r="2655">
      <c r="A2655" s="16" t="n">
        <v>2651</v>
      </c>
      <c r="B2655" s="16" t="inlineStr">
        <is>
          <t>Backend</t>
        </is>
      </c>
      <c r="C2655" s="17" t="inlineStr">
        <is>
          <t>payment-service</t>
        </is>
      </c>
      <c r="D2655" s="16" t="inlineStr">
        <is>
          <t>Unit</t>
        </is>
      </c>
      <c r="E2655" s="17" t="inlineStr">
        <is>
          <t>PayosHttpGatewayTest › TaoLink</t>
        </is>
      </c>
      <c r="F2655" s="17" t="inlineStr">
        <is>
          <t>Tạo link</t>
        </is>
      </c>
      <c r="G2655" s="17" t="inlineStr">
        <is>
          <t>Không có hạn: KHÔNG gửi expiredAt</t>
        </is>
      </c>
      <c r="H2655" s="17" t="inlineStr">
        <is>
          <t>khong_co_han</t>
        </is>
      </c>
      <c r="I2655" s="16" t="inlineStr">
        <is>
          <t>Đạt</t>
        </is>
      </c>
      <c r="J2655" s="16" t="n">
        <v>0.036</v>
      </c>
    </row>
    <row r="2656">
      <c r="A2656" s="16" t="n">
        <v>2652</v>
      </c>
      <c r="B2656" s="16" t="inlineStr">
        <is>
          <t>Backend</t>
        </is>
      </c>
      <c r="C2656" s="17" t="inlineStr">
        <is>
          <t>payment-service</t>
        </is>
      </c>
      <c r="D2656" s="16" t="inlineStr">
        <is>
          <t>Unit</t>
        </is>
      </c>
      <c r="E2656" s="17" t="inlineStr">
        <is>
          <t>PayosHttpGatewayTest › TaoLink</t>
        </is>
      </c>
      <c r="F2656" s="17" t="inlineStr">
        <is>
          <t>Tạo link</t>
        </is>
      </c>
      <c r="G2656" s="17" t="inlineStr">
        <is>
          <t>Lỗi mạng: Unavailable — thử lại được</t>
        </is>
      </c>
      <c r="H2656" s="17" t="inlineStr">
        <is>
          <t>loi_mang</t>
        </is>
      </c>
      <c r="I2656" s="16" t="inlineStr">
        <is>
          <t>Đạt</t>
        </is>
      </c>
      <c r="J2656" s="16" t="n">
        <v>0.062</v>
      </c>
    </row>
    <row r="2657">
      <c r="A2657" s="16" t="n">
        <v>2653</v>
      </c>
      <c r="B2657" s="16" t="inlineStr">
        <is>
          <t>Backend</t>
        </is>
      </c>
      <c r="C2657" s="17" t="inlineStr">
        <is>
          <t>payment-service</t>
        </is>
      </c>
      <c r="D2657" s="16" t="inlineStr">
        <is>
          <t>Unit</t>
        </is>
      </c>
      <c r="E2657" s="17" t="inlineStr">
        <is>
          <t>PayosHttpGatewayTest › TraTrangThai</t>
        </is>
      </c>
      <c r="F2657" s="17" t="inlineStr">
        <is>
          <t>Tra trạng thái link</t>
        </is>
      </c>
      <c r="G2657" s="17" t="inlineStr">
        <is>
          <t>Lấy mã giao dịch của phần tử MỚI NHẤT trong transactions</t>
        </is>
      </c>
      <c r="H2657" s="17" t="inlineStr">
        <is>
          <t>lay_giao_dich_moi_nhat</t>
        </is>
      </c>
      <c r="I2657" s="16" t="inlineStr">
        <is>
          <t>Đạt</t>
        </is>
      </c>
      <c r="J2657" s="16" t="n">
        <v>0.02</v>
      </c>
    </row>
    <row r="2658">
      <c r="A2658" s="16" t="n">
        <v>2654</v>
      </c>
      <c r="B2658" s="16" t="inlineStr">
        <is>
          <t>Backend</t>
        </is>
      </c>
      <c r="C2658" s="17" t="inlineStr">
        <is>
          <t>payment-service</t>
        </is>
      </c>
      <c r="D2658" s="16" t="inlineStr">
        <is>
          <t>Unit</t>
        </is>
      </c>
      <c r="E2658" s="17" t="inlineStr">
        <is>
          <t>PayosHttpGatewayTest › TraTrangThai</t>
        </is>
      </c>
      <c r="F2658" s="17" t="inlineStr">
        <is>
          <t>Tra trạng thái link</t>
        </is>
      </c>
      <c r="G2658" s="17" t="inlineStr">
        <is>
          <t>Chữ ký response sai: NÉM TIẾP, không quy về 'chưa có gì'</t>
        </is>
      </c>
      <c r="H2658" s="17" t="inlineStr">
        <is>
          <t>chu_ky_sai_nem_tiep</t>
        </is>
      </c>
      <c r="I2658" s="16" t="inlineStr">
        <is>
          <t>Đạt</t>
        </is>
      </c>
      <c r="J2658" s="16" t="n">
        <v>0.012</v>
      </c>
    </row>
    <row r="2659">
      <c r="A2659" s="16" t="n">
        <v>2655</v>
      </c>
      <c r="B2659" s="16" t="inlineStr">
        <is>
          <t>Backend</t>
        </is>
      </c>
      <c r="C2659" s="17" t="inlineStr">
        <is>
          <t>payment-service</t>
        </is>
      </c>
      <c r="D2659" s="16" t="inlineStr">
        <is>
          <t>Unit</t>
        </is>
      </c>
      <c r="E2659" s="17" t="inlineStr">
        <is>
          <t>PayosHttpGatewayTest › TraTrangThai</t>
        </is>
      </c>
      <c r="F2659" s="17" t="inlineStr">
        <is>
          <t>Tra trạng thái link</t>
        </is>
      </c>
      <c r="G2659" s="17" t="inlineStr">
        <is>
          <t>payOS không biết orderCode: rỗng chứ không ném</t>
        </is>
      </c>
      <c r="H2659" s="17" t="inlineStr">
        <is>
          <t>khong_biet_order_code</t>
        </is>
      </c>
      <c r="I2659" s="16" t="inlineStr">
        <is>
          <t>Đạt</t>
        </is>
      </c>
      <c r="J2659" s="16" t="n">
        <v>0.008</v>
      </c>
    </row>
    <row r="2660">
      <c r="A2660" s="16" t="n">
        <v>2656</v>
      </c>
      <c r="B2660" s="16" t="inlineStr">
        <is>
          <t>Backend</t>
        </is>
      </c>
      <c r="C2660" s="17" t="inlineStr">
        <is>
          <t>payment-service</t>
        </is>
      </c>
      <c r="D2660" s="16" t="inlineStr">
        <is>
          <t>Unit</t>
        </is>
      </c>
      <c r="E2660" s="17" t="inlineStr">
        <is>
          <t>PayosHttpGatewayTest › TraTrangThai</t>
        </is>
      </c>
      <c r="F2660" s="17" t="inlineStr">
        <is>
          <t>Tra trạng thái link</t>
        </is>
      </c>
      <c r="G2660" s="17" t="inlineStr">
        <is>
          <t>Chưa có giao dịch: mã giao dịch null, KHÔNG bịa bằng paymentLinkId</t>
        </is>
      </c>
      <c r="H2660" s="17" t="inlineStr">
        <is>
          <t>chua_co_giao_dich</t>
        </is>
      </c>
      <c r="I2660" s="16" t="inlineStr">
        <is>
          <t>Đạt</t>
        </is>
      </c>
      <c r="J2660" s="16" t="n">
        <v>0.01</v>
      </c>
    </row>
    <row r="2661">
      <c r="A2661" s="16" t="n">
        <v>2657</v>
      </c>
      <c r="B2661" s="16" t="inlineStr">
        <is>
          <t>Backend</t>
        </is>
      </c>
      <c r="C2661" s="17" t="inlineStr">
        <is>
          <t>payment-service</t>
        </is>
      </c>
      <c r="D2661" s="16" t="inlineStr">
        <is>
          <t>Unit</t>
        </is>
      </c>
      <c r="E2661" s="17" t="inlineStr">
        <is>
          <t>PayosHttpGatewayTest › TraTrangThai</t>
        </is>
      </c>
      <c r="F2661" s="17" t="inlineStr">
        <is>
          <t>Tra trạng thái link</t>
        </is>
      </c>
      <c r="G2661" s="17" t="inlineStr">
        <is>
          <t>Lỗi mạng: Unavailable, không quy về rỗng</t>
        </is>
      </c>
      <c r="H2661" s="17" t="inlineStr">
        <is>
          <t>loi_mang</t>
        </is>
      </c>
      <c r="I2661" s="16" t="inlineStr">
        <is>
          <t>Đạt</t>
        </is>
      </c>
      <c r="J2661" s="16" t="n">
        <v>0.01</v>
      </c>
    </row>
    <row r="2662">
      <c r="A2662" s="16" t="n">
        <v>2658</v>
      </c>
      <c r="B2662" s="16" t="inlineStr">
        <is>
          <t>Backend</t>
        </is>
      </c>
      <c r="C2662" s="17" t="inlineStr">
        <is>
          <t>payment-service</t>
        </is>
      </c>
      <c r="D2662" s="16" t="inlineStr">
        <is>
          <t>Unit</t>
        </is>
      </c>
      <c r="E2662" s="17" t="inlineStr">
        <is>
          <t>PayosSignatureEdgeCaseTest › Canonical</t>
        </is>
      </c>
      <c r="F2662" s="17" t="inlineStr">
        <is>
          <t>Dựng chuỗi canonical</t>
        </is>
      </c>
      <c r="G2662" s="17" t="inlineStr">
        <is>
          <t>Boolean in ra true/false, số âm và số mũ in dạng thường</t>
        </is>
      </c>
      <c r="H2662" s="17" t="inlineStr">
        <is>
          <t>boolean_va_so</t>
        </is>
      </c>
      <c r="I2662" s="16" t="inlineStr">
        <is>
          <t>Đạt</t>
        </is>
      </c>
      <c r="J2662" s="16" t="n">
        <v>0.006</v>
      </c>
    </row>
    <row r="2663">
      <c r="A2663" s="16" t="n">
        <v>2659</v>
      </c>
      <c r="B2663" s="16" t="inlineStr">
        <is>
          <t>Backend</t>
        </is>
      </c>
      <c r="C2663" s="17" t="inlineStr">
        <is>
          <t>payment-service</t>
        </is>
      </c>
      <c r="D2663" s="16" t="inlineStr">
        <is>
          <t>Unit</t>
        </is>
      </c>
      <c r="E2663" s="17" t="inlineStr">
        <is>
          <t>PayosSignatureEdgeCaseTest › Canonical</t>
        </is>
      </c>
      <c r="F2663" s="17" t="inlineStr">
        <is>
          <t>Dựng chuỗi canonical</t>
        </is>
      </c>
      <c r="G2663" s="17" t="inlineStr">
        <is>
          <t>Sắp key theo thứ tự byte: chữ hoa đứng trước chữ thường</t>
        </is>
      </c>
      <c r="H2663" s="17" t="inlineStr">
        <is>
          <t>sap_key_phan_biet_hoa_thuong</t>
        </is>
      </c>
      <c r="I2663" s="16" t="inlineStr">
        <is>
          <t>Đạt</t>
        </is>
      </c>
      <c r="J2663" s="16" t="n">
        <v>0.003</v>
      </c>
    </row>
    <row r="2664">
      <c r="A2664" s="16" t="n">
        <v>2660</v>
      </c>
      <c r="B2664" s="16" t="inlineStr">
        <is>
          <t>Backend</t>
        </is>
      </c>
      <c r="C2664" s="17" t="inlineStr">
        <is>
          <t>payment-service</t>
        </is>
      </c>
      <c r="D2664" s="16" t="inlineStr">
        <is>
          <t>Unit</t>
        </is>
      </c>
      <c r="E2664" s="17" t="inlineStr">
        <is>
          <t>PayosSignatureEdgeCaseTest › Canonical</t>
        </is>
      </c>
      <c r="F2664" s="17" t="inlineStr">
        <is>
          <t>Dựng chuỗi canonical</t>
        </is>
      </c>
      <c r="G2664" s="17" t="inlineStr">
        <is>
          <t>Object lồng: JSON nén, key bên trong đã sắp, null bên trong giữ chữ null</t>
        </is>
      </c>
      <c r="H2664" s="17" t="inlineStr">
        <is>
          <t>object_long</t>
        </is>
      </c>
      <c r="I2664" s="16" t="inlineStr">
        <is>
          <t>Đạt</t>
        </is>
      </c>
      <c r="J2664" s="16" t="n">
        <v>0.002</v>
      </c>
    </row>
    <row r="2665">
      <c r="A2665" s="16" t="n">
        <v>2661</v>
      </c>
      <c r="B2665" s="16" t="inlineStr">
        <is>
          <t>Backend</t>
        </is>
      </c>
      <c r="C2665" s="17" t="inlineStr">
        <is>
          <t>payment-service</t>
        </is>
      </c>
      <c r="D2665" s="16" t="inlineStr">
        <is>
          <t>Unit</t>
        </is>
      </c>
      <c r="E2665" s="17" t="inlineStr">
        <is>
          <t>PayosSignatureEdgeCaseTest › Canonical</t>
        </is>
      </c>
      <c r="F2665" s="17" t="inlineStr">
        <is>
          <t>Dựng chuỗi canonical</t>
        </is>
      </c>
      <c r="G2665" s="17" t="inlineStr">
        <is>
          <t>Không phải object (null, mảng, chuỗi) hoặc object rỗng: chuỗi rỗng</t>
        </is>
      </c>
      <c r="H2665" s="17" t="inlineStr">
        <is>
          <t>khong_phai_object</t>
        </is>
      </c>
      <c r="I2665" s="16" t="inlineStr">
        <is>
          <t>Đạt</t>
        </is>
      </c>
      <c r="J2665" s="16" t="n">
        <v>0.002</v>
      </c>
    </row>
    <row r="2666">
      <c r="A2666" s="16" t="n">
        <v>2662</v>
      </c>
      <c r="B2666" s="16" t="inlineStr">
        <is>
          <t>Backend</t>
        </is>
      </c>
      <c r="C2666" s="17" t="inlineStr">
        <is>
          <t>payment-service</t>
        </is>
      </c>
      <c r="D2666" s="16" t="inlineStr">
        <is>
          <t>Unit</t>
        </is>
      </c>
      <c r="E2666" s="17" t="inlineStr">
        <is>
          <t>PayosSignatureEdgeCaseTest › Canonical</t>
        </is>
      </c>
      <c r="F2666" s="17" t="inlineStr">
        <is>
          <t>Dựng chuỗi canonical</t>
        </is>
      </c>
      <c r="G2666" s="17" t="inlineStr">
        <is>
          <t>Mảng rỗng và object rỗng</t>
        </is>
      </c>
      <c r="H2666" s="17" t="inlineStr">
        <is>
          <t>mang_va_object_rong</t>
        </is>
      </c>
      <c r="I2666" s="16" t="inlineStr">
        <is>
          <t>Đạt</t>
        </is>
      </c>
      <c r="J2666" s="16" t="n">
        <v>0.001</v>
      </c>
    </row>
    <row r="2667">
      <c r="A2667" s="16" t="n">
        <v>2663</v>
      </c>
      <c r="B2667" s="16" t="inlineStr">
        <is>
          <t>Backend</t>
        </is>
      </c>
      <c r="C2667" s="17" t="inlineStr">
        <is>
          <t>payment-service</t>
        </is>
      </c>
      <c r="D2667" s="16" t="inlineStr">
        <is>
          <t>Unit</t>
        </is>
      </c>
      <c r="E2667" s="17" t="inlineStr">
        <is>
          <t>PayosSignatureEdgeCaseTest › Canonical</t>
        </is>
      </c>
      <c r="F2667" s="17" t="inlineStr">
        <is>
          <t>Dựng chuỗi canonical</t>
        </is>
      </c>
      <c r="G2667" s="17" t="inlineStr">
        <is>
          <t>Tiếng Việt có dấu được ký theo byte UTF-8</t>
        </is>
      </c>
      <c r="H2667" s="17" t="inlineStr">
        <is>
          <t>tieng_viet_utf8</t>
        </is>
      </c>
      <c r="I2667" s="16" t="inlineStr">
        <is>
          <t>Đạt</t>
        </is>
      </c>
      <c r="J2667" s="16" t="n">
        <v>0.002</v>
      </c>
    </row>
    <row r="2668">
      <c r="A2668" s="16" t="n">
        <v>2664</v>
      </c>
      <c r="B2668" s="16" t="inlineStr">
        <is>
          <t>Backend</t>
        </is>
      </c>
      <c r="C2668" s="17" t="inlineStr">
        <is>
          <t>payment-service</t>
        </is>
      </c>
      <c r="D2668" s="16" t="inlineStr">
        <is>
          <t>Unit</t>
        </is>
      </c>
      <c r="E2668" s="17" t="inlineStr">
        <is>
          <t>PayosSignatureEdgeCaseTest › Canonical</t>
        </is>
      </c>
      <c r="F2668" s="17" t="inlineStr">
        <is>
          <t>Dựng chuỗi canonical</t>
        </is>
      </c>
      <c r="G2668" s="17" t="inlineStr">
        <is>
          <t>Giá trị chứa &amp; và = vào NGUYÊN VĂN, không URL-encode</t>
        </is>
      </c>
      <c r="H2668" s="17" t="inlineStr">
        <is>
          <t>khong_url_encode</t>
        </is>
      </c>
      <c r="I2668" s="16" t="inlineStr">
        <is>
          <t>Đạt</t>
        </is>
      </c>
      <c r="J2668" s="16" t="n">
        <v>0.002</v>
      </c>
    </row>
    <row r="2669">
      <c r="A2669" s="16" t="n">
        <v>2665</v>
      </c>
      <c r="B2669" s="16" t="inlineStr">
        <is>
          <t>Backend</t>
        </is>
      </c>
      <c r="C2669" s="17" t="inlineStr">
        <is>
          <t>payment-service</t>
        </is>
      </c>
      <c r="D2669" s="16" t="inlineStr">
        <is>
          <t>Unit</t>
        </is>
      </c>
      <c r="E2669" s="17" t="inlineStr">
        <is>
          <t>PayosSignatureEdgeCaseTest › Canonical</t>
        </is>
      </c>
      <c r="F2669" s="17" t="inlineStr">
        <is>
          <t>Dựng chuỗi canonical</t>
        </is>
      </c>
      <c r="G2669" s="17" t="inlineStr">
        <is>
          <t>Chuỗi rỗng và khoảng trắng giữ nguyên, không bị cắt</t>
        </is>
      </c>
      <c r="H2669" s="17" t="inlineStr">
        <is>
          <t>chuoi_rong_va_khoang_trang</t>
        </is>
      </c>
      <c r="I2669" s="16" t="inlineStr">
        <is>
          <t>Đạt</t>
        </is>
      </c>
      <c r="J2669" s="16" t="n">
        <v>0.001</v>
      </c>
    </row>
    <row r="2670">
      <c r="A2670" s="16" t="n">
        <v>2666</v>
      </c>
      <c r="B2670" s="16" t="inlineStr">
        <is>
          <t>Backend</t>
        </is>
      </c>
      <c r="C2670" s="17" t="inlineStr">
        <is>
          <t>payment-service</t>
        </is>
      </c>
      <c r="D2670" s="16" t="inlineStr">
        <is>
          <t>Unit</t>
        </is>
      </c>
      <c r="E2670" s="17" t="inlineStr">
        <is>
          <t>PayosSignatureEdgeCaseTest › GiaMao</t>
        </is>
      </c>
      <c r="F2670" s="17" t="inlineStr">
        <is>
          <t>Giả mạo</t>
        </is>
      </c>
      <c r="G2670" s="17" t="inlineStr">
        <is>
          <t>Đổi số thành chuỗi cùng chữ số: chữ ký KHÔNG đổi — đúng như bản tham chiếu payOS</t>
        </is>
      </c>
      <c r="H2670" s="17" t="inlineStr">
        <is>
          <t>so_va_chuoi_cung_chu_so</t>
        </is>
      </c>
      <c r="I2670" s="16" t="inlineStr">
        <is>
          <t>Đạt</t>
        </is>
      </c>
      <c r="J2670" s="16" t="n">
        <v>0.002</v>
      </c>
    </row>
    <row r="2671">
      <c r="A2671" s="16" t="n">
        <v>2667</v>
      </c>
      <c r="B2671" s="16" t="inlineStr">
        <is>
          <t>Backend</t>
        </is>
      </c>
      <c r="C2671" s="17" t="inlineStr">
        <is>
          <t>payment-service</t>
        </is>
      </c>
      <c r="D2671" s="16" t="inlineStr">
        <is>
          <t>Unit</t>
        </is>
      </c>
      <c r="E2671" s="17" t="inlineStr">
        <is>
          <t>PayosSignatureEdgeCaseTest › GiaMao</t>
        </is>
      </c>
      <c r="F2671" s="17" t="inlineStr">
        <is>
          <t>Giả mạo</t>
        </is>
      </c>
      <c r="G2671" s="17" t="inlineStr">
        <is>
          <t>Thêm một trường null: chữ ký ĐỔI — 'k=' vẫn là một phần của chuỗi ký</t>
        </is>
      </c>
      <c r="H2671" s="17" t="inlineStr">
        <is>
          <t>them_truong_null</t>
        </is>
      </c>
      <c r="I2671" s="16" t="inlineStr">
        <is>
          <t>Đạt</t>
        </is>
      </c>
      <c r="J2671" s="16" t="n">
        <v>0.003</v>
      </c>
    </row>
    <row r="2672">
      <c r="A2672" s="16" t="n">
        <v>2668</v>
      </c>
      <c r="B2672" s="16" t="inlineStr">
        <is>
          <t>Backend</t>
        </is>
      </c>
      <c r="C2672" s="17" t="inlineStr">
        <is>
          <t>payment-service</t>
        </is>
      </c>
      <c r="D2672" s="16" t="inlineStr">
        <is>
          <t>Unit</t>
        </is>
      </c>
      <c r="E2672" s="17" t="inlineStr">
        <is>
          <t>PayosSignatureEdgeCaseTest › GiaMao</t>
        </is>
      </c>
      <c r="F2672" s="17" t="inlineStr">
        <is>
          <t>Giả mạo</t>
        </is>
      </c>
      <c r="G2672" s="17" t="inlineStr">
        <is>
          <t>Khoá khác: chữ ký khác</t>
        </is>
      </c>
      <c r="H2672" s="17" t="inlineStr">
        <is>
          <t>khoa_khac</t>
        </is>
      </c>
      <c r="I2672" s="16" t="inlineStr">
        <is>
          <t>Đạt</t>
        </is>
      </c>
      <c r="J2672" s="16" t="n">
        <v>0.003</v>
      </c>
    </row>
    <row r="2673">
      <c r="A2673" s="16" t="n">
        <v>2669</v>
      </c>
      <c r="B2673" s="16" t="inlineStr">
        <is>
          <t>Backend</t>
        </is>
      </c>
      <c r="C2673" s="17" t="inlineStr">
        <is>
          <t>payment-service</t>
        </is>
      </c>
      <c r="D2673" s="16" t="inlineStr">
        <is>
          <t>Unit</t>
        </is>
      </c>
      <c r="E2673" s="17" t="inlineStr">
        <is>
          <t>PayosSignatureEdgeCaseTest › GiaMao</t>
        </is>
      </c>
      <c r="F2673" s="17" t="inlineStr">
        <is>
          <t>Giả mạo</t>
        </is>
      </c>
      <c r="G2673" s="17" t="inlineStr">
        <is>
          <t>Sửa số tiền sau khi ký: chữ ký không còn khớp</t>
        </is>
      </c>
      <c r="H2673" s="17" t="inlineStr">
        <is>
          <t>sua_so_tien</t>
        </is>
      </c>
      <c r="I2673" s="16" t="inlineStr">
        <is>
          <t>Đạt</t>
        </is>
      </c>
      <c r="J2673" s="16" t="n">
        <v>0.003</v>
      </c>
    </row>
    <row r="2674">
      <c r="A2674" s="16" t="n">
        <v>2670</v>
      </c>
      <c r="B2674" s="16" t="inlineStr">
        <is>
          <t>Backend</t>
        </is>
      </c>
      <c r="C2674" s="17" t="inlineStr">
        <is>
          <t>payment-service</t>
        </is>
      </c>
      <c r="D2674" s="16" t="inlineStr">
        <is>
          <t>Unit</t>
        </is>
      </c>
      <c r="E2674" s="17" t="inlineStr">
        <is>
          <t>PayosSignatureEdgeCaseTest › ThieuKhoa</t>
        </is>
      </c>
      <c r="F2674" s="17" t="inlineStr">
        <is>
          <t>Thiếu khoá và so khớp</t>
        </is>
      </c>
      <c r="G2674" s="17" t="inlineStr">
        <is>
          <t>Chữ ký nhận về có khoảng trắng hai đầu vẫn khớp; expected null thì không bao giờ khớp</t>
        </is>
      </c>
      <c r="H2674" s="17" t="inlineStr">
        <is>
          <t>so_khop_bien</t>
        </is>
      </c>
      <c r="I2674" s="16" t="inlineStr">
        <is>
          <t>Đạt</t>
        </is>
      </c>
      <c r="J2674" s="16" t="n">
        <v>0.004</v>
      </c>
    </row>
    <row r="2675">
      <c r="A2675" s="16" t="n">
        <v>2671</v>
      </c>
      <c r="B2675" s="16" t="inlineStr">
        <is>
          <t>Backend</t>
        </is>
      </c>
      <c r="C2675" s="17" t="inlineStr">
        <is>
          <t>payment-service</t>
        </is>
      </c>
      <c r="D2675" s="16" t="inlineStr">
        <is>
          <t>Unit</t>
        </is>
      </c>
      <c r="E2675" s="17" t="inlineStr">
        <is>
          <t>PayosSignatureEdgeCaseTest › ThieuKhoa</t>
        </is>
      </c>
      <c r="F2675" s="17" t="inlineStr">
        <is>
          <t>Thiếu khoá và so khớp</t>
        </is>
      </c>
      <c r="G2675" s="17" t="inlineStr">
        <is>
          <t>Checksum key null/trắng: ném, không bao giờ ký bằng khoá rỗng</t>
        </is>
      </c>
      <c r="H2675" s="17" t="inlineStr">
        <is>
          <t>thieu_khoa_thi_nem</t>
        </is>
      </c>
      <c r="I2675" s="16" t="inlineStr">
        <is>
          <t>Đạt</t>
        </is>
      </c>
      <c r="J2675" s="16" t="n">
        <v>0.004</v>
      </c>
    </row>
    <row r="2676">
      <c r="A2676" s="16" t="n">
        <v>2672</v>
      </c>
      <c r="B2676" s="16" t="inlineStr">
        <is>
          <t>Backend</t>
        </is>
      </c>
      <c r="C2676" s="17" t="inlineStr">
        <is>
          <t>payment-service</t>
        </is>
      </c>
      <c r="D2676" s="16" t="inlineStr">
        <is>
          <t>Unit</t>
        </is>
      </c>
      <c r="E2676" s="17" t="inlineStr">
        <is>
          <t>PayosSignatureEdgeCaseTest › ThieuKhoa</t>
        </is>
      </c>
      <c r="F2676" s="17" t="inlineStr">
        <is>
          <t>Thiếu khoá và so khớp</t>
        </is>
      </c>
      <c r="G2676" s="17" t="inlineStr">
        <is>
          <t>Ký request tạo link: chuỗi canonical đúng năm trường, URL không encode</t>
        </is>
      </c>
      <c r="H2676" s="17" t="inlineStr">
        <is>
          <t>ky_request_tao_link_doc_lap</t>
        </is>
      </c>
      <c r="I2676" s="16" t="inlineStr">
        <is>
          <t>Đạt</t>
        </is>
      </c>
      <c r="J2676" s="16" t="n">
        <v>0.003</v>
      </c>
    </row>
    <row r="2677">
      <c r="A2677" s="16" t="n">
        <v>2673</v>
      </c>
      <c r="B2677" s="16" t="inlineStr">
        <is>
          <t>Backend</t>
        </is>
      </c>
      <c r="C2677" s="17" t="inlineStr">
        <is>
          <t>payment-service</t>
        </is>
      </c>
      <c r="D2677" s="16" t="inlineStr">
        <is>
          <t>Unit</t>
        </is>
      </c>
      <c r="E2677" s="17" t="inlineStr">
        <is>
          <t>PayosSignatureTest</t>
        </is>
      </c>
      <c r="F2677" s="17" t="inlineStr"/>
      <c r="G2677" s="17" t="inlineStr">
        <is>
          <t>Mảng được JSON hoá với key của từng phần tử đã sắp</t>
        </is>
      </c>
      <c r="H2677" s="17" t="inlineStr">
        <is>
          <t>mang_duoc_json_hoa_voi_key_da_sap</t>
        </is>
      </c>
      <c r="I2677" s="16" t="inlineStr">
        <is>
          <t>Đạt</t>
        </is>
      </c>
      <c r="J2677" s="16" t="n">
        <v>0.002</v>
      </c>
    </row>
    <row r="2678">
      <c r="A2678" s="16" t="n">
        <v>2674</v>
      </c>
      <c r="B2678" s="16" t="inlineStr">
        <is>
          <t>Backend</t>
        </is>
      </c>
      <c r="C2678" s="17" t="inlineStr">
        <is>
          <t>payment-service</t>
        </is>
      </c>
      <c r="D2678" s="16" t="inlineStr">
        <is>
          <t>Unit</t>
        </is>
      </c>
      <c r="E2678" s="17" t="inlineStr">
        <is>
          <t>PayosSignatureTest</t>
        </is>
      </c>
      <c r="F2678" s="17" t="inlineStr"/>
      <c r="G2678" s="17" t="inlineStr">
        <is>
          <t>Ký webhook: sắp key theo alphabet, null thành chuỗi rỗng</t>
        </is>
      </c>
      <c r="H2678" s="17" t="inlineStr">
        <is>
          <t>ky_webhook_theo_dung_bản_tham_chieu</t>
        </is>
      </c>
      <c r="I2678" s="16" t="inlineStr">
        <is>
          <t>Đạt</t>
        </is>
      </c>
      <c r="J2678" s="16" t="n">
        <v>0.006</v>
      </c>
    </row>
    <row r="2679">
      <c r="A2679" s="16" t="n">
        <v>2675</v>
      </c>
      <c r="B2679" s="16" t="inlineStr">
        <is>
          <t>Backend</t>
        </is>
      </c>
      <c r="C2679" s="17" t="inlineStr">
        <is>
          <t>payment-service</t>
        </is>
      </c>
      <c r="D2679" s="16" t="inlineStr">
        <is>
          <t>Unit</t>
        </is>
      </c>
      <c r="E2679" s="17" t="inlineStr">
        <is>
          <t>PayosSignatureTest</t>
        </is>
      </c>
      <c r="F2679" s="17" t="inlineStr"/>
      <c r="G2679" s="17" t="inlineStr">
        <is>
          <t>Thứ tự field trong JSON KHÔNG ảnh hưởng chữ ký</t>
        </is>
      </c>
      <c r="H2679" s="17" t="inlineStr">
        <is>
          <t>thu_tu_field_khong_doi_chu_ky</t>
        </is>
      </c>
      <c r="I2679" s="16" t="inlineStr">
        <is>
          <t>Đạt</t>
        </is>
      </c>
      <c r="J2679" s="16" t="n">
        <v>0.003</v>
      </c>
    </row>
    <row r="2680">
      <c r="A2680" s="16" t="n">
        <v>2676</v>
      </c>
      <c r="B2680" s="16" t="inlineStr">
        <is>
          <t>Backend</t>
        </is>
      </c>
      <c r="C2680" s="17" t="inlineStr">
        <is>
          <t>payment-service</t>
        </is>
      </c>
      <c r="D2680" s="16" t="inlineStr">
        <is>
          <t>Unit</t>
        </is>
      </c>
      <c r="E2680" s="17" t="inlineStr">
        <is>
          <t>PayosSignatureTest</t>
        </is>
      </c>
      <c r="F2680" s="17" t="inlineStr"/>
      <c r="G2680" s="17" t="inlineStr">
        <is>
          <t>Ký request tạo link: đúng năm trường payOS chốt cứng</t>
        </is>
      </c>
      <c r="H2680" s="17" t="inlineStr">
        <is>
          <t>ky_request_tao_link</t>
        </is>
      </c>
      <c r="I2680" s="16" t="inlineStr">
        <is>
          <t>Đạt</t>
        </is>
      </c>
      <c r="J2680" s="16" t="n">
        <v>0.003</v>
      </c>
    </row>
    <row r="2681">
      <c r="A2681" s="16" t="n">
        <v>2677</v>
      </c>
      <c r="B2681" s="16" t="inlineStr">
        <is>
          <t>Backend</t>
        </is>
      </c>
      <c r="C2681" s="17" t="inlineStr">
        <is>
          <t>payment-service</t>
        </is>
      </c>
      <c r="D2681" s="16" t="inlineStr">
        <is>
          <t>Unit</t>
        </is>
      </c>
      <c r="E2681" s="17" t="inlineStr">
        <is>
          <t>PayosSignatureTest</t>
        </is>
      </c>
      <c r="F2681" s="17" t="inlineStr"/>
      <c r="G2681" s="17" t="inlineStr">
        <is>
          <t>So chữ ký: không phân biệt chữ hoa/thường, từ chối rỗng</t>
        </is>
      </c>
      <c r="H2681" s="17" t="inlineStr">
        <is>
          <t>so_chu_ky</t>
        </is>
      </c>
      <c r="I2681" s="16" t="inlineStr">
        <is>
          <t>Đạt</t>
        </is>
      </c>
      <c r="J2681" s="16" t="n">
        <v>0.002</v>
      </c>
    </row>
    <row r="2682">
      <c r="A2682" s="16" t="n">
        <v>2678</v>
      </c>
      <c r="B2682" s="16" t="inlineStr">
        <is>
          <t>Backend</t>
        </is>
      </c>
      <c r="C2682" s="17" t="inlineStr">
        <is>
          <t>payment-service</t>
        </is>
      </c>
      <c r="D2682" s="16" t="inlineStr">
        <is>
          <t>Unit</t>
        </is>
      </c>
      <c r="E2682" s="17" t="inlineStr">
        <is>
          <t>PayosSignatureTest</t>
        </is>
      </c>
      <c r="F2682" s="17" t="inlineStr"/>
      <c r="G2682" s="17" t="inlineStr">
        <is>
          <t>Số in ra dạng thường, không phần thập phân thừa</t>
        </is>
      </c>
      <c r="H2682" s="17" t="inlineStr">
        <is>
          <t>so_in_ra_giong_javascript</t>
        </is>
      </c>
      <c r="I2682" s="16" t="inlineStr">
        <is>
          <t>Đạt</t>
        </is>
      </c>
      <c r="J2682" s="16" t="n">
        <v>0.002</v>
      </c>
    </row>
    <row r="2683">
      <c r="A2683" s="16" t="n">
        <v>2679</v>
      </c>
      <c r="B2683" s="16" t="inlineStr">
        <is>
          <t>Backend</t>
        </is>
      </c>
      <c r="C2683" s="17" t="inlineStr">
        <is>
          <t>payment-service</t>
        </is>
      </c>
      <c r="D2683" s="16" t="inlineStr">
        <is>
          <t>Unit</t>
        </is>
      </c>
      <c r="E2683" s="17" t="inlineStr">
        <is>
          <t>PayosSignatureTest</t>
        </is>
      </c>
      <c r="F2683" s="17" t="inlineStr"/>
      <c r="G2683" s="17" t="inlineStr">
        <is>
          <t>Chuỗi "null"/"undefined" cũng quy về rỗng, đúng như payOS làm</t>
        </is>
      </c>
      <c r="H2683" s="17" t="inlineStr">
        <is>
          <t>chuoi_null_cung_thanh_rong</t>
        </is>
      </c>
      <c r="I2683" s="16" t="inlineStr">
        <is>
          <t>Đạt</t>
        </is>
      </c>
      <c r="J2683" s="16" t="n">
        <v>0.001</v>
      </c>
    </row>
    <row r="2684">
      <c r="A2684" s="16" t="n">
        <v>2680</v>
      </c>
      <c r="B2684" s="16" t="inlineStr">
        <is>
          <t>Backend</t>
        </is>
      </c>
      <c r="C2684" s="17" t="inlineStr">
        <is>
          <t>payment-service</t>
        </is>
      </c>
      <c r="D2684" s="16" t="inlineStr">
        <is>
          <t>API slice</t>
        </is>
      </c>
      <c r="E2684" s="17" t="inlineStr">
        <is>
          <t>InternalPaymentControllerWebTest › BiMatNoiBo</t>
        </is>
      </c>
      <c r="F2684" s="17" t="inlineStr">
        <is>
          <t>Bí mật nội bộ</t>
        </is>
      </c>
      <c r="G2684" s="17" t="inlineStr">
        <is>
          <t>Một JWT người dùng hợp lệ KHÔNG thay được bí mật nội bộ</t>
        </is>
      </c>
      <c r="H2684" s="17" t="inlineStr">
        <is>
          <t>jwt_khong_thay_duoc_bi_mat</t>
        </is>
      </c>
      <c r="I2684" s="16" t="inlineStr">
        <is>
          <t>Đạt</t>
        </is>
      </c>
      <c r="J2684" s="16" t="n">
        <v>0.017</v>
      </c>
    </row>
    <row r="2685">
      <c r="A2685" s="16" t="n">
        <v>2681</v>
      </c>
      <c r="B2685" s="16" t="inlineStr">
        <is>
          <t>Backend</t>
        </is>
      </c>
      <c r="C2685" s="17" t="inlineStr">
        <is>
          <t>payment-service</t>
        </is>
      </c>
      <c r="D2685" s="16" t="inlineStr">
        <is>
          <t>API slice</t>
        </is>
      </c>
      <c r="E2685" s="17" t="inlineStr">
        <is>
          <t>InternalPaymentControllerWebTest › BiMatNoiBo</t>
        </is>
      </c>
      <c r="F2685" s="17" t="inlineStr">
        <is>
          <t>Bí mật nội bộ</t>
        </is>
      </c>
      <c r="G2685" s="17" t="inlineStr">
        <is>
          <t>Token sai: 404 cho cả giả lập chuyển khoản — đường phát vé miễn phí</t>
        </is>
      </c>
      <c r="H2685" s="17" t="inlineStr">
        <is>
          <t>token_sai_404</t>
        </is>
      </c>
      <c r="I2685" s="16" t="inlineStr">
        <is>
          <t>Đạt</t>
        </is>
      </c>
      <c r="J2685" s="16" t="n">
        <v>0.027</v>
      </c>
    </row>
    <row r="2686">
      <c r="A2686" s="16" t="n">
        <v>2682</v>
      </c>
      <c r="B2686" s="16" t="inlineStr">
        <is>
          <t>Backend</t>
        </is>
      </c>
      <c r="C2686" s="17" t="inlineStr">
        <is>
          <t>payment-service</t>
        </is>
      </c>
      <c r="D2686" s="16" t="inlineStr">
        <is>
          <t>API slice</t>
        </is>
      </c>
      <c r="E2686" s="17" t="inlineStr">
        <is>
          <t>InternalPaymentControllerWebTest › BiMatNoiBo</t>
        </is>
      </c>
      <c r="F2686" s="17" t="inlineStr">
        <is>
          <t>Bí mật nội bộ</t>
        </is>
      </c>
      <c r="G2686" s="17" t="inlineStr">
        <is>
          <t>Token sai với huỷ và đối soát: 404, không chạm handler</t>
        </is>
      </c>
      <c r="H2686" s="17" t="inlineStr">
        <is>
          <t>token_sai_huy_va_doi_soat</t>
        </is>
      </c>
      <c r="I2686" s="16" t="inlineStr">
        <is>
          <t>Đạt</t>
        </is>
      </c>
      <c r="J2686" s="16" t="n">
        <v>0.015</v>
      </c>
    </row>
    <row r="2687">
      <c r="A2687" s="16" t="n">
        <v>2683</v>
      </c>
      <c r="B2687" s="16" t="inlineStr">
        <is>
          <t>Backend</t>
        </is>
      </c>
      <c r="C2687" s="17" t="inlineStr">
        <is>
          <t>payment-service</t>
        </is>
      </c>
      <c r="D2687" s="16" t="inlineStr">
        <is>
          <t>API slice</t>
        </is>
      </c>
      <c r="E2687" s="17" t="inlineStr">
        <is>
          <t>InternalPaymentControllerWebTest › BiMatNoiBo</t>
        </is>
      </c>
      <c r="F2687" s="17" t="inlineStr">
        <is>
          <t>Bí mật nội bộ</t>
        </is>
      </c>
      <c r="G2687" s="17" t="inlineStr">
        <is>
          <t>Không có X-Internal-Token: 404, handler không được gọi</t>
        </is>
      </c>
      <c r="H2687" s="17" t="inlineStr">
        <is>
          <t>thieu_token_404</t>
        </is>
      </c>
      <c r="I2687" s="16" t="inlineStr">
        <is>
          <t>Đạt</t>
        </is>
      </c>
      <c r="J2687" s="16" t="n">
        <v>0.011</v>
      </c>
    </row>
    <row r="2688">
      <c r="A2688" s="16" t="n">
        <v>2684</v>
      </c>
      <c r="B2688" s="16" t="inlineStr">
        <is>
          <t>Backend</t>
        </is>
      </c>
      <c r="C2688" s="17" t="inlineStr">
        <is>
          <t>payment-service</t>
        </is>
      </c>
      <c r="D2688" s="16" t="inlineStr">
        <is>
          <t>API slice</t>
        </is>
      </c>
      <c r="E2688" s="17" t="inlineStr">
        <is>
          <t>InternalPaymentControllerWebTest › HuyDoiSoatGiaLap</t>
        </is>
      </c>
      <c r="F2688" s="17" t="inlineStr">
        <is>
          <t>Huỷ, đối soát, giả lập</t>
        </is>
      </c>
      <c r="G2688" s="17" t="inlineStr">
        <is>
          <t>Đối soát đơn không có intent: 404 PAYMENT_INTENT_NOT_FOUND</t>
        </is>
      </c>
      <c r="H2688" s="17" t="inlineStr">
        <is>
          <t>doi_soat_khong_co_intent</t>
        </is>
      </c>
      <c r="I2688" s="16" t="inlineStr">
        <is>
          <t>Đạt</t>
        </is>
      </c>
      <c r="J2688" s="16" t="n">
        <v>0.435</v>
      </c>
    </row>
    <row r="2689">
      <c r="A2689" s="16" t="n">
        <v>2685</v>
      </c>
      <c r="B2689" s="16" t="inlineStr">
        <is>
          <t>Backend</t>
        </is>
      </c>
      <c r="C2689" s="17" t="inlineStr">
        <is>
          <t>payment-service</t>
        </is>
      </c>
      <c r="D2689" s="16" t="inlineStr">
        <is>
          <t>API slice</t>
        </is>
      </c>
      <c r="E2689" s="17" t="inlineStr">
        <is>
          <t>InternalPaymentControllerWebTest › HuyDoiSoatGiaLap</t>
        </is>
      </c>
      <c r="F2689" s="17" t="inlineStr">
        <is>
          <t>Huỷ, đối soát, giả lập</t>
        </is>
      </c>
      <c r="G2689" s="17" t="inlineStr">
        <is>
          <t>Giả lập có body: chuyển nguyên số tiền và mã giao dịch</t>
        </is>
      </c>
      <c r="H2689" s="17" t="inlineStr">
        <is>
          <t>gia_lap_co_body</t>
        </is>
      </c>
      <c r="I2689" s="16" t="inlineStr">
        <is>
          <t>Đạt</t>
        </is>
      </c>
      <c r="J2689" s="16" t="n">
        <v>0.07099999999999999</v>
      </c>
    </row>
    <row r="2690">
      <c r="A2690" s="16" t="n">
        <v>2686</v>
      </c>
      <c r="B2690" s="16" t="inlineStr">
        <is>
          <t>Backend</t>
        </is>
      </c>
      <c r="C2690" s="17" t="inlineStr">
        <is>
          <t>payment-service</t>
        </is>
      </c>
      <c r="D2690" s="16" t="inlineStr">
        <is>
          <t>API slice</t>
        </is>
      </c>
      <c r="E2690" s="17" t="inlineStr">
        <is>
          <t>InternalPaymentControllerWebTest › HuyDoiSoatGiaLap</t>
        </is>
      </c>
      <c r="F2690" s="17" t="inlineStr">
        <is>
          <t>Huỷ, đối soát, giả lập</t>
        </is>
      </c>
      <c r="G2690" s="17" t="inlineStr">
        <is>
          <t>Sandbox tắt: 403 SANDBOX_DISABLED</t>
        </is>
      </c>
      <c r="H2690" s="17" t="inlineStr">
        <is>
          <t>sandbox_tat_403</t>
        </is>
      </c>
      <c r="I2690" s="16" t="inlineStr">
        <is>
          <t>Đạt</t>
        </is>
      </c>
      <c r="J2690" s="16" t="n">
        <v>0.024</v>
      </c>
    </row>
    <row r="2691">
      <c r="A2691" s="16" t="n">
        <v>2687</v>
      </c>
      <c r="B2691" s="16" t="inlineStr">
        <is>
          <t>Backend</t>
        </is>
      </c>
      <c r="C2691" s="17" t="inlineStr">
        <is>
          <t>payment-service</t>
        </is>
      </c>
      <c r="D2691" s="16" t="inlineStr">
        <is>
          <t>API slice</t>
        </is>
      </c>
      <c r="E2691" s="17" t="inlineStr">
        <is>
          <t>InternalPaymentControllerWebTest › HuyDoiSoatGiaLap</t>
        </is>
      </c>
      <c r="F2691" s="17" t="inlineStr">
        <is>
          <t>Huỷ, đối soát, giả lập</t>
        </is>
      </c>
      <c r="G2691" s="17" t="inlineStr">
        <is>
          <t>Giả lập không có body: trả đủ, mã tự sinh — handler nhận (orderId, null, null)</t>
        </is>
      </c>
      <c r="H2691" s="17" t="inlineStr">
        <is>
          <t>gia_lap_khong_body</t>
        </is>
      </c>
      <c r="I2691" s="16" t="inlineStr">
        <is>
          <t>Đạt</t>
        </is>
      </c>
      <c r="J2691" s="16" t="n">
        <v>0.024</v>
      </c>
    </row>
    <row r="2692">
      <c r="A2692" s="16" t="n">
        <v>2688</v>
      </c>
      <c r="B2692" s="16" t="inlineStr">
        <is>
          <t>Backend</t>
        </is>
      </c>
      <c r="C2692" s="17" t="inlineStr">
        <is>
          <t>payment-service</t>
        </is>
      </c>
      <c r="D2692" s="16" t="inlineStr">
        <is>
          <t>API slice</t>
        </is>
      </c>
      <c r="E2692" s="17" t="inlineStr">
        <is>
          <t>InternalPaymentControllerWebTest › HuyDoiSoatGiaLap</t>
        </is>
      </c>
      <c r="F2692" s="17" t="inlineStr">
        <is>
          <t>Huỷ, đối soát, giả lập</t>
        </is>
      </c>
      <c r="G2692" s="17" t="inlineStr">
        <is>
          <t>orderId trên đường dẫn sai khuôn UUID: 400, không gọi handler</t>
        </is>
      </c>
      <c r="H2692" s="17" t="inlineStr">
        <is>
          <t>order_id_sai_khuon</t>
        </is>
      </c>
      <c r="I2692" s="16" t="inlineStr">
        <is>
          <t>Đạt</t>
        </is>
      </c>
      <c r="J2692" s="16" t="n">
        <v>0.044</v>
      </c>
    </row>
    <row r="2693">
      <c r="A2693" s="16" t="n">
        <v>2689</v>
      </c>
      <c r="B2693" s="16" t="inlineStr">
        <is>
          <t>Backend</t>
        </is>
      </c>
      <c r="C2693" s="17" t="inlineStr">
        <is>
          <t>payment-service</t>
        </is>
      </c>
      <c r="D2693" s="16" t="inlineStr">
        <is>
          <t>API slice</t>
        </is>
      </c>
      <c r="E2693" s="17" t="inlineStr">
        <is>
          <t>InternalPaymentControllerWebTest › HuyDoiSoatGiaLap</t>
        </is>
      </c>
      <c r="F2693" s="17" t="inlineStr">
        <is>
          <t>Huỷ, đối soát, giả lập</t>
        </is>
      </c>
      <c r="G2693" s="17" t="inlineStr">
        <is>
          <t>Đối soát: trả outcome và note của handler</t>
        </is>
      </c>
      <c r="H2693" s="17" t="inlineStr">
        <is>
          <t>doi_soat</t>
        </is>
      </c>
      <c r="I2693" s="16" t="inlineStr">
        <is>
          <t>Đạt</t>
        </is>
      </c>
      <c r="J2693" s="16" t="n">
        <v>0.016</v>
      </c>
    </row>
    <row r="2694">
      <c r="A2694" s="16" t="n">
        <v>2690</v>
      </c>
      <c r="B2694" s="16" t="inlineStr">
        <is>
          <t>Backend</t>
        </is>
      </c>
      <c r="C2694" s="17" t="inlineStr">
        <is>
          <t>payment-service</t>
        </is>
      </c>
      <c r="D2694" s="16" t="inlineStr">
        <is>
          <t>API slice</t>
        </is>
      </c>
      <c r="E2694" s="17" t="inlineStr">
        <is>
          <t>InternalPaymentControllerWebTest › HuyDoiSoatGiaLap</t>
        </is>
      </c>
      <c r="F2694" s="17" t="inlineStr">
        <is>
          <t>Huỷ, đối soát, giả lập</t>
        </is>
      </c>
      <c r="G2694" s="17" t="inlineStr">
        <is>
          <t>Huỷ: luôn 204, kể cả khi không có gì để huỷ</t>
        </is>
      </c>
      <c r="H2694" s="17" t="inlineStr">
        <is>
          <t>huy_luon_204</t>
        </is>
      </c>
      <c r="I2694" s="16" t="inlineStr">
        <is>
          <t>Đạt</t>
        </is>
      </c>
      <c r="J2694" s="16" t="n">
        <v>0.019</v>
      </c>
    </row>
    <row r="2695">
      <c r="A2695" s="16" t="n">
        <v>2691</v>
      </c>
      <c r="B2695" s="16" t="inlineStr">
        <is>
          <t>Backend</t>
        </is>
      </c>
      <c r="C2695" s="17" t="inlineStr">
        <is>
          <t>payment-service</t>
        </is>
      </c>
      <c r="D2695" s="16" t="inlineStr">
        <is>
          <t>API slice</t>
        </is>
      </c>
      <c r="E2695" s="17" t="inlineStr">
        <is>
          <t>InternalPaymentControllerWebTest › MoIntent</t>
        </is>
      </c>
      <c r="F2695" s="17" t="inlineStr">
        <is>
          <t>Mở intent</t>
        </is>
      </c>
      <c r="G2695" s="17" t="inlineStr">
        <is>
          <t>Thiếu organizationId và expiresAt: 400 liệt kê cả hai trường</t>
        </is>
      </c>
      <c r="H2695" s="17" t="inlineStr">
        <is>
          <t>thieu_hai_truong</t>
        </is>
      </c>
      <c r="I2695" s="16" t="inlineStr">
        <is>
          <t>Đạt</t>
        </is>
      </c>
      <c r="J2695" s="16" t="n">
        <v>0.42</v>
      </c>
    </row>
    <row r="2696">
      <c r="A2696" s="16" t="n">
        <v>2692</v>
      </c>
      <c r="B2696" s="16" t="inlineStr">
        <is>
          <t>Backend</t>
        </is>
      </c>
      <c r="C2696" s="17" t="inlineStr">
        <is>
          <t>payment-service</t>
        </is>
      </c>
      <c r="D2696" s="16" t="inlineStr">
        <is>
          <t>API slice</t>
        </is>
      </c>
      <c r="E2696" s="17" t="inlineStr">
        <is>
          <t>InternalPaymentControllerWebTest › MoIntent</t>
        </is>
      </c>
      <c r="F2696" s="17" t="inlineStr">
        <is>
          <t>Mở intent</t>
        </is>
      </c>
      <c r="G2696" s="17" t="inlineStr">
        <is>
          <t>Hợp lệ: chuyển đủ trường xuống handler, trả JSON đúng tên trường của hợp đồng với Ordering</t>
        </is>
      </c>
      <c r="H2696" s="17" t="inlineStr">
        <is>
          <t>mo_intent_hop_le</t>
        </is>
      </c>
      <c r="I2696" s="16" t="inlineStr">
        <is>
          <t>Đạt</t>
        </is>
      </c>
      <c r="J2696" s="16" t="n">
        <v>0.09</v>
      </c>
    </row>
    <row r="2697">
      <c r="A2697" s="16" t="n">
        <v>2693</v>
      </c>
      <c r="B2697" s="16" t="inlineStr">
        <is>
          <t>Backend</t>
        </is>
      </c>
      <c r="C2697" s="17" t="inlineStr">
        <is>
          <t>payment-service</t>
        </is>
      </c>
      <c r="D2697" s="16" t="inlineStr">
        <is>
          <t>API slice</t>
        </is>
      </c>
      <c r="E2697" s="17" t="inlineStr">
        <is>
          <t>InternalPaymentControllerWebTest › MoIntent</t>
        </is>
      </c>
      <c r="F2697" s="17" t="inlineStr">
        <is>
          <t>Mở intent</t>
        </is>
      </c>
      <c r="G2697" s="17" t="inlineStr">
        <is>
          <t>Thiếu orderId: 400 VALIDATION_FAILED chỉ ra đúng trường, không gọi handler</t>
        </is>
      </c>
      <c r="H2697" s="17" t="inlineStr">
        <is>
          <t>thieu_order_id</t>
        </is>
      </c>
      <c r="I2697" s="16" t="inlineStr">
        <is>
          <t>Đạt</t>
        </is>
      </c>
      <c r="J2697" s="16" t="n">
        <v>0.041</v>
      </c>
    </row>
    <row r="2698">
      <c r="A2698" s="16" t="n">
        <v>2694</v>
      </c>
      <c r="B2698" s="16" t="inlineStr">
        <is>
          <t>Backend</t>
        </is>
      </c>
      <c r="C2698" s="17" t="inlineStr">
        <is>
          <t>payment-service</t>
        </is>
      </c>
      <c r="D2698" s="16" t="inlineStr">
        <is>
          <t>API slice</t>
        </is>
      </c>
      <c r="E2698" s="17" t="inlineStr">
        <is>
          <t>InternalPaymentControllerWebTest › MoIntent</t>
        </is>
      </c>
      <c r="F2698" s="17" t="inlineStr">
        <is>
          <t>Mở intent</t>
        </is>
      </c>
      <c r="G2698" s="17" t="inlineStr">
        <is>
          <t>JSON hỏng, UUID sai khuôn, ngày sai khuôn: 400 'Malformed request body'</t>
        </is>
      </c>
      <c r="H2698" s="17" t="inlineStr">
        <is>
          <t>body_hong</t>
        </is>
      </c>
      <c r="I2698" s="16" t="inlineStr">
        <is>
          <t>Đạt</t>
        </is>
      </c>
      <c r="J2698" s="16" t="n">
        <v>0.077</v>
      </c>
    </row>
    <row r="2699">
      <c r="A2699" s="16" t="n">
        <v>2695</v>
      </c>
      <c r="B2699" s="16" t="inlineStr">
        <is>
          <t>Backend</t>
        </is>
      </c>
      <c r="C2699" s="17" t="inlineStr">
        <is>
          <t>payment-service</t>
        </is>
      </c>
      <c r="D2699" s="16" t="inlineStr">
        <is>
          <t>API slice</t>
        </is>
      </c>
      <c r="E2699" s="17" t="inlineStr">
        <is>
          <t>InternalPaymentControllerWebTest › MoIntent</t>
        </is>
      </c>
      <c r="F2699" s="17" t="inlineStr">
        <is>
          <t>Mở intent</t>
        </is>
      </c>
      <c r="G2699" s="17" t="inlineStr">
        <is>
          <t>payOS không phản hồi: 503 PAYOS_UNAVAILABLE dạng RFC 7807</t>
        </is>
      </c>
      <c r="H2699" s="17" t="inlineStr">
        <is>
          <t>payos_khong_phan_hoi</t>
        </is>
      </c>
      <c r="I2699" s="16" t="inlineStr">
        <is>
          <t>Đạt</t>
        </is>
      </c>
      <c r="J2699" s="16" t="n">
        <v>0.045</v>
      </c>
    </row>
    <row r="2700">
      <c r="A2700" s="16" t="n">
        <v>2696</v>
      </c>
      <c r="B2700" s="16" t="inlineStr">
        <is>
          <t>Backend</t>
        </is>
      </c>
      <c r="C2700" s="17" t="inlineStr">
        <is>
          <t>payment-service</t>
        </is>
      </c>
      <c r="D2700" s="16" t="inlineStr">
        <is>
          <t>API slice</t>
        </is>
      </c>
      <c r="E2700" s="17" t="inlineStr">
        <is>
          <t>InternalPaymentControllerWebTest › MoIntent</t>
        </is>
      </c>
      <c r="F2700" s="17" t="inlineStr">
        <is>
          <t>Mở intent</t>
        </is>
      </c>
      <c r="G2700" s="17" t="inlineStr">
        <is>
          <t>Số tiền 0, âm hoặc vắng mặt: 400 — một intent 0 đồng là vé miễn phí</t>
        </is>
      </c>
      <c r="H2700" s="17" t="inlineStr">
        <is>
          <t>so_tien_khong_duong</t>
        </is>
      </c>
      <c r="I2700" s="16" t="inlineStr">
        <is>
          <t>Đạt</t>
        </is>
      </c>
      <c r="J2700" s="16" t="n">
        <v>0.06</v>
      </c>
    </row>
    <row r="2701">
      <c r="A2701" s="16" t="n">
        <v>2697</v>
      </c>
      <c r="B2701" s="16" t="inlineStr">
        <is>
          <t>Backend</t>
        </is>
      </c>
      <c r="C2701" s="17" t="inlineStr">
        <is>
          <t>payment-service</t>
        </is>
      </c>
      <c r="D2701" s="16" t="inlineStr">
        <is>
          <t>API slice</t>
        </is>
      </c>
      <c r="E2701" s="17" t="inlineStr">
        <is>
          <t>InternalPaymentControllerWebTest › MoIntent</t>
        </is>
      </c>
      <c r="F2701" s="17" t="inlineStr">
        <is>
          <t>Mở intent</t>
        </is>
      </c>
      <c r="G2701" s="17" t="inlineStr">
        <is>
          <t>payOS từ chối: 502 PAYOS_REJECTED</t>
        </is>
      </c>
      <c r="H2701" s="17" t="inlineStr">
        <is>
          <t>payos_tu_choi</t>
        </is>
      </c>
      <c r="I2701" s="16" t="inlineStr">
        <is>
          <t>Đạt</t>
        </is>
      </c>
      <c r="J2701" s="16" t="n">
        <v>0.034</v>
      </c>
    </row>
    <row r="2702">
      <c r="A2702" s="16" t="n">
        <v>2698</v>
      </c>
      <c r="B2702" s="16" t="inlineStr">
        <is>
          <t>Backend</t>
        </is>
      </c>
      <c r="C2702" s="17" t="inlineStr">
        <is>
          <t>payment-service</t>
        </is>
      </c>
      <c r="D2702" s="16" t="inlineStr">
        <is>
          <t>API slice</t>
        </is>
      </c>
      <c r="E2702" s="17" t="inlineStr">
        <is>
          <t>InternalPayosAdminControllerWebTest</t>
        </is>
      </c>
      <c r="F2702" s="17" t="inlineStr"/>
      <c r="G2702" s="17" t="inlineStr">
        <is>
          <t>Không có bí mật nội bộ: 404 — không ai ngoài hệ thống trỏ được webhook production đi nơi khác</t>
        </is>
      </c>
      <c r="H2702" s="17" t="inlineStr">
        <is>
          <t>khong_bi_mat_404</t>
        </is>
      </c>
      <c r="I2702" s="16" t="inlineStr">
        <is>
          <t>Đạt</t>
        </is>
      </c>
      <c r="J2702" s="16" t="n">
        <v>0.012</v>
      </c>
    </row>
    <row r="2703">
      <c r="A2703" s="16" t="n">
        <v>2699</v>
      </c>
      <c r="B2703" s="16" t="inlineStr">
        <is>
          <t>Backend</t>
        </is>
      </c>
      <c r="C2703" s="17" t="inlineStr">
        <is>
          <t>payment-service</t>
        </is>
      </c>
      <c r="D2703" s="16" t="inlineStr">
        <is>
          <t>API slice</t>
        </is>
      </c>
      <c r="E2703" s="17" t="inlineStr">
        <is>
          <t>InternalPayosAdminControllerWebTest</t>
        </is>
      </c>
      <c r="F2703" s="17" t="inlineStr"/>
      <c r="G2703" s="17" t="inlineStr">
        <is>
          <t>Có webhookUrl: chuyển nguyên văn xuống handler</t>
        </is>
      </c>
      <c r="H2703" s="17" t="inlineStr">
        <is>
          <t>co_url</t>
        </is>
      </c>
      <c r="I2703" s="16" t="inlineStr">
        <is>
          <t>Đạt</t>
        </is>
      </c>
      <c r="J2703" s="16" t="n">
        <v>0.04</v>
      </c>
    </row>
    <row r="2704">
      <c r="A2704" s="16" t="n">
        <v>2700</v>
      </c>
      <c r="B2704" s="16" t="inlineStr">
        <is>
          <t>Backend</t>
        </is>
      </c>
      <c r="C2704" s="17" t="inlineStr">
        <is>
          <t>payment-service</t>
        </is>
      </c>
      <c r="D2704" s="16" t="inlineStr">
        <is>
          <t>API slice</t>
        </is>
      </c>
      <c r="E2704" s="17" t="inlineStr">
        <is>
          <t>InternalPayosAdminControllerWebTest</t>
        </is>
      </c>
      <c r="F2704" s="17" t="inlineStr"/>
      <c r="G2704" s="17" t="inlineStr">
        <is>
          <t>Không có body: dùng URL cấu hình (handler nhận null)</t>
        </is>
      </c>
      <c r="H2704" s="17" t="inlineStr">
        <is>
          <t>khong_body</t>
        </is>
      </c>
      <c r="I2704" s="16" t="inlineStr">
        <is>
          <t>Đạt</t>
        </is>
      </c>
      <c r="J2704" s="16" t="n">
        <v>0.019</v>
      </c>
    </row>
    <row r="2705">
      <c r="A2705" s="16" t="n">
        <v>2701</v>
      </c>
      <c r="B2705" s="16" t="inlineStr">
        <is>
          <t>Backend</t>
        </is>
      </c>
      <c r="C2705" s="17" t="inlineStr">
        <is>
          <t>payment-service</t>
        </is>
      </c>
      <c r="D2705" s="16" t="inlineStr">
        <is>
          <t>API slice</t>
        </is>
      </c>
      <c r="E2705" s="17" t="inlineStr">
        <is>
          <t>InternalPayosAdminControllerWebTest</t>
        </is>
      </c>
      <c r="F2705" s="17" t="inlineStr"/>
      <c r="G2705" s="17" t="inlineStr">
        <is>
          <t>Body JSON hỏng: 400, không gọi payOS</t>
        </is>
      </c>
      <c r="H2705" s="17" t="inlineStr">
        <is>
          <t>body_hong</t>
        </is>
      </c>
      <c r="I2705" s="16" t="inlineStr">
        <is>
          <t>Đạt</t>
        </is>
      </c>
      <c r="J2705" s="16" t="n">
        <v>0.035</v>
      </c>
    </row>
    <row r="2706">
      <c r="A2706" s="16" t="n">
        <v>2702</v>
      </c>
      <c r="B2706" s="16" t="inlineStr">
        <is>
          <t>Backend</t>
        </is>
      </c>
      <c r="C2706" s="17" t="inlineStr">
        <is>
          <t>payment-service</t>
        </is>
      </c>
      <c r="D2706" s="16" t="inlineStr">
        <is>
          <t>API slice</t>
        </is>
      </c>
      <c r="E2706" s="17" t="inlineStr">
        <is>
          <t>InternalPayosAdminControllerWebTest</t>
        </is>
      </c>
      <c r="F2706" s="17" t="inlineStr"/>
      <c r="G2706" s="17" t="inlineStr">
        <is>
          <t>payOS từ chối URL: 502 PAYOS_REJECTED kèm lý do</t>
        </is>
      </c>
      <c r="H2706" s="17" t="inlineStr">
        <is>
          <t>payos_tu_choi</t>
        </is>
      </c>
      <c r="I2706" s="16" t="inlineStr">
        <is>
          <t>Đạt</t>
        </is>
      </c>
      <c r="J2706" s="16" t="n">
        <v>0.032</v>
      </c>
    </row>
    <row r="2707">
      <c r="A2707" s="16" t="n">
        <v>2703</v>
      </c>
      <c r="B2707" s="16" t="inlineStr">
        <is>
          <t>Backend</t>
        </is>
      </c>
      <c r="C2707" s="17" t="inlineStr">
        <is>
          <t>payment-service</t>
        </is>
      </c>
      <c r="D2707" s="16" t="inlineStr">
        <is>
          <t>API slice</t>
        </is>
      </c>
      <c r="E2707" s="17" t="inlineStr">
        <is>
          <t>PayosWebhookControllerWebTest › CongKhai</t>
        </is>
      </c>
      <c r="F2707" s="17" t="inlineStr">
        <is>
          <t>Công khai</t>
        </is>
      </c>
      <c r="G2707" s="17" t="inlineStr">
        <is>
          <t>Không có JWT vẫn tới được handler — payOS không có token của ta</t>
        </is>
      </c>
      <c r="H2707" s="17" t="inlineStr">
        <is>
          <t>khong_jwt_van_toi_handler</t>
        </is>
      </c>
      <c r="I2707" s="16" t="inlineStr">
        <is>
          <t>Đạt</t>
        </is>
      </c>
      <c r="J2707" s="16" t="n">
        <v>0.026</v>
      </c>
    </row>
    <row r="2708">
      <c r="A2708" s="16" t="n">
        <v>2704</v>
      </c>
      <c r="B2708" s="16" t="inlineStr">
        <is>
          <t>Backend</t>
        </is>
      </c>
      <c r="C2708" s="17" t="inlineStr">
        <is>
          <t>payment-service</t>
        </is>
      </c>
      <c r="D2708" s="16" t="inlineStr">
        <is>
          <t>API slice</t>
        </is>
      </c>
      <c r="E2708" s="17" t="inlineStr">
        <is>
          <t>PayosWebhookControllerWebTest › CongKhai</t>
        </is>
      </c>
      <c r="F2708" s="17" t="inlineStr">
        <is>
          <t>Công khai</t>
        </is>
      </c>
      <c r="G2708" s="17" t="inlineStr">
        <is>
          <t>Endpoint khác cùng service vẫn đòi đăng nhập: 401</t>
        </is>
      </c>
      <c r="H2708" s="17" t="inlineStr">
        <is>
          <t>endpoint_khac_van_doi_dang_nhap</t>
        </is>
      </c>
      <c r="I2708" s="16" t="inlineStr">
        <is>
          <t>Đạt</t>
        </is>
      </c>
      <c r="J2708" s="16" t="n">
        <v>0.017</v>
      </c>
    </row>
    <row r="2709">
      <c r="A2709" s="16" t="n">
        <v>2705</v>
      </c>
      <c r="B2709" s="16" t="inlineStr">
        <is>
          <t>Backend</t>
        </is>
      </c>
      <c r="C2709" s="17" t="inlineStr">
        <is>
          <t>payment-service</t>
        </is>
      </c>
      <c r="D2709" s="16" t="inlineStr">
        <is>
          <t>API slice</t>
        </is>
      </c>
      <c r="E2709" s="17" t="inlineStr">
        <is>
          <t>PayosWebhookControllerWebTest › CongKhai</t>
        </is>
      </c>
      <c r="F2709" s="17" t="inlineStr">
        <is>
          <t>Công khai</t>
        </is>
      </c>
      <c r="G2709" s="17" t="inlineStr">
        <is>
          <t>Body chuyển xuống NGUYÊN VĂN từng byte — số 3000.00 không bị viết lại</t>
        </is>
      </c>
      <c r="H2709" s="17" t="inlineStr">
        <is>
          <t>body_nguyen_van</t>
        </is>
      </c>
      <c r="I2709" s="16" t="inlineStr">
        <is>
          <t>Đạt</t>
        </is>
      </c>
      <c r="J2709" s="16" t="n">
        <v>0.033</v>
      </c>
    </row>
    <row r="2710">
      <c r="A2710" s="16" t="n">
        <v>2706</v>
      </c>
      <c r="B2710" s="16" t="inlineStr">
        <is>
          <t>Backend</t>
        </is>
      </c>
      <c r="C2710" s="17" t="inlineStr">
        <is>
          <t>payment-service</t>
        </is>
      </c>
      <c r="D2710" s="16" t="inlineStr">
        <is>
          <t>API slice</t>
        </is>
      </c>
      <c r="E2710" s="17" t="inlineStr">
        <is>
          <t>PayosWebhookControllerWebTest › MaTraVe</t>
        </is>
      </c>
      <c r="F2710" s="17" t="inlineStr">
        <is>
          <t>Mã trả về</t>
        </is>
      </c>
      <c r="G2710" s="17" t="inlineStr">
        <is>
          <t>Từ chối nghiệp vụ đã ký (trả thiếu): 200 kèm ghi chú — giao lại cũng không đổi được gì</t>
        </is>
      </c>
      <c r="H2710" s="17" t="inlineStr">
        <is>
          <t>tu_choi_nghiep_vu_200</t>
        </is>
      </c>
      <c r="I2710" s="16" t="inlineStr">
        <is>
          <t>Đạt</t>
        </is>
      </c>
      <c r="J2710" s="16" t="n">
        <v>0.031</v>
      </c>
    </row>
    <row r="2711">
      <c r="A2711" s="16" t="n">
        <v>2707</v>
      </c>
      <c r="B2711" s="16" t="inlineStr">
        <is>
          <t>Backend</t>
        </is>
      </c>
      <c r="C2711" s="17" t="inlineStr">
        <is>
          <t>payment-service</t>
        </is>
      </c>
      <c r="D2711" s="16" t="inlineStr">
        <is>
          <t>API slice</t>
        </is>
      </c>
      <c r="E2711" s="17" t="inlineStr">
        <is>
          <t>PayosWebhookControllerWebTest › MaTraVe</t>
        </is>
      </c>
      <c r="F2711" s="17" t="inlineStr">
        <is>
          <t>Mã trả về</t>
        </is>
      </c>
      <c r="G2711" s="17" t="inlineStr">
        <is>
          <t>Chữ ký sai: 401 và CHỈ có outcome — không lộ lý do cho người đang dò khoá</t>
        </is>
      </c>
      <c r="H2711" s="17" t="inlineStr">
        <is>
          <t>chu_ky_sai_401_khong_lo_ly_do</t>
        </is>
      </c>
      <c r="I2711" s="16" t="inlineStr">
        <is>
          <t>Đạt</t>
        </is>
      </c>
      <c r="J2711" s="16" t="n">
        <v>0.027</v>
      </c>
    </row>
    <row r="2712">
      <c r="A2712" s="16" t="n">
        <v>2708</v>
      </c>
      <c r="B2712" s="16" t="inlineStr">
        <is>
          <t>Backend</t>
        </is>
      </c>
      <c r="C2712" s="17" t="inlineStr">
        <is>
          <t>payment-service</t>
        </is>
      </c>
      <c r="D2712" s="16" t="inlineStr">
        <is>
          <t>API slice</t>
        </is>
      </c>
      <c r="E2712" s="17" t="inlineStr">
        <is>
          <t>PayosWebhookControllerWebTest › MaTraVe</t>
        </is>
      </c>
      <c r="F2712" s="17" t="inlineStr">
        <is>
          <t>Mã trả về</t>
        </is>
      </c>
      <c r="G2712" s="17" t="inlineStr">
        <is>
          <t>Ordering sập: 503 dạng RFC 7807 với mã ORDERING_UNAVAILABLE để payOS giao lại</t>
        </is>
      </c>
      <c r="H2712" s="17" t="inlineStr">
        <is>
          <t>ordering_sap_503</t>
        </is>
      </c>
      <c r="I2712" s="16" t="inlineStr">
        <is>
          <t>Đạt</t>
        </is>
      </c>
      <c r="J2712" s="16" t="n">
        <v>0.036</v>
      </c>
    </row>
    <row r="2713">
      <c r="A2713" s="16" t="n">
        <v>2709</v>
      </c>
      <c r="B2713" s="16" t="inlineStr">
        <is>
          <t>Backend</t>
        </is>
      </c>
      <c r="C2713" s="17" t="inlineStr">
        <is>
          <t>payment-service</t>
        </is>
      </c>
      <c r="D2713" s="16" t="inlineStr">
        <is>
          <t>API slice</t>
        </is>
      </c>
      <c r="E2713" s="17" t="inlineStr">
        <is>
          <t>PayosWebhookControllerWebTest › MaTraVe</t>
        </is>
      </c>
      <c r="F2713" s="17" t="inlineStr">
        <is>
          <t>Mã trả về</t>
        </is>
      </c>
      <c r="G2713" s="17" t="inlineStr">
        <is>
          <t>Lỗi không lường trước: 500 không lộ thông điệp gốc</t>
        </is>
      </c>
      <c r="H2713" s="17" t="inlineStr">
        <is>
          <t>loi_bat_ngo_500</t>
        </is>
      </c>
      <c r="I2713" s="16" t="inlineStr">
        <is>
          <t>Đạt</t>
        </is>
      </c>
      <c r="J2713" s="16" t="n">
        <v>0.052</v>
      </c>
    </row>
    <row r="2714">
      <c r="A2714" s="16" t="n">
        <v>2710</v>
      </c>
      <c r="B2714" s="16" t="inlineStr">
        <is>
          <t>Backend</t>
        </is>
      </c>
      <c r="C2714" s="17" t="inlineStr">
        <is>
          <t>payment-service</t>
        </is>
      </c>
      <c r="D2714" s="16" t="inlineStr">
        <is>
          <t>API slice</t>
        </is>
      </c>
      <c r="E2714" s="17" t="inlineStr">
        <is>
          <t>PayosWebhookControllerWebTest › RequestHong</t>
        </is>
      </c>
      <c r="F2714" s="17" t="inlineStr">
        <is>
          <t>Request hỏng</t>
        </is>
      </c>
      <c r="G2714" s="17" t="inlineStr">
        <is>
          <t>Content-Type không phải JSON: 415, không gọi handler</t>
        </is>
      </c>
      <c r="H2714" s="17" t="inlineStr">
        <is>
          <t>sai_content_type</t>
        </is>
      </c>
      <c r="I2714" s="16" t="inlineStr">
        <is>
          <t>Đạt</t>
        </is>
      </c>
      <c r="J2714" s="16" t="n">
        <v>0.097</v>
      </c>
    </row>
    <row r="2715">
      <c r="A2715" s="16" t="n">
        <v>2711</v>
      </c>
      <c r="B2715" s="16" t="inlineStr">
        <is>
          <t>Backend</t>
        </is>
      </c>
      <c r="C2715" s="17" t="inlineStr">
        <is>
          <t>payment-service</t>
        </is>
      </c>
      <c r="D2715" s="16" t="inlineStr">
        <is>
          <t>API slice</t>
        </is>
      </c>
      <c r="E2715" s="17" t="inlineStr">
        <is>
          <t>PayosWebhookControllerWebTest › RequestHong</t>
        </is>
      </c>
      <c r="F2715" s="17" t="inlineStr">
        <is>
          <t>Request hỏng</t>
        </is>
      </c>
      <c r="G2715" s="17" t="inlineStr">
        <is>
          <t>Không có body: 400 VALIDATION_FAILED, không gọi handler</t>
        </is>
      </c>
      <c r="H2715" s="17" t="inlineStr">
        <is>
          <t>khong_body</t>
        </is>
      </c>
      <c r="I2715" s="16" t="inlineStr">
        <is>
          <t>Đạt</t>
        </is>
      </c>
      <c r="J2715" s="16" t="n">
        <v>0.044</v>
      </c>
    </row>
    <row r="2716">
      <c r="A2716" s="16" t="n">
        <v>2712</v>
      </c>
      <c r="B2716" s="16" t="inlineStr">
        <is>
          <t>Backend</t>
        </is>
      </c>
      <c r="C2716" s="17" t="inlineStr">
        <is>
          <t>payment-service</t>
        </is>
      </c>
      <c r="D2716" s="16" t="inlineStr">
        <is>
          <t>API slice</t>
        </is>
      </c>
      <c r="E2716" s="17" t="inlineStr">
        <is>
          <t>PayosWebhookControllerWebTest › RequestHong</t>
        </is>
      </c>
      <c r="F2716" s="17" t="inlineStr">
        <is>
          <t>Request hỏng</t>
        </is>
      </c>
      <c r="G2716" s="17" t="inlineStr">
        <is>
          <t>GET vào endpoint webhook: 405, không gọi handler</t>
        </is>
      </c>
      <c r="H2716" s="17" t="inlineStr">
        <is>
          <t>sai_method</t>
        </is>
      </c>
      <c r="I2716" s="16" t="inlineStr">
        <is>
          <t>Đạt</t>
        </is>
      </c>
      <c r="J2716" s="16" t="n">
        <v>0.026</v>
      </c>
    </row>
    <row r="2717">
      <c r="A2717" s="16" t="n">
        <v>2713</v>
      </c>
      <c r="B2717" s="16" t="inlineStr">
        <is>
          <t>Backend</t>
        </is>
      </c>
      <c r="C2717" s="17" t="inlineStr">
        <is>
          <t>payout-service</t>
        </is>
      </c>
      <c r="D2717" s="16" t="inlineStr">
        <is>
          <t>Unit</t>
        </is>
      </c>
      <c r="E2717" s="17" t="inlineStr">
        <is>
          <t>PayoutHandlersTest › Duyet</t>
        </is>
      </c>
      <c r="F2717" s="17" t="inlineStr">
        <is>
          <t>Duyệt, từ chối, xác nhận</t>
        </is>
      </c>
      <c r="G2717" s="17" t="inlineStr">
        <is>
          <t>Từ chối lô chờ duyệt: REJECTED kèm lý do, được ghi</t>
        </is>
      </c>
      <c r="H2717" s="17" t="inlineStr">
        <is>
          <t>tu_choi</t>
        </is>
      </c>
      <c r="I2717" s="16" t="inlineStr">
        <is>
          <t>Đạt</t>
        </is>
      </c>
      <c r="J2717" s="16" t="n">
        <v>5.026</v>
      </c>
    </row>
    <row r="2718">
      <c r="A2718" s="16" t="n">
        <v>2714</v>
      </c>
      <c r="B2718" s="16" t="inlineStr">
        <is>
          <t>Backend</t>
        </is>
      </c>
      <c r="C2718" s="17" t="inlineStr">
        <is>
          <t>payout-service</t>
        </is>
      </c>
      <c r="D2718" s="16" t="inlineStr">
        <is>
          <t>Unit</t>
        </is>
      </c>
      <c r="E2718" s="17" t="inlineStr">
        <is>
          <t>PayoutHandlersTest › Duyet</t>
        </is>
      </c>
      <c r="F2718" s="17" t="inlineStr">
        <is>
          <t>Duyệt, từ chối, xác nhận</t>
        </is>
      </c>
      <c r="G2718" s="17" t="inlineStr">
        <is>
          <t>Xác nhận lô đã duyệt: COMPLETED kèm mã giao dịch</t>
        </is>
      </c>
      <c r="H2718" s="17" t="inlineStr">
        <is>
          <t>xac_nhan_lo_da_duyet</t>
        </is>
      </c>
      <c r="I2718" s="16" t="inlineStr">
        <is>
          <t>Đạt</t>
        </is>
      </c>
      <c r="J2718" s="16" t="n">
        <v>0.014</v>
      </c>
    </row>
    <row r="2719">
      <c r="A2719" s="16" t="n">
        <v>2715</v>
      </c>
      <c r="B2719" s="16" t="inlineStr">
        <is>
          <t>Backend</t>
        </is>
      </c>
      <c r="C2719" s="17" t="inlineStr">
        <is>
          <t>payout-service</t>
        </is>
      </c>
      <c r="D2719" s="16" t="inlineStr">
        <is>
          <t>Unit</t>
        </is>
      </c>
      <c r="E2719" s="17" t="inlineStr">
        <is>
          <t>PayoutHandlersTest › Duyet</t>
        </is>
      </c>
      <c r="F2719" s="17" t="inlineStr">
        <is>
          <t>Duyệt, từ chối, xác nhận</t>
        </is>
      </c>
      <c r="G2719" s="17" t="inlineStr">
        <is>
          <t>Người tạo tự duyệt: 403 SELF_APPROVAL_FORBIDDEN, không ghi gì</t>
        </is>
      </c>
      <c r="H2719" s="17" t="inlineStr">
        <is>
          <t>tu_duyet</t>
        </is>
      </c>
      <c r="I2719" s="16" t="inlineStr">
        <is>
          <t>Đạt</t>
        </is>
      </c>
      <c r="J2719" s="16" t="n">
        <v>0.09</v>
      </c>
    </row>
    <row r="2720">
      <c r="A2720" s="16" t="n">
        <v>2716</v>
      </c>
      <c r="B2720" s="16" t="inlineStr">
        <is>
          <t>Backend</t>
        </is>
      </c>
      <c r="C2720" s="17" t="inlineStr">
        <is>
          <t>payout-service</t>
        </is>
      </c>
      <c r="D2720" s="16" t="inlineStr">
        <is>
          <t>Unit</t>
        </is>
      </c>
      <c r="E2720" s="17" t="inlineStr">
        <is>
          <t>PayoutHandlersTest › Duyet</t>
        </is>
      </c>
      <c r="F2720" s="17" t="inlineStr">
        <is>
          <t>Duyệt, từ chối, xác nhận</t>
        </is>
      </c>
      <c r="G2720" s="17" t="inlineStr">
        <is>
          <t>Người khác duyệt: APPROVED, ghi người duyệt và thời điểm theo đồng hồ</t>
        </is>
      </c>
      <c r="H2720" s="17" t="inlineStr">
        <is>
          <t>nguoi_khac_duyet</t>
        </is>
      </c>
      <c r="I2720" s="16" t="inlineStr">
        <is>
          <t>Đạt</t>
        </is>
      </c>
      <c r="J2720" s="16" t="n">
        <v>0.011</v>
      </c>
    </row>
    <row r="2721">
      <c r="A2721" s="16" t="n">
        <v>2717</v>
      </c>
      <c r="B2721" s="16" t="inlineStr">
        <is>
          <t>Backend</t>
        </is>
      </c>
      <c r="C2721" s="17" t="inlineStr">
        <is>
          <t>payout-service</t>
        </is>
      </c>
      <c r="D2721" s="16" t="inlineStr">
        <is>
          <t>Unit</t>
        </is>
      </c>
      <c r="E2721" s="17" t="inlineStr">
        <is>
          <t>PayoutHandlersTest › Duyet</t>
        </is>
      </c>
      <c r="F2721" s="17" t="inlineStr">
        <is>
          <t>Duyệt, từ chối, xác nhận</t>
        </is>
      </c>
      <c r="G2721" s="17" t="inlineStr">
        <is>
          <t>Xác nhận đã chuyển cho lô CHƯA duyệt: 409 — không bỏ qua được bước duyệt</t>
        </is>
      </c>
      <c r="H2721" s="17" t="inlineStr">
        <is>
          <t>xac_nhan_lo_chua_duyet</t>
        </is>
      </c>
      <c r="I2721" s="16" t="inlineStr">
        <is>
          <t>Đạt</t>
        </is>
      </c>
      <c r="J2721" s="16" t="n">
        <v>0.012</v>
      </c>
    </row>
    <row r="2722">
      <c r="A2722" s="16" t="n">
        <v>2718</v>
      </c>
      <c r="B2722" s="16" t="inlineStr">
        <is>
          <t>Backend</t>
        </is>
      </c>
      <c r="C2722" s="17" t="inlineStr">
        <is>
          <t>payout-service</t>
        </is>
      </c>
      <c r="D2722" s="16" t="inlineStr">
        <is>
          <t>Unit</t>
        </is>
      </c>
      <c r="E2722" s="17" t="inlineStr">
        <is>
          <t>PayoutHandlersTest › Duyet</t>
        </is>
      </c>
      <c r="F2722" s="17" t="inlineStr">
        <is>
          <t>Duyệt, từ chối, xác nhận</t>
        </is>
      </c>
      <c r="G2722" s="17" t="inlineStr">
        <is>
          <t>Duyệt lần hai (lô đã APPROVED): 409 BATCH_NOT_IN_EXPECTED_STATE, không ghi đè người duyệt</t>
        </is>
      </c>
      <c r="H2722" s="17" t="inlineStr">
        <is>
          <t>duyet_lan_hai</t>
        </is>
      </c>
      <c r="I2722" s="16" t="inlineStr">
        <is>
          <t>Đạt</t>
        </is>
      </c>
      <c r="J2722" s="16" t="n">
        <v>0.008</v>
      </c>
    </row>
    <row r="2723">
      <c r="A2723" s="16" t="n">
        <v>2719</v>
      </c>
      <c r="B2723" s="16" t="inlineStr">
        <is>
          <t>Backend</t>
        </is>
      </c>
      <c r="C2723" s="17" t="inlineStr">
        <is>
          <t>payout-service</t>
        </is>
      </c>
      <c r="D2723" s="16" t="inlineStr">
        <is>
          <t>Unit</t>
        </is>
      </c>
      <c r="E2723" s="17" t="inlineStr">
        <is>
          <t>PayoutHandlersTest › Duyet</t>
        </is>
      </c>
      <c r="F2723" s="17" t="inlineStr">
        <is>
          <t>Duyệt, từ chối, xác nhận</t>
        </is>
      </c>
      <c r="G2723" s="17" t="inlineStr">
        <is>
          <t>Lô không tồn tại: 404 BATCH_NOT_FOUND cho cả ba thao tác</t>
        </is>
      </c>
      <c r="H2723" s="17" t="inlineStr">
        <is>
          <t>lo_khong_ton_tai</t>
        </is>
      </c>
      <c r="I2723" s="16" t="inlineStr">
        <is>
          <t>Đạt</t>
        </is>
      </c>
      <c r="J2723" s="16" t="n">
        <v>0.013</v>
      </c>
    </row>
    <row r="2724">
      <c r="A2724" s="16" t="n">
        <v>2720</v>
      </c>
      <c r="B2724" s="16" t="inlineStr">
        <is>
          <t>Backend</t>
        </is>
      </c>
      <c r="C2724" s="17" t="inlineStr">
        <is>
          <t>payout-service</t>
        </is>
      </c>
      <c r="D2724" s="16" t="inlineStr">
        <is>
          <t>Unit</t>
        </is>
      </c>
      <c r="E2724" s="17" t="inlineStr">
        <is>
          <t>PayoutHandlersTest › Duyet</t>
        </is>
      </c>
      <c r="F2724" s="17" t="inlineStr">
        <is>
          <t>Duyệt, từ chối, xác nhận</t>
        </is>
      </c>
      <c r="G2724" s="17" t="inlineStr">
        <is>
          <t>Từ chối lô đã duyệt: 409, không ghi</t>
        </is>
      </c>
      <c r="H2724" s="17" t="inlineStr">
        <is>
          <t>tu_choi_lo_da_duyet</t>
        </is>
      </c>
      <c r="I2724" s="16" t="inlineStr">
        <is>
          <t>Đạt</t>
        </is>
      </c>
      <c r="J2724" s="16" t="n">
        <v>0.01</v>
      </c>
    </row>
    <row r="2725">
      <c r="A2725" s="16" t="n">
        <v>2721</v>
      </c>
      <c r="B2725" s="16" t="inlineStr">
        <is>
          <t>Backend</t>
        </is>
      </c>
      <c r="C2725" s="17" t="inlineStr">
        <is>
          <t>payout-service</t>
        </is>
      </c>
      <c r="D2725" s="16" t="inlineStr">
        <is>
          <t>Unit</t>
        </is>
      </c>
      <c r="E2725" s="17" t="inlineStr">
        <is>
          <t>PayoutHandlersTest › TaoLo</t>
        </is>
      </c>
      <c r="F2725" s="17" t="inlineStr">
        <is>
          <t>Tạo lô chi trả</t>
        </is>
      </c>
      <c r="G2725" s="17" t="inlineStr">
        <is>
          <t>Qua đủ sáu cổng: lưu lô chờ duyệt kèm đích chi trả, người tạo lấy từ lệnh</t>
        </is>
      </c>
      <c r="H2725" s="17" t="inlineStr">
        <is>
          <t>qua_du_cong</t>
        </is>
      </c>
      <c r="I2725" s="16" t="inlineStr">
        <is>
          <t>Đạt</t>
        </is>
      </c>
      <c r="J2725" s="16" t="n">
        <v>0.12</v>
      </c>
    </row>
    <row r="2726">
      <c r="A2726" s="16" t="n">
        <v>2722</v>
      </c>
      <c r="B2726" s="16" t="inlineStr">
        <is>
          <t>Backend</t>
        </is>
      </c>
      <c r="C2726" s="17" t="inlineStr">
        <is>
          <t>payout-service</t>
        </is>
      </c>
      <c r="D2726" s="16" t="inlineStr">
        <is>
          <t>Unit</t>
        </is>
      </c>
      <c r="E2726" s="17" t="inlineStr">
        <is>
          <t>PayoutHandlersTest › TaoLo</t>
        </is>
      </c>
      <c r="F2726" s="17" t="inlineStr">
        <is>
          <t>Tạo lô chi trả</t>
        </is>
      </c>
      <c r="G2726" s="17" t="inlineStr">
        <is>
          <t>Số tiền 0 (lọt qua controller): không tạo được lô nào</t>
        </is>
      </c>
      <c r="H2726" s="17" t="inlineStr">
        <is>
          <t>so_tien_khong</t>
        </is>
      </c>
      <c r="I2726" s="16" t="inlineStr">
        <is>
          <t>Đạt</t>
        </is>
      </c>
      <c r="J2726" s="16" t="n">
        <v>0.016</v>
      </c>
    </row>
    <row r="2727">
      <c r="A2727" s="16" t="n">
        <v>2723</v>
      </c>
      <c r="B2727" s="16" t="inlineStr">
        <is>
          <t>Backend</t>
        </is>
      </c>
      <c r="C2727" s="17" t="inlineStr">
        <is>
          <t>payout-service</t>
        </is>
      </c>
      <c r="D2727" s="16" t="inlineStr">
        <is>
          <t>Unit</t>
        </is>
      </c>
      <c r="E2727" s="17" t="inlineStr">
        <is>
          <t>PayoutHandlersTest › TaoLo</t>
        </is>
      </c>
      <c r="F2727" s="17" t="inlineStr">
        <is>
          <t>Tạo lô chi trả</t>
        </is>
      </c>
      <c r="G2727" s="17" t="inlineStr">
        <is>
          <t>Tổ chức bị đình chỉ: 422 PAYOUT_BLOCKED liệt kê ORGANIZATION_SUSPENDED, không lưu gì</t>
        </is>
      </c>
      <c r="H2727" s="17" t="inlineStr">
        <is>
          <t>to_chuc_bi_dinh_chi</t>
        </is>
      </c>
      <c r="I2727" s="16" t="inlineStr">
        <is>
          <t>Đạt</t>
        </is>
      </c>
      <c r="J2727" s="16" t="n">
        <v>0.067</v>
      </c>
    </row>
    <row r="2728">
      <c r="A2728" s="16" t="n">
        <v>2724</v>
      </c>
      <c r="B2728" s="16" t="inlineStr">
        <is>
          <t>Backend</t>
        </is>
      </c>
      <c r="C2728" s="17" t="inlineStr">
        <is>
          <t>payout-service</t>
        </is>
      </c>
      <c r="D2728" s="16" t="inlineStr">
        <is>
          <t>Unit</t>
        </is>
      </c>
      <c r="E2728" s="17" t="inlineStr">
        <is>
          <t>PayoutHandlersTest › TaoLo</t>
        </is>
      </c>
      <c r="F2728" s="17" t="inlineStr">
        <is>
          <t>Tạo lô chi trả</t>
        </is>
      </c>
      <c r="G2728" s="17" t="inlineStr">
        <is>
          <t>Sổ cái không đọc được: ném nguyên lỗi, không coi là số dư 0, không lưu gì</t>
        </is>
      </c>
      <c r="H2728" s="17" t="inlineStr">
        <is>
          <t>so_cai_hong</t>
        </is>
      </c>
      <c r="I2728" s="16" t="inlineStr">
        <is>
          <t>Đạt</t>
        </is>
      </c>
      <c r="J2728" s="16" t="n">
        <v>0.021</v>
      </c>
    </row>
    <row r="2729">
      <c r="A2729" s="16" t="n">
        <v>2725</v>
      </c>
      <c r="B2729" s="16" t="inlineStr">
        <is>
          <t>Backend</t>
        </is>
      </c>
      <c r="C2729" s="17" t="inlineStr">
        <is>
          <t>payout-service</t>
        </is>
      </c>
      <c r="D2729" s="16" t="inlineStr">
        <is>
          <t>Unit</t>
        </is>
      </c>
      <c r="E2729" s="17" t="inlineStr">
        <is>
          <t>PayoutHandlersTest › TaoLo</t>
        </is>
      </c>
      <c r="F2729" s="17" t="inlineStr">
        <is>
          <t>Tạo lô chi trả</t>
        </is>
      </c>
      <c r="G2729" s="17" t="inlineStr">
        <is>
          <t>Chưa có đích chi trả: 400 NO_PAYOUT_ACCOUNT, không hỏi sổ cái</t>
        </is>
      </c>
      <c r="H2729" s="17" t="inlineStr">
        <is>
          <t>chua_co_dich_chi_tra</t>
        </is>
      </c>
      <c r="I2729" s="16" t="inlineStr">
        <is>
          <t>Đạt</t>
        </is>
      </c>
      <c r="J2729" s="16" t="n">
        <v>0.013</v>
      </c>
    </row>
    <row r="2730">
      <c r="A2730" s="16" t="n">
        <v>2726</v>
      </c>
      <c r="B2730" s="16" t="inlineStr">
        <is>
          <t>Backend</t>
        </is>
      </c>
      <c r="C2730" s="17" t="inlineStr">
        <is>
          <t>payout-service</t>
        </is>
      </c>
      <c r="D2730" s="16" t="inlineStr">
        <is>
          <t>Unit</t>
        </is>
      </c>
      <c r="E2730" s="17" t="inlineStr">
        <is>
          <t>PayoutHandlersTest › TaoLo</t>
        </is>
      </c>
      <c r="F2730" s="17" t="inlineStr">
        <is>
          <t>Tạo lô chi trả</t>
        </is>
      </c>
      <c r="G2730" s="17" t="inlineStr">
        <is>
          <t>Người vận hành chưa xác nhận hết hạn giữ tiền: chặn</t>
        </is>
      </c>
      <c r="H2730" s="17" t="inlineStr">
        <is>
          <t>chua_het_han_giu</t>
        </is>
      </c>
      <c r="I2730" s="16" t="inlineStr">
        <is>
          <t>Đạt</t>
        </is>
      </c>
      <c r="J2730" s="16" t="n">
        <v>0.012</v>
      </c>
    </row>
    <row r="2731">
      <c r="A2731" s="16" t="n">
        <v>2727</v>
      </c>
      <c r="B2731" s="16" t="inlineStr">
        <is>
          <t>Backend</t>
        </is>
      </c>
      <c r="C2731" s="17" t="inlineStr">
        <is>
          <t>payout-service</t>
        </is>
      </c>
      <c r="D2731" s="16" t="inlineStr">
        <is>
          <t>Unit</t>
        </is>
      </c>
      <c r="E2731" s="17" t="inlineStr">
        <is>
          <t>PayoutHandlersTest › TaoLo</t>
        </is>
      </c>
      <c r="F2731" s="17" t="inlineStr">
        <is>
          <t>Tạo lô chi trả</t>
        </is>
      </c>
      <c r="G2731" s="17" t="inlineStr">
        <is>
          <t>Chi vừa đúng phần còn lại sau khi trừ tiền đang chuyển: cho</t>
        </is>
      </c>
      <c r="H2731" s="17" t="inlineStr">
        <is>
          <t>vua_dung_phan_con_lai</t>
        </is>
      </c>
      <c r="I2731" s="16" t="inlineStr">
        <is>
          <t>Đạt</t>
        </is>
      </c>
      <c r="J2731" s="16" t="n">
        <v>0.01</v>
      </c>
    </row>
    <row r="2732">
      <c r="A2732" s="16" t="n">
        <v>2728</v>
      </c>
      <c r="B2732" s="16" t="inlineStr">
        <is>
          <t>Backend</t>
        </is>
      </c>
      <c r="C2732" s="17" t="inlineStr">
        <is>
          <t>payout-service</t>
        </is>
      </c>
      <c r="D2732" s="16" t="inlineStr">
        <is>
          <t>Unit</t>
        </is>
      </c>
      <c r="E2732" s="17" t="inlineStr">
        <is>
          <t>PayoutHandlersTest › TaoLo</t>
        </is>
      </c>
      <c r="F2732" s="17" t="inlineStr">
        <is>
          <t>Tạo lô chi trả</t>
        </is>
      </c>
      <c r="G2732" s="17" t="inlineStr">
        <is>
          <t>Đối soát được hỏi cho ngày làm việc TRƯỚC theo giờ Việt Nam, không theo UTC</t>
        </is>
      </c>
      <c r="H2732" s="17" t="inlineStr">
        <is>
          <t>ngay_doi_soat_theo_gio_viet_nam</t>
        </is>
      </c>
      <c r="I2732" s="16" t="inlineStr">
        <is>
          <t>Đạt</t>
        </is>
      </c>
      <c r="J2732" s="16" t="n">
        <v>0.007</v>
      </c>
    </row>
    <row r="2733">
      <c r="A2733" s="16" t="n">
        <v>2729</v>
      </c>
      <c r="B2733" s="16" t="inlineStr">
        <is>
          <t>Backend</t>
        </is>
      </c>
      <c r="C2733" s="17" t="inlineStr">
        <is>
          <t>payout-service</t>
        </is>
      </c>
      <c r="D2733" s="16" t="inlineStr">
        <is>
          <t>Unit</t>
        </is>
      </c>
      <c r="E2733" s="17" t="inlineStr">
        <is>
          <t>PayoutHandlersTest › TaoLo</t>
        </is>
      </c>
      <c r="F2733" s="17" t="inlineStr">
        <is>
          <t>Tạo lô chi trả</t>
        </is>
      </c>
      <c r="G2733" s="17" t="inlineStr">
        <is>
          <t>Số tiền âm (lọt qua controller): không tạo được lô nào</t>
        </is>
      </c>
      <c r="H2733" s="17" t="inlineStr">
        <is>
          <t>so_tien_am</t>
        </is>
      </c>
      <c r="I2733" s="16" t="inlineStr">
        <is>
          <t>Đạt</t>
        </is>
      </c>
      <c r="J2733" s="16" t="n">
        <v>0.011</v>
      </c>
    </row>
    <row r="2734">
      <c r="A2734" s="16" t="n">
        <v>2730</v>
      </c>
      <c r="B2734" s="16" t="inlineStr">
        <is>
          <t>Backend</t>
        </is>
      </c>
      <c r="C2734" s="17" t="inlineStr">
        <is>
          <t>payout-service</t>
        </is>
      </c>
      <c r="D2734" s="16" t="inlineStr">
        <is>
          <t>Unit</t>
        </is>
      </c>
      <c r="E2734" s="17" t="inlineStr">
        <is>
          <t>PayoutHandlersTest › TaoLo</t>
        </is>
      </c>
      <c r="F2734" s="17" t="inlineStr">
        <is>
          <t>Tạo lô chi trả</t>
        </is>
      </c>
      <c r="G2734" s="17" t="inlineStr">
        <is>
          <t>Tiền đang trên đường chuyển bị trừ khỏi số dư: hai lô không cùng tiêu một số dư</t>
        </is>
      </c>
      <c r="H2734" s="17" t="inlineStr">
        <is>
          <t>tru_tien_dang_chuyen</t>
        </is>
      </c>
      <c r="I2734" s="16" t="inlineStr">
        <is>
          <t>Đạt</t>
        </is>
      </c>
      <c r="J2734" s="16" t="n">
        <v>0.013</v>
      </c>
    </row>
    <row r="2735">
      <c r="A2735" s="16" t="n">
        <v>2731</v>
      </c>
      <c r="B2735" s="16" t="inlineStr">
        <is>
          <t>Backend</t>
        </is>
      </c>
      <c r="C2735" s="17" t="inlineStr">
        <is>
          <t>payout-service</t>
        </is>
      </c>
      <c r="D2735" s="16" t="inlineStr">
        <is>
          <t>ArchUnit</t>
        </is>
      </c>
      <c r="E2735" s="17" t="inlineStr">
        <is>
          <t>ArchitectureTest</t>
        </is>
      </c>
      <c r="F2735" s="17" t="inlineStr"/>
      <c r="G2735" s="17" t="inlineStr">
        <is>
          <t>domain thuan nghiep vu</t>
        </is>
      </c>
      <c r="H2735" s="17" t="inlineStr">
        <is>
          <t>domain_thuan_nghiep_vu</t>
        </is>
      </c>
      <c r="I2735" s="16" t="inlineStr">
        <is>
          <t>Đạt</t>
        </is>
      </c>
      <c r="J2735" s="16" t="n">
        <v>8.103</v>
      </c>
    </row>
    <row r="2736">
      <c r="A2736" s="16" t="n">
        <v>2732</v>
      </c>
      <c r="B2736" s="16" t="inlineStr">
        <is>
          <t>Backend</t>
        </is>
      </c>
      <c r="C2736" s="17" t="inlineStr">
        <is>
          <t>payout-service</t>
        </is>
      </c>
      <c r="D2736" s="16" t="inlineStr">
        <is>
          <t>ArchUnit</t>
        </is>
      </c>
      <c r="E2736" s="17" t="inlineStr">
        <is>
          <t>ArchitectureTest</t>
        </is>
      </c>
      <c r="F2736" s="17" t="inlineStr"/>
      <c r="G2736" s="17" t="inlineStr">
        <is>
          <t>chieu phu thuoc hexagonal</t>
        </is>
      </c>
      <c r="H2736" s="17" t="inlineStr">
        <is>
          <t>chieu_phu_thuoc_hexagonal</t>
        </is>
      </c>
      <c r="I2736" s="16" t="inlineStr">
        <is>
          <t>Đạt</t>
        </is>
      </c>
      <c r="J2736" s="16" t="n">
        <v>0.5600000000000001</v>
      </c>
    </row>
    <row r="2737">
      <c r="A2737" s="16" t="n">
        <v>2733</v>
      </c>
      <c r="B2737" s="16" t="inlineStr">
        <is>
          <t>Backend</t>
        </is>
      </c>
      <c r="C2737" s="17" t="inlineStr">
        <is>
          <t>payout-service</t>
        </is>
      </c>
      <c r="D2737" s="16" t="inlineStr">
        <is>
          <t>ArchUnit</t>
        </is>
      </c>
      <c r="E2737" s="17" t="inlineStr">
        <is>
          <t>ArchitectureTest</t>
        </is>
      </c>
      <c r="F2737" s="17" t="inlineStr"/>
      <c r="G2737" s="17" t="inlineStr">
        <is>
          <t>khong import cheo context</t>
        </is>
      </c>
      <c r="H2737" s="17" t="inlineStr">
        <is>
          <t>khong_import_cheo_context</t>
        </is>
      </c>
      <c r="I2737" s="16" t="inlineStr">
        <is>
          <t>Đạt</t>
        </is>
      </c>
      <c r="J2737" s="16" t="n">
        <v>0.012</v>
      </c>
    </row>
    <row r="2738">
      <c r="A2738" s="16" t="n">
        <v>2734</v>
      </c>
      <c r="B2738" s="16" t="inlineStr">
        <is>
          <t>Backend</t>
        </is>
      </c>
      <c r="C2738" s="17" t="inlineStr">
        <is>
          <t>payout-service</t>
        </is>
      </c>
      <c r="D2738" s="16" t="inlineStr">
        <is>
          <t>Unit</t>
        </is>
      </c>
      <c r="E2738" s="17" t="inlineStr">
        <is>
          <t>PayoutBatchTest</t>
        </is>
      </c>
      <c r="F2738" s="17" t="inlineStr"/>
      <c r="G2738" s="17" t="inlineStr">
        <is>
          <t>Duyệt hai lần không được</t>
        </is>
      </c>
      <c r="H2738" s="17" t="inlineStr">
        <is>
          <t>duyet_hai_lan_khong_duoc</t>
        </is>
      </c>
      <c r="I2738" s="16" t="inlineStr">
        <is>
          <t>Đạt</t>
        </is>
      </c>
      <c r="J2738" s="16" t="n">
        <v>0.002</v>
      </c>
    </row>
    <row r="2739">
      <c r="A2739" s="16" t="n">
        <v>2735</v>
      </c>
      <c r="B2739" s="16" t="inlineStr">
        <is>
          <t>Backend</t>
        </is>
      </c>
      <c r="C2739" s="17" t="inlineStr">
        <is>
          <t>payout-service</t>
        </is>
      </c>
      <c r="D2739" s="16" t="inlineStr">
        <is>
          <t>Unit</t>
        </is>
      </c>
      <c r="E2739" s="17" t="inlineStr">
        <is>
          <t>PayoutBatchTest</t>
        </is>
      </c>
      <c r="F2739" s="17" t="inlineStr"/>
      <c r="G2739" s="17" t="inlineStr">
        <is>
          <t>Lô đã hoàn tất không quay lại được trạng thái nào khác</t>
        </is>
      </c>
      <c r="H2739" s="17" t="inlineStr">
        <is>
          <t>da_hoan_tat_thi_khong_quay_lai</t>
        </is>
      </c>
      <c r="I2739" s="16" t="inlineStr">
        <is>
          <t>Đạt</t>
        </is>
      </c>
      <c r="J2739" s="16" t="n">
        <v>0.004</v>
      </c>
    </row>
    <row r="2740">
      <c r="A2740" s="16" t="n">
        <v>2736</v>
      </c>
      <c r="B2740" s="16" t="inlineStr">
        <is>
          <t>Backend</t>
        </is>
      </c>
      <c r="C2740" s="17" t="inlineStr">
        <is>
          <t>payout-service</t>
        </is>
      </c>
      <c r="D2740" s="16" t="inlineStr">
        <is>
          <t>Unit</t>
        </is>
      </c>
      <c r="E2740" s="17" t="inlineStr">
        <is>
          <t>PayoutBatchTest</t>
        </is>
      </c>
      <c r="F2740" s="17" t="inlineStr"/>
      <c r="G2740" s="17" t="inlineStr">
        <is>
          <t>Không bỏ qua được bước duyệt để xác nhận đã chuyển</t>
        </is>
      </c>
      <c r="H2740" s="17" t="inlineStr">
        <is>
          <t>khong_bo_qua_duoc_buoc_duyet</t>
        </is>
      </c>
      <c r="I2740" s="16" t="inlineStr">
        <is>
          <t>Đạt</t>
        </is>
      </c>
      <c r="J2740" s="16" t="n">
        <v>0.002</v>
      </c>
    </row>
    <row r="2741">
      <c r="A2741" s="16" t="n">
        <v>2737</v>
      </c>
      <c r="B2741" s="16" t="inlineStr">
        <is>
          <t>Backend</t>
        </is>
      </c>
      <c r="C2741" s="17" t="inlineStr">
        <is>
          <t>payout-service</t>
        </is>
      </c>
      <c r="D2741" s="16" t="inlineStr">
        <is>
          <t>Unit</t>
        </is>
      </c>
      <c r="E2741" s="17" t="inlineStr">
        <is>
          <t>PayoutBatchTest</t>
        </is>
      </c>
      <c r="F2741" s="17" t="inlineStr"/>
      <c r="G2741" s="17" t="inlineStr">
        <is>
          <t>Người tạo lô KHÔNG được tự duyệt</t>
        </is>
      </c>
      <c r="H2741" s="17" t="inlineStr">
        <is>
          <t>khong_duoc_tu_duyet</t>
        </is>
      </c>
      <c r="I2741" s="16" t="inlineStr">
        <is>
          <t>Đạt</t>
        </is>
      </c>
      <c r="J2741" s="16" t="n">
        <v>0.003</v>
      </c>
    </row>
    <row r="2742">
      <c r="A2742" s="16" t="n">
        <v>2738</v>
      </c>
      <c r="B2742" s="16" t="inlineStr">
        <is>
          <t>Backend</t>
        </is>
      </c>
      <c r="C2742" s="17" t="inlineStr">
        <is>
          <t>payout-service</t>
        </is>
      </c>
      <c r="D2742" s="16" t="inlineStr">
        <is>
          <t>Unit</t>
        </is>
      </c>
      <c r="E2742" s="17" t="inlineStr">
        <is>
          <t>PayoutBatchTest</t>
        </is>
      </c>
      <c r="F2742" s="17" t="inlineStr"/>
      <c r="G2742" s="17" t="inlineStr">
        <is>
          <t>Số tiền không dương bị chặn ngay khi tạo</t>
        </is>
      </c>
      <c r="H2742" s="17" t="inlineStr">
        <is>
          <t>so_tien_khong_duong</t>
        </is>
      </c>
      <c r="I2742" s="16" t="inlineStr">
        <is>
          <t>Đạt</t>
        </is>
      </c>
      <c r="J2742" s="16" t="n">
        <v>0.01</v>
      </c>
    </row>
    <row r="2743">
      <c r="A2743" s="16" t="n">
        <v>2739</v>
      </c>
      <c r="B2743" s="16" t="inlineStr">
        <is>
          <t>Backend</t>
        </is>
      </c>
      <c r="C2743" s="17" t="inlineStr">
        <is>
          <t>payout-service</t>
        </is>
      </c>
      <c r="D2743" s="16" t="inlineStr">
        <is>
          <t>Unit</t>
        </is>
      </c>
      <c r="E2743" s="17" t="inlineStr">
        <is>
          <t>PayoutBatchTest</t>
        </is>
      </c>
      <c r="F2743" s="17" t="inlineStr"/>
      <c r="G2743" s="17" t="inlineStr">
        <is>
          <t>Người khác duyệt thì được, và ghi lại ai duyệt</t>
        </is>
      </c>
      <c r="H2743" s="17" t="inlineStr">
        <is>
          <t>nguoi_khac_duyet_duoc</t>
        </is>
      </c>
      <c r="I2743" s="16" t="inlineStr">
        <is>
          <t>Đạt</t>
        </is>
      </c>
      <c r="J2743" s="16" t="n">
        <v>0.003</v>
      </c>
    </row>
    <row r="2744">
      <c r="A2744" s="16" t="n">
        <v>2740</v>
      </c>
      <c r="B2744" s="16" t="inlineStr">
        <is>
          <t>Backend</t>
        </is>
      </c>
      <c r="C2744" s="17" t="inlineStr">
        <is>
          <t>payout-service</t>
        </is>
      </c>
      <c r="D2744" s="16" t="inlineStr">
        <is>
          <t>Unit</t>
        </is>
      </c>
      <c r="E2744" s="17" t="inlineStr">
        <is>
          <t>PayoutGateTest</t>
        </is>
      </c>
      <c r="F2744" s="17" t="inlineStr"/>
      <c r="G2744" s="17" t="inlineStr">
        <is>
          <t>Cổng 2 — chi quá số dư khả dụng</t>
        </is>
      </c>
      <c r="H2744" s="17" t="inlineStr">
        <is>
          <t>qua_so_du</t>
        </is>
      </c>
      <c r="I2744" s="16" t="inlineStr">
        <is>
          <t>Đạt</t>
        </is>
      </c>
      <c r="J2744" s="16" t="n">
        <v>0.007</v>
      </c>
    </row>
    <row r="2745">
      <c r="A2745" s="16" t="n">
        <v>2741</v>
      </c>
      <c r="B2745" s="16" t="inlineStr">
        <is>
          <t>Backend</t>
        </is>
      </c>
      <c r="C2745" s="17" t="inlineStr">
        <is>
          <t>payout-service</t>
        </is>
      </c>
      <c r="D2745" s="16" t="inlineStr">
        <is>
          <t>Unit</t>
        </is>
      </c>
      <c r="E2745" s="17" t="inlineStr">
        <is>
          <t>PayoutGateTest</t>
        </is>
      </c>
      <c r="F2745" s="17" t="inlineStr"/>
      <c r="G2745" s="17" t="inlineStr">
        <is>
          <t>Cổng 4 — tổ chức bị đình chỉ</t>
        </is>
      </c>
      <c r="H2745" s="17" t="inlineStr">
        <is>
          <t>to_chuc_bi_dinh_chi</t>
        </is>
      </c>
      <c r="I2745" s="16" t="inlineStr">
        <is>
          <t>Đạt</t>
        </is>
      </c>
      <c r="J2745" s="16" t="n">
        <v>0.003</v>
      </c>
    </row>
    <row r="2746">
      <c r="A2746" s="16" t="n">
        <v>2742</v>
      </c>
      <c r="B2746" s="16" t="inlineStr">
        <is>
          <t>Backend</t>
        </is>
      </c>
      <c r="C2746" s="17" t="inlineStr">
        <is>
          <t>payout-service</t>
        </is>
      </c>
      <c r="D2746" s="16" t="inlineStr">
        <is>
          <t>Unit</t>
        </is>
      </c>
      <c r="E2746" s="17" t="inlineStr">
        <is>
          <t>PayoutGateTest</t>
        </is>
      </c>
      <c r="F2746" s="17" t="inlineStr"/>
      <c r="G2746" s="17" t="inlineStr">
        <is>
          <t>Nhiều cổng hỏng cùng lúc: liệt kê hết, không dừng ở cổng đầu</t>
        </is>
      </c>
      <c r="H2746" s="17" t="inlineStr">
        <is>
          <t>liet_ke_het_cong_hong</t>
        </is>
      </c>
      <c r="I2746" s="16" t="inlineStr">
        <is>
          <t>Đạt</t>
        </is>
      </c>
      <c r="J2746" s="16" t="n">
        <v>0.005</v>
      </c>
    </row>
    <row r="2747">
      <c r="A2747" s="16" t="n">
        <v>2743</v>
      </c>
      <c r="B2747" s="16" t="inlineStr">
        <is>
          <t>Backend</t>
        </is>
      </c>
      <c r="C2747" s="17" t="inlineStr">
        <is>
          <t>payout-service</t>
        </is>
      </c>
      <c r="D2747" s="16" t="inlineStr">
        <is>
          <t>Unit</t>
        </is>
      </c>
      <c r="E2747" s="17" t="inlineStr">
        <is>
          <t>PayoutGateTest</t>
        </is>
      </c>
      <c r="F2747" s="17" t="inlineStr"/>
      <c r="G2747" s="17" t="inlineStr">
        <is>
          <t>Đủ mọi điều kiện: cho chi trả</t>
        </is>
      </c>
      <c r="H2747" s="17" t="inlineStr">
        <is>
          <t>du_dieu_kien</t>
        </is>
      </c>
      <c r="I2747" s="16" t="inlineStr">
        <is>
          <t>Đạt</t>
        </is>
      </c>
      <c r="J2747" s="16" t="n">
        <v>0.011</v>
      </c>
    </row>
    <row r="2748">
      <c r="A2748" s="16" t="n">
        <v>2744</v>
      </c>
      <c r="B2748" s="16" t="inlineStr">
        <is>
          <t>Backend</t>
        </is>
      </c>
      <c r="C2748" s="17" t="inlineStr">
        <is>
          <t>payout-service</t>
        </is>
      </c>
      <c r="D2748" s="16" t="inlineStr">
        <is>
          <t>Unit</t>
        </is>
      </c>
      <c r="E2748" s="17" t="inlineStr">
        <is>
          <t>PayoutGateTest</t>
        </is>
      </c>
      <c r="F2748" s="17" t="inlineStr"/>
      <c r="G2748" s="17" t="inlineStr">
        <is>
          <t>Cổng 5 — còn khoản phải thu treo</t>
        </is>
      </c>
      <c r="H2748" s="17" t="inlineStr">
        <is>
          <t>con_khoan_phai_thu</t>
        </is>
      </c>
      <c r="I2748" s="16" t="inlineStr">
        <is>
          <t>Đạt</t>
        </is>
      </c>
      <c r="J2748" s="16" t="n">
        <v>0.013</v>
      </c>
    </row>
    <row r="2749">
      <c r="A2749" s="16" t="n">
        <v>2745</v>
      </c>
      <c r="B2749" s="16" t="inlineStr">
        <is>
          <t>Backend</t>
        </is>
      </c>
      <c r="C2749" s="17" t="inlineStr">
        <is>
          <t>payout-service</t>
        </is>
      </c>
      <c r="D2749" s="16" t="inlineStr">
        <is>
          <t>Unit</t>
        </is>
      </c>
      <c r="E2749" s="17" t="inlineStr">
        <is>
          <t>PayoutGateTest</t>
        </is>
      </c>
      <c r="F2749" s="17" t="inlineStr"/>
      <c r="G2749" s="17" t="inlineStr">
        <is>
          <t>Cổng 3 — đối soát hôm trước chưa đóng</t>
        </is>
      </c>
      <c r="H2749" s="17" t="inlineStr">
        <is>
          <t>doi_soat_chua_dong</t>
        </is>
      </c>
      <c r="I2749" s="16" t="inlineStr">
        <is>
          <t>Đạt</t>
        </is>
      </c>
      <c r="J2749" s="16" t="n">
        <v>0.005</v>
      </c>
    </row>
    <row r="2750">
      <c r="A2750" s="16" t="n">
        <v>2746</v>
      </c>
      <c r="B2750" s="16" t="inlineStr">
        <is>
          <t>Backend</t>
        </is>
      </c>
      <c r="C2750" s="17" t="inlineStr">
        <is>
          <t>payout-service</t>
        </is>
      </c>
      <c r="D2750" s="16" t="inlineStr">
        <is>
          <t>Unit</t>
        </is>
      </c>
      <c r="E2750" s="17" t="inlineStr">
        <is>
          <t>PayoutGateTest</t>
        </is>
      </c>
      <c r="F2750" s="17" t="inlineStr"/>
      <c r="G2750" s="17" t="inlineStr">
        <is>
          <t>Cổng 1 — chưa qua hạn giữ tiền</t>
        </is>
      </c>
      <c r="H2750" s="17" t="inlineStr">
        <is>
          <t>chua_qua_han_giu_tien</t>
        </is>
      </c>
      <c r="I2750" s="16" t="inlineStr">
        <is>
          <t>Đạt</t>
        </is>
      </c>
      <c r="J2750" s="16" t="n">
        <v>0.004</v>
      </c>
    </row>
    <row r="2751">
      <c r="A2751" s="16" t="n">
        <v>2747</v>
      </c>
      <c r="B2751" s="16" t="inlineStr">
        <is>
          <t>Backend</t>
        </is>
      </c>
      <c r="C2751" s="17" t="inlineStr">
        <is>
          <t>payout-service</t>
        </is>
      </c>
      <c r="D2751" s="16" t="inlineStr">
        <is>
          <t>Unit</t>
        </is>
      </c>
      <c r="E2751" s="17" t="inlineStr">
        <is>
          <t>PayoutGateTest</t>
        </is>
      </c>
      <c r="F2751" s="17" t="inlineStr"/>
      <c r="G2751" s="17" t="inlineStr">
        <is>
          <t>So khớp tên bỏ qua dấu, hoa thường và khoảng trắng</t>
        </is>
      </c>
      <c r="H2751" s="17" t="inlineStr">
        <is>
          <t>so_khop_ten_bo_qua_dau</t>
        </is>
      </c>
      <c r="I2751" s="16" t="inlineStr">
        <is>
          <t>Đạt</t>
        </is>
      </c>
      <c r="J2751" s="16" t="n">
        <v>0.003</v>
      </c>
    </row>
    <row r="2752">
      <c r="A2752" s="16" t="n">
        <v>2748</v>
      </c>
      <c r="B2752" s="16" t="inlineStr">
        <is>
          <t>Backend</t>
        </is>
      </c>
      <c r="C2752" s="17" t="inlineStr">
        <is>
          <t>payout-service</t>
        </is>
      </c>
      <c r="D2752" s="16" t="inlineStr">
        <is>
          <t>Unit</t>
        </is>
      </c>
      <c r="E2752" s="17" t="inlineStr">
        <is>
          <t>PayoutGateTest</t>
        </is>
      </c>
      <c r="F2752" s="17" t="inlineStr"/>
      <c r="G2752" s="17" t="inlineStr">
        <is>
          <t>Cổng 6 — tên chủ tài khoản không khớp hồ sơ pháp nhân</t>
        </is>
      </c>
      <c r="H2752" s="17" t="inlineStr">
        <is>
          <t>ten_chu_tai_khoan_khong_khop</t>
        </is>
      </c>
      <c r="I2752" s="16" t="inlineStr">
        <is>
          <t>Đạt</t>
        </is>
      </c>
      <c r="J2752" s="16" t="n">
        <v>0.003</v>
      </c>
    </row>
    <row r="2753">
      <c r="A2753" s="16" t="n">
        <v>2749</v>
      </c>
      <c r="B2753" s="16" t="inlineStr">
        <is>
          <t>Backend</t>
        </is>
      </c>
      <c r="C2753" s="17" t="inlineStr">
        <is>
          <t>payout-service</t>
        </is>
      </c>
      <c r="D2753" s="16" t="inlineStr">
        <is>
          <t>Unit</t>
        </is>
      </c>
      <c r="E2753" s="17" t="inlineStr">
        <is>
          <t>PayoutLifecycleTest › BienCongChan</t>
        </is>
      </c>
      <c r="F2753" s="17" t="inlineStr">
        <is>
          <t>Biên của cổng chặn</t>
        </is>
      </c>
      <c r="G2753" s="17" t="inlineStr">
        <is>
          <t>Hai tên KHÁC NHAU không có chữ Latin nào không được coi là khớp</t>
        </is>
      </c>
      <c r="H2753" s="17" t="inlineStr">
        <is>
          <t>ten_khong_latin_khac_nhau</t>
        </is>
      </c>
      <c r="I2753" s="16" t="inlineStr">
        <is>
          <t>Đạt</t>
        </is>
      </c>
      <c r="J2753" s="16" t="n">
        <v>0.003</v>
      </c>
    </row>
    <row r="2754">
      <c r="A2754" s="16" t="n">
        <v>2750</v>
      </c>
      <c r="B2754" s="16" t="inlineStr">
        <is>
          <t>Backend</t>
        </is>
      </c>
      <c r="C2754" s="17" t="inlineStr">
        <is>
          <t>payout-service</t>
        </is>
      </c>
      <c r="D2754" s="16" t="inlineStr">
        <is>
          <t>Unit</t>
        </is>
      </c>
      <c r="E2754" s="17" t="inlineStr">
        <is>
          <t>PayoutLifecycleTest › BienCongChan</t>
        </is>
      </c>
      <c r="F2754" s="17" t="inlineStr">
        <is>
          <t>Biên của cổng chặn</t>
        </is>
      </c>
      <c r="G2754" s="17" t="inlineStr">
        <is>
          <t>Hồ sơ không đọc được tên (rỗng): không được coi là khớp với tên chủ tài khoản</t>
        </is>
      </c>
      <c r="H2754" s="17" t="inlineStr">
        <is>
          <t>ten_ho_so_rong</t>
        </is>
      </c>
      <c r="I2754" s="16" t="inlineStr">
        <is>
          <t>Đạt</t>
        </is>
      </c>
      <c r="J2754" s="16" t="n">
        <v>0.004</v>
      </c>
    </row>
    <row r="2755">
      <c r="A2755" s="16" t="n">
        <v>2751</v>
      </c>
      <c r="B2755" s="16" t="inlineStr">
        <is>
          <t>Backend</t>
        </is>
      </c>
      <c r="C2755" s="17" t="inlineStr">
        <is>
          <t>payout-service</t>
        </is>
      </c>
      <c r="D2755" s="16" t="inlineStr">
        <is>
          <t>Unit</t>
        </is>
      </c>
      <c r="E2755" s="17" t="inlineStr">
        <is>
          <t>PayoutLifecycleTest › BienCongChan</t>
        </is>
      </c>
      <c r="F2755" s="17" t="inlineStr">
        <is>
          <t>Biên của cổng chặn</t>
        </is>
      </c>
      <c r="G2755" s="17" t="inlineStr">
        <is>
          <t>Chữ Đ/đ của tiếng Việt được quy về D khi so tên</t>
        </is>
      </c>
      <c r="H2755" s="17" t="inlineStr">
        <is>
          <t>chu_d_tieng_viet</t>
        </is>
      </c>
      <c r="I2755" s="16" t="inlineStr">
        <is>
          <t>Đạt</t>
        </is>
      </c>
      <c r="J2755" s="16" t="n">
        <v>0.151</v>
      </c>
    </row>
    <row r="2756">
      <c r="A2756" s="16" t="n">
        <v>2752</v>
      </c>
      <c r="B2756" s="16" t="inlineStr">
        <is>
          <t>Backend</t>
        </is>
      </c>
      <c r="C2756" s="17" t="inlineStr">
        <is>
          <t>payout-service</t>
        </is>
      </c>
      <c r="D2756" s="16" t="inlineStr">
        <is>
          <t>Unit</t>
        </is>
      </c>
      <c r="E2756" s="17" t="inlineStr">
        <is>
          <t>PayoutLifecycleTest › BienCongChan</t>
        </is>
      </c>
      <c r="F2756" s="17" t="inlineStr">
        <is>
          <t>Biên của cổng chặn</t>
        </is>
      </c>
      <c r="G2756" s="17" t="inlineStr">
        <is>
          <t>Tên khác nhau chỉ ở dấu câu và hậu tố: vẫn khớp; khác một chữ: chặn</t>
        </is>
      </c>
      <c r="H2756" s="17" t="inlineStr">
        <is>
          <t>dau_cau_va_mot_chu</t>
        </is>
      </c>
      <c r="I2756" s="16" t="inlineStr">
        <is>
          <t>Đạt</t>
        </is>
      </c>
      <c r="J2756" s="16" t="n">
        <v>0.003</v>
      </c>
    </row>
    <row r="2757">
      <c r="A2757" s="16" t="n">
        <v>2753</v>
      </c>
      <c r="B2757" s="16" t="inlineStr">
        <is>
          <t>Backend</t>
        </is>
      </c>
      <c r="C2757" s="17" t="inlineStr">
        <is>
          <t>payout-service</t>
        </is>
      </c>
      <c r="D2757" s="16" t="inlineStr">
        <is>
          <t>Unit</t>
        </is>
      </c>
      <c r="E2757" s="17" t="inlineStr">
        <is>
          <t>PayoutLifecycleTest › BienCongChan</t>
        </is>
      </c>
      <c r="F2757" s="17" t="inlineStr">
        <is>
          <t>Biên của cổng chặn</t>
        </is>
      </c>
      <c r="G2757" s="17" t="inlineStr">
        <is>
          <t>Số dư âm (đã chi vượt trước đó): mọi khoản chi đều bị chặn</t>
        </is>
      </c>
      <c r="H2757" s="17" t="inlineStr">
        <is>
          <t>so_du_am</t>
        </is>
      </c>
      <c r="I2757" s="16" t="inlineStr">
        <is>
          <t>Đạt</t>
        </is>
      </c>
      <c r="J2757" s="16" t="n">
        <v>0.001</v>
      </c>
    </row>
    <row r="2758">
      <c r="A2758" s="16" t="n">
        <v>2754</v>
      </c>
      <c r="B2758" s="16" t="inlineStr">
        <is>
          <t>Backend</t>
        </is>
      </c>
      <c r="C2758" s="17" t="inlineStr">
        <is>
          <t>payout-service</t>
        </is>
      </c>
      <c r="D2758" s="16" t="inlineStr">
        <is>
          <t>Unit</t>
        </is>
      </c>
      <c r="E2758" s="17" t="inlineStr">
        <is>
          <t>PayoutLifecycleTest › BienCongChan</t>
        </is>
      </c>
      <c r="F2758" s="17" t="inlineStr">
        <is>
          <t>Biên của cổng chặn</t>
        </is>
      </c>
      <c r="G2758" s="17" t="inlineStr">
        <is>
          <t>Chi đúng bằng số dư: cho; hơn một đồng: chặn</t>
        </is>
      </c>
      <c r="H2758" s="17" t="inlineStr">
        <is>
          <t>dung_bang_so_du</t>
        </is>
      </c>
      <c r="I2758" s="16" t="inlineStr">
        <is>
          <t>Đạt</t>
        </is>
      </c>
      <c r="J2758" s="16" t="n">
        <v>0.003</v>
      </c>
    </row>
    <row r="2759">
      <c r="A2759" s="16" t="n">
        <v>2755</v>
      </c>
      <c r="B2759" s="16" t="inlineStr">
        <is>
          <t>Backend</t>
        </is>
      </c>
      <c r="C2759" s="17" t="inlineStr">
        <is>
          <t>payout-service</t>
        </is>
      </c>
      <c r="D2759" s="16" t="inlineStr">
        <is>
          <t>Unit</t>
        </is>
      </c>
      <c r="E2759" s="17" t="inlineStr">
        <is>
          <t>PayoutLifecycleTest › TaoLo</t>
        </is>
      </c>
      <c r="F2759" s="17" t="inlineStr">
        <is>
          <t>Tạo lô</t>
        </is>
      </c>
      <c r="G2759" s="17" t="inlineStr">
        <is>
          <t>Lô mới: chờ duyệt, chưa có người duyệt, giữ nguyên số tiền và người tạo</t>
        </is>
      </c>
      <c r="H2759" s="17" t="inlineStr">
        <is>
          <t>lo_moi</t>
        </is>
      </c>
      <c r="I2759" s="16" t="inlineStr">
        <is>
          <t>Đạt</t>
        </is>
      </c>
      <c r="J2759" s="16" t="n">
        <v>0.002</v>
      </c>
    </row>
    <row r="2760">
      <c r="A2760" s="16" t="n">
        <v>2756</v>
      </c>
      <c r="B2760" s="16" t="inlineStr">
        <is>
          <t>Backend</t>
        </is>
      </c>
      <c r="C2760" s="17" t="inlineStr">
        <is>
          <t>payout-service</t>
        </is>
      </c>
      <c r="D2760" s="16" t="inlineStr">
        <is>
          <t>Unit</t>
        </is>
      </c>
      <c r="E2760" s="17" t="inlineStr">
        <is>
          <t>PayoutLifecycleTest › TaoLo</t>
        </is>
      </c>
      <c r="F2760" s="17" t="inlineStr">
        <is>
          <t>Tạo lô</t>
        </is>
      </c>
      <c r="G2760" s="17" t="inlineStr">
        <is>
          <t>Dựng lại từ database giữ cả người duyệt LẪN thời điểm duyệt</t>
        </is>
      </c>
      <c r="H2760" s="17" t="inlineStr">
        <is>
          <t>dung_lai_giu_moc_duyet</t>
        </is>
      </c>
      <c r="I2760" s="16" t="inlineStr">
        <is>
          <t>Đạt</t>
        </is>
      </c>
      <c r="J2760" s="16" t="n">
        <v>0.002</v>
      </c>
    </row>
    <row r="2761">
      <c r="A2761" s="16" t="n">
        <v>2757</v>
      </c>
      <c r="B2761" s="16" t="inlineStr">
        <is>
          <t>Backend</t>
        </is>
      </c>
      <c r="C2761" s="17" t="inlineStr">
        <is>
          <t>payout-service</t>
        </is>
      </c>
      <c r="D2761" s="16" t="inlineStr">
        <is>
          <t>Unit</t>
        </is>
      </c>
      <c r="E2761" s="17" t="inlineStr">
        <is>
          <t>PayoutLifecycleTest › TaoLo</t>
        </is>
      </c>
      <c r="F2761" s="17" t="inlineStr">
        <is>
          <t>Tạo lô</t>
        </is>
      </c>
      <c r="G2761" s="17" t="inlineStr">
        <is>
          <t>Số tiền âm bị chặn ngay khi tạo</t>
        </is>
      </c>
      <c r="H2761" s="17" t="inlineStr">
        <is>
          <t>so_tien_am</t>
        </is>
      </c>
      <c r="I2761" s="16" t="inlineStr">
        <is>
          <t>Đạt</t>
        </is>
      </c>
      <c r="J2761" s="16" t="n">
        <v>0.003</v>
      </c>
    </row>
    <row r="2762">
      <c r="A2762" s="16" t="n">
        <v>2758</v>
      </c>
      <c r="B2762" s="16" t="inlineStr">
        <is>
          <t>Backend</t>
        </is>
      </c>
      <c r="C2762" s="17" t="inlineStr">
        <is>
          <t>payout-service</t>
        </is>
      </c>
      <c r="D2762" s="16" t="inlineStr">
        <is>
          <t>Unit</t>
        </is>
      </c>
      <c r="E2762" s="17" t="inlineStr">
        <is>
          <t>PayoutLifecycleTest › TuChoi</t>
        </is>
      </c>
      <c r="F2762" s="17" t="inlineStr">
        <is>
          <t>Từ chối</t>
        </is>
      </c>
      <c r="G2762" s="17" t="inlineStr">
        <is>
          <t>Lô đã từ chối không duyệt được, không xác nhận chuyển được</t>
        </is>
      </c>
      <c r="H2762" s="17" t="inlineStr">
        <is>
          <t>da_tu_choi_la_ket_thuc</t>
        </is>
      </c>
      <c r="I2762" s="16" t="inlineStr">
        <is>
          <t>Đạt</t>
        </is>
      </c>
      <c r="J2762" s="16" t="n">
        <v>0.004</v>
      </c>
    </row>
    <row r="2763">
      <c r="A2763" s="16" t="n">
        <v>2759</v>
      </c>
      <c r="B2763" s="16" t="inlineStr">
        <is>
          <t>Backend</t>
        </is>
      </c>
      <c r="C2763" s="17" t="inlineStr">
        <is>
          <t>payout-service</t>
        </is>
      </c>
      <c r="D2763" s="16" t="inlineStr">
        <is>
          <t>Unit</t>
        </is>
      </c>
      <c r="E2763" s="17" t="inlineStr">
        <is>
          <t>PayoutLifecycleTest › TuChoi</t>
        </is>
      </c>
      <c r="F2763" s="17" t="inlineStr">
        <is>
          <t>Từ chối</t>
        </is>
      </c>
      <c r="G2763" s="17" t="inlineStr">
        <is>
          <t>Lô đã duyệt không từ chối được nữa</t>
        </is>
      </c>
      <c r="H2763" s="17" t="inlineStr">
        <is>
          <t>da_duyet_khong_tu_choi</t>
        </is>
      </c>
      <c r="I2763" s="16" t="inlineStr">
        <is>
          <t>Đạt</t>
        </is>
      </c>
      <c r="J2763" s="16" t="n">
        <v>0.006</v>
      </c>
    </row>
    <row r="2764">
      <c r="A2764" s="16" t="n">
        <v>2760</v>
      </c>
      <c r="B2764" s="16" t="inlineStr">
        <is>
          <t>Backend</t>
        </is>
      </c>
      <c r="C2764" s="17" t="inlineStr">
        <is>
          <t>payout-service</t>
        </is>
      </c>
      <c r="D2764" s="16" t="inlineStr">
        <is>
          <t>Unit</t>
        </is>
      </c>
      <c r="E2764" s="17" t="inlineStr">
        <is>
          <t>PayoutLifecycleTest › TuChoi</t>
        </is>
      </c>
      <c r="F2764" s="17" t="inlineStr">
        <is>
          <t>Từ chối</t>
        </is>
      </c>
      <c r="G2764" s="17" t="inlineStr">
        <is>
          <t>Lô chờ duyệt bị từ chối: REJECTED, giữ lý do</t>
        </is>
      </c>
      <c r="H2764" s="17" t="inlineStr">
        <is>
          <t>tu_choi_lo_cho_duyet</t>
        </is>
      </c>
      <c r="I2764" s="16" t="inlineStr">
        <is>
          <t>Đạt</t>
        </is>
      </c>
      <c r="J2764" s="16" t="n">
        <v>0.002</v>
      </c>
    </row>
    <row r="2765">
      <c r="A2765" s="16" t="n">
        <v>2761</v>
      </c>
      <c r="B2765" s="16" t="inlineStr">
        <is>
          <t>Backend</t>
        </is>
      </c>
      <c r="C2765" s="17" t="inlineStr">
        <is>
          <t>payout-service</t>
        </is>
      </c>
      <c r="D2765" s="16" t="inlineStr">
        <is>
          <t>Unit</t>
        </is>
      </c>
      <c r="E2765" s="17" t="inlineStr">
        <is>
          <t>PayoutLifecycleTest › XacNhan</t>
        </is>
      </c>
      <c r="F2765" s="17" t="inlineStr">
        <is>
          <t>Xác nhận đã chuyển</t>
        </is>
      </c>
      <c r="G2765" s="17" t="inlineStr">
        <is>
          <t>Người tự duyệt bị chặn TRƯỚC khi đổi trạng thái — lô vẫn duyệt được bởi người khác</t>
        </is>
      </c>
      <c r="H2765" s="17" t="inlineStr">
        <is>
          <t>tu_duyet_khong_lam_hong_lo</t>
        </is>
      </c>
      <c r="I2765" s="16" t="inlineStr">
        <is>
          <t>Đạt</t>
        </is>
      </c>
      <c r="J2765" s="16" t="n">
        <v>0.003</v>
      </c>
    </row>
    <row r="2766">
      <c r="A2766" s="16" t="n">
        <v>2762</v>
      </c>
      <c r="B2766" s="16" t="inlineStr">
        <is>
          <t>Backend</t>
        </is>
      </c>
      <c r="C2766" s="17" t="inlineStr">
        <is>
          <t>payout-service</t>
        </is>
      </c>
      <c r="D2766" s="16" t="inlineStr">
        <is>
          <t>Unit</t>
        </is>
      </c>
      <c r="E2766" s="17" t="inlineStr">
        <is>
          <t>PayoutLifecycleTest › XacNhan</t>
        </is>
      </c>
      <c r="F2766" s="17" t="inlineStr">
        <is>
          <t>Xác nhận đã chuyển</t>
        </is>
      </c>
      <c r="G2766" s="17" t="inlineStr">
        <is>
          <t>Xác nhận hai lần không được — mã giao dịch đầu tiên không bị ghi đè</t>
        </is>
      </c>
      <c r="H2766" s="17" t="inlineStr">
        <is>
          <t>xac_nhan_hai_lan</t>
        </is>
      </c>
      <c r="I2766" s="16" t="inlineStr">
        <is>
          <t>Đạt</t>
        </is>
      </c>
      <c r="J2766" s="16" t="n">
        <v>0.002</v>
      </c>
    </row>
    <row r="2767">
      <c r="A2767" s="16" t="n">
        <v>2763</v>
      </c>
      <c r="B2767" s="16" t="inlineStr">
        <is>
          <t>Backend</t>
        </is>
      </c>
      <c r="C2767" s="17" t="inlineStr">
        <is>
          <t>payout-service</t>
        </is>
      </c>
      <c r="D2767" s="16" t="inlineStr">
        <is>
          <t>Unit</t>
        </is>
      </c>
      <c r="E2767" s="17" t="inlineStr">
        <is>
          <t>PayoutLifecycleTest › XacNhan</t>
        </is>
      </c>
      <c r="F2767" s="17" t="inlineStr">
        <is>
          <t>Xác nhận đã chuyển</t>
        </is>
      </c>
      <c r="G2767" s="17" t="inlineStr">
        <is>
          <t>Lô đã duyệt: COMPLETED, ghi mã giao dịch và thời điểm</t>
        </is>
      </c>
      <c r="H2767" s="17" t="inlineStr">
        <is>
          <t>xac_nhan</t>
        </is>
      </c>
      <c r="I2767" s="16" t="inlineStr">
        <is>
          <t>Đạt</t>
        </is>
      </c>
      <c r="J2767" s="16" t="n">
        <v>0.002</v>
      </c>
    </row>
    <row r="2768">
      <c r="A2768" s="16" t="n">
        <v>2764</v>
      </c>
      <c r="B2768" s="16" t="inlineStr">
        <is>
          <t>Backend</t>
        </is>
      </c>
      <c r="C2768" s="17" t="inlineStr">
        <is>
          <t>payout-service</t>
        </is>
      </c>
      <c r="D2768" s="16" t="inlineStr">
        <is>
          <t>Unit</t>
        </is>
      </c>
      <c r="E2768" s="17" t="inlineStr">
        <is>
          <t>PayoutHttpAdaptersTest › HoSo</t>
        </is>
      </c>
      <c r="F2768" s="17" t="inlineStr">
        <is>
          <t>Hồ sơ tổ chức</t>
        </is>
      </c>
      <c r="G2768" s="17" t="inlineStr">
        <is>
          <t>Trạng thái viết thường: không coi là ACTIVE — so khớp chính xác</t>
        </is>
      </c>
      <c r="H2768" s="17" t="inlineStr">
        <is>
          <t>trang_thai_viet_thuong</t>
        </is>
      </c>
      <c r="I2768" s="16" t="inlineStr">
        <is>
          <t>Đạt</t>
        </is>
      </c>
      <c r="J2768" s="16" t="n">
        <v>2.481</v>
      </c>
    </row>
    <row r="2769">
      <c r="A2769" s="16" t="n">
        <v>2765</v>
      </c>
      <c r="B2769" s="16" t="inlineStr">
        <is>
          <t>Backend</t>
        </is>
      </c>
      <c r="C2769" s="17" t="inlineStr">
        <is>
          <t>payout-service</t>
        </is>
      </c>
      <c r="D2769" s="16" t="inlineStr">
        <is>
          <t>Unit</t>
        </is>
      </c>
      <c r="E2769" s="17" t="inlineStr">
        <is>
          <t>PayoutHttpAdaptersTest › HoSo</t>
        </is>
      </c>
      <c r="F2769" s="17" t="inlineStr">
        <is>
          <t>Hồ sơ tổ chức</t>
        </is>
      </c>
      <c r="G2769" s="17" t="inlineStr">
        <is>
          <t>ACTIVE: hoạt động, giữ tên pháp nhân</t>
        </is>
      </c>
      <c r="H2769" s="17" t="inlineStr">
        <is>
          <t>hoat_dong</t>
        </is>
      </c>
      <c r="I2769" s="16" t="inlineStr">
        <is>
          <t>Đạt</t>
        </is>
      </c>
      <c r="J2769" s="16" t="n">
        <v>0.049</v>
      </c>
    </row>
    <row r="2770">
      <c r="A2770" s="16" t="n">
        <v>2766</v>
      </c>
      <c r="B2770" s="16" t="inlineStr">
        <is>
          <t>Backend</t>
        </is>
      </c>
      <c r="C2770" s="17" t="inlineStr">
        <is>
          <t>payout-service</t>
        </is>
      </c>
      <c r="D2770" s="16" t="inlineStr">
        <is>
          <t>Unit</t>
        </is>
      </c>
      <c r="E2770" s="17" t="inlineStr">
        <is>
          <t>PayoutHttpAdaptersTest › HoSo</t>
        </is>
      </c>
      <c r="F2770" s="17" t="inlineStr">
        <is>
          <t>Hồ sơ tổ chức</t>
        </is>
      </c>
      <c r="G2770" s="17" t="inlineStr">
        <is>
          <t>Thân rỗng: mặc định an toàn</t>
        </is>
      </c>
      <c r="H2770" s="17" t="inlineStr">
        <is>
          <t>than_rong</t>
        </is>
      </c>
      <c r="I2770" s="16" t="inlineStr">
        <is>
          <t>Đạt</t>
        </is>
      </c>
      <c r="J2770" s="16" t="n">
        <v>0.007</v>
      </c>
    </row>
    <row r="2771">
      <c r="A2771" s="16" t="n">
        <v>2767</v>
      </c>
      <c r="B2771" s="16" t="inlineStr">
        <is>
          <t>Backend</t>
        </is>
      </c>
      <c r="C2771" s="17" t="inlineStr">
        <is>
          <t>payout-service</t>
        </is>
      </c>
      <c r="D2771" s="16" t="inlineStr">
        <is>
          <t>Unit</t>
        </is>
      </c>
      <c r="E2771" s="17" t="inlineStr">
        <is>
          <t>PayoutHttpAdaptersTest › HoSo</t>
        </is>
      </c>
      <c r="F2771" s="17" t="inlineStr">
        <is>
          <t>Hồ sơ tổ chức</t>
        </is>
      </c>
      <c r="G2771" s="17" t="inlineStr">
        <is>
          <t>SUSPENDED: không hoạt động</t>
        </is>
      </c>
      <c r="H2771" s="17" t="inlineStr">
        <is>
          <t>bi_dinh_chi</t>
        </is>
      </c>
      <c r="I2771" s="16" t="inlineStr">
        <is>
          <t>Đạt</t>
        </is>
      </c>
      <c r="J2771" s="16" t="n">
        <v>0.023</v>
      </c>
    </row>
    <row r="2772">
      <c r="A2772" s="16" t="n">
        <v>2768</v>
      </c>
      <c r="B2772" s="16" t="inlineStr">
        <is>
          <t>Backend</t>
        </is>
      </c>
      <c r="C2772" s="17" t="inlineStr">
        <is>
          <t>payout-service</t>
        </is>
      </c>
      <c r="D2772" s="16" t="inlineStr">
        <is>
          <t>Unit</t>
        </is>
      </c>
      <c r="E2772" s="17" t="inlineStr">
        <is>
          <t>PayoutHttpAdaptersTest › HoSo</t>
        </is>
      </c>
      <c r="F2772" s="17" t="inlineStr">
        <is>
          <t>Hồ sơ tổ chức</t>
        </is>
      </c>
      <c r="G2772" s="17" t="inlineStr">
        <is>
          <t>Identity lỗi 500: mặc định an toàn — không hoạt động, tên rỗng</t>
        </is>
      </c>
      <c r="H2772" s="17" t="inlineStr">
        <is>
          <t>loi_may_chu</t>
        </is>
      </c>
      <c r="I2772" s="16" t="inlineStr">
        <is>
          <t>Đạt</t>
        </is>
      </c>
      <c r="J2772" s="16" t="n">
        <v>0.033</v>
      </c>
    </row>
    <row r="2773">
      <c r="A2773" s="16" t="n">
        <v>2769</v>
      </c>
      <c r="B2773" s="16" t="inlineStr">
        <is>
          <t>Backend</t>
        </is>
      </c>
      <c r="C2773" s="17" t="inlineStr">
        <is>
          <t>payout-service</t>
        </is>
      </c>
      <c r="D2773" s="16" t="inlineStr">
        <is>
          <t>Unit</t>
        </is>
      </c>
      <c r="E2773" s="17" t="inlineStr">
        <is>
          <t>PayoutHttpAdaptersTest › SoCai</t>
        </is>
      </c>
      <c r="F2773" s="17" t="inlineStr">
        <is>
          <t>Sổ cái</t>
        </is>
      </c>
      <c r="G2773" s="17" t="inlineStr">
        <is>
          <t>200: đọc đủ ba số dư từ đúng đường dẫn nội bộ</t>
        </is>
      </c>
      <c r="H2773" s="17" t="inlineStr">
        <is>
          <t>doc_so_du</t>
        </is>
      </c>
      <c r="I2773" s="16" t="inlineStr">
        <is>
          <t>Đạt</t>
        </is>
      </c>
      <c r="J2773" s="16" t="n">
        <v>0.079</v>
      </c>
    </row>
    <row r="2774">
      <c r="A2774" s="16" t="n">
        <v>2770</v>
      </c>
      <c r="B2774" s="16" t="inlineStr">
        <is>
          <t>Backend</t>
        </is>
      </c>
      <c r="C2774" s="17" t="inlineStr">
        <is>
          <t>payout-service</t>
        </is>
      </c>
      <c r="D2774" s="16" t="inlineStr">
        <is>
          <t>Unit</t>
        </is>
      </c>
      <c r="E2774" s="17" t="inlineStr">
        <is>
          <t>PayoutHttpAdaptersTest › SoCai</t>
        </is>
      </c>
      <c r="F2774" s="17" t="inlineStr">
        <is>
          <t>Sổ cái</t>
        </is>
      </c>
      <c r="G2774" s="17" t="inlineStr">
        <is>
          <t>200 thân rỗng: ném, không đoán số dư</t>
        </is>
      </c>
      <c r="H2774" s="17" t="inlineStr">
        <is>
          <t>than_rong</t>
        </is>
      </c>
      <c r="I2774" s="16" t="inlineStr">
        <is>
          <t>Đạt</t>
        </is>
      </c>
      <c r="J2774" s="16" t="n">
        <v>0.008999999999999999</v>
      </c>
    </row>
    <row r="2775">
      <c r="A2775" s="16" t="n">
        <v>2771</v>
      </c>
      <c r="B2775" s="16" t="inlineStr">
        <is>
          <t>Backend</t>
        </is>
      </c>
      <c r="C2775" s="17" t="inlineStr">
        <is>
          <t>payout-service</t>
        </is>
      </c>
      <c r="D2775" s="16" t="inlineStr">
        <is>
          <t>Unit</t>
        </is>
      </c>
      <c r="E2775" s="17" t="inlineStr">
        <is>
          <t>PayoutHttpAdaptersTest › SoCai</t>
        </is>
      </c>
      <c r="F2775" s="17" t="inlineStr">
        <is>
          <t>Sổ cái</t>
        </is>
      </c>
      <c r="G2775" s="17" t="inlineStr">
        <is>
          <t>500: ném LedgerUnavailableException, KHÔNG trả số dư 0</t>
        </is>
      </c>
      <c r="H2775" s="17" t="inlineStr">
        <is>
          <t>loi_may_chu</t>
        </is>
      </c>
      <c r="I2775" s="16" t="inlineStr">
        <is>
          <t>Đạt</t>
        </is>
      </c>
      <c r="J2775" s="16" t="n">
        <v>0.012</v>
      </c>
    </row>
    <row r="2776">
      <c r="A2776" s="16" t="n">
        <v>2772</v>
      </c>
      <c r="B2776" s="16" t="inlineStr">
        <is>
          <t>Backend</t>
        </is>
      </c>
      <c r="C2776" s="17" t="inlineStr">
        <is>
          <t>payout-service</t>
        </is>
      </c>
      <c r="D2776" s="16" t="inlineStr">
        <is>
          <t>Unit</t>
        </is>
      </c>
      <c r="E2776" s="17" t="inlineStr">
        <is>
          <t>PayoutHttpAdaptersTest › SoCai</t>
        </is>
      </c>
      <c r="F2776" s="17" t="inlineStr">
        <is>
          <t>Sổ cái</t>
        </is>
      </c>
      <c r="G2776" s="17" t="inlineStr">
        <is>
          <t>404: cũng là không đọc được sổ cái, không phải số dư 0</t>
        </is>
      </c>
      <c r="H2776" s="17" t="inlineStr">
        <is>
          <t>khong_tim_thay</t>
        </is>
      </c>
      <c r="I2776" s="16" t="inlineStr">
        <is>
          <t>Đạt</t>
        </is>
      </c>
      <c r="J2776" s="16" t="n">
        <v>0.022</v>
      </c>
    </row>
    <row r="2777">
      <c r="A2777" s="16" t="n">
        <v>2773</v>
      </c>
      <c r="B2777" s="16" t="inlineStr">
        <is>
          <t>Backend</t>
        </is>
      </c>
      <c r="C2777" s="17" t="inlineStr">
        <is>
          <t>payout-service</t>
        </is>
      </c>
      <c r="D2777" s="16" t="inlineStr">
        <is>
          <t>API slice</t>
        </is>
      </c>
      <c r="E2777" s="17" t="inlineStr">
        <is>
          <t>PlatformPayoutControllerWebTest › BonMat</t>
        </is>
      </c>
      <c r="F2777" s="17" t="inlineStr">
        <is>
          <t>Bốn mắt</t>
        </is>
      </c>
      <c r="G2777" s="17" t="inlineStr">
        <is>
          <t>Từ chối thiếu lý do hoặc lý do trắng: 400</t>
        </is>
      </c>
      <c r="H2777" s="17" t="inlineStr">
        <is>
          <t>tu_choi_thieu_ly_do</t>
        </is>
      </c>
      <c r="I2777" s="16" t="inlineStr">
        <is>
          <t>Đạt</t>
        </is>
      </c>
      <c r="J2777" s="16" t="n">
        <v>0.667</v>
      </c>
    </row>
    <row r="2778">
      <c r="A2778" s="16" t="n">
        <v>2774</v>
      </c>
      <c r="B2778" s="16" t="inlineStr">
        <is>
          <t>Backend</t>
        </is>
      </c>
      <c r="C2778" s="17" t="inlineStr">
        <is>
          <t>payout-service</t>
        </is>
      </c>
      <c r="D2778" s="16" t="inlineStr">
        <is>
          <t>API slice</t>
        </is>
      </c>
      <c r="E2778" s="17" t="inlineStr">
        <is>
          <t>PlatformPayoutControllerWebTest › BonMat</t>
        </is>
      </c>
      <c r="F2778" s="17" t="inlineStr">
        <is>
          <t>Bốn mắt</t>
        </is>
      </c>
      <c r="G2778" s="17" t="inlineStr">
        <is>
          <t>Xác nhận chuyển khoản cho lô đã duyệt: 204</t>
        </is>
      </c>
      <c r="H2778" s="17" t="inlineStr">
        <is>
          <t>xac_nhan_lo_da_duyet</t>
        </is>
      </c>
      <c r="I2778" s="16" t="inlineStr">
        <is>
          <t>Đạt</t>
        </is>
      </c>
      <c r="J2778" s="16" t="n">
        <v>0.032</v>
      </c>
    </row>
    <row r="2779">
      <c r="A2779" s="16" t="n">
        <v>2775</v>
      </c>
      <c r="B2779" s="16" t="inlineStr">
        <is>
          <t>Backend</t>
        </is>
      </c>
      <c r="C2779" s="17" t="inlineStr">
        <is>
          <t>payout-service</t>
        </is>
      </c>
      <c r="D2779" s="16" t="inlineStr">
        <is>
          <t>API slice</t>
        </is>
      </c>
      <c r="E2779" s="17" t="inlineStr">
        <is>
          <t>PlatformPayoutControllerWebTest › BonMat</t>
        </is>
      </c>
      <c r="F2779" s="17" t="inlineStr">
        <is>
          <t>Bốn mắt</t>
        </is>
      </c>
      <c r="G2779" s="17" t="inlineStr">
        <is>
          <t>Người tạo tự duyệt: 403 SELF_APPROVAL_FORBIDDEN, không ghi gì</t>
        </is>
      </c>
      <c r="H2779" s="17" t="inlineStr">
        <is>
          <t>tu_duyet</t>
        </is>
      </c>
      <c r="I2779" s="16" t="inlineStr">
        <is>
          <t>Đạt</t>
        </is>
      </c>
      <c r="J2779" s="16" t="n">
        <v>0.029</v>
      </c>
    </row>
    <row r="2780">
      <c r="A2780" s="16" t="n">
        <v>2776</v>
      </c>
      <c r="B2780" s="16" t="inlineStr">
        <is>
          <t>Backend</t>
        </is>
      </c>
      <c r="C2780" s="17" t="inlineStr">
        <is>
          <t>payout-service</t>
        </is>
      </c>
      <c r="D2780" s="16" t="inlineStr">
        <is>
          <t>API slice</t>
        </is>
      </c>
      <c r="E2780" s="17" t="inlineStr">
        <is>
          <t>PlatformPayoutControllerWebTest › BonMat</t>
        </is>
      </c>
      <c r="F2780" s="17" t="inlineStr">
        <is>
          <t>Bốn mắt</t>
        </is>
      </c>
      <c r="G2780" s="17" t="inlineStr">
        <is>
          <t>Superadmin khác duyệt: 204, người duyệt lấy từ token</t>
        </is>
      </c>
      <c r="H2780" s="17" t="inlineStr">
        <is>
          <t>nguoi_khac_duyet</t>
        </is>
      </c>
      <c r="I2780" s="16" t="inlineStr">
        <is>
          <t>Đạt</t>
        </is>
      </c>
      <c r="J2780" s="16" t="n">
        <v>0.017</v>
      </c>
    </row>
    <row r="2781">
      <c r="A2781" s="16" t="n">
        <v>2777</v>
      </c>
      <c r="B2781" s="16" t="inlineStr">
        <is>
          <t>Backend</t>
        </is>
      </c>
      <c r="C2781" s="17" t="inlineStr">
        <is>
          <t>payout-service</t>
        </is>
      </c>
      <c r="D2781" s="16" t="inlineStr">
        <is>
          <t>API slice</t>
        </is>
      </c>
      <c r="E2781" s="17" t="inlineStr">
        <is>
          <t>PlatformPayoutControllerWebTest › BonMat</t>
        </is>
      </c>
      <c r="F2781" s="17" t="inlineStr">
        <is>
          <t>Bốn mắt</t>
        </is>
      </c>
      <c r="G2781" s="17" t="inlineStr">
        <is>
          <t>Xác nhận chuyển khoản cho lô chưa duyệt: 409</t>
        </is>
      </c>
      <c r="H2781" s="17" t="inlineStr">
        <is>
          <t>xac_nhan_lo_chua_duyet</t>
        </is>
      </c>
      <c r="I2781" s="16" t="inlineStr">
        <is>
          <t>Đạt</t>
        </is>
      </c>
      <c r="J2781" s="16" t="n">
        <v>0.027</v>
      </c>
    </row>
    <row r="2782">
      <c r="A2782" s="16" t="n">
        <v>2778</v>
      </c>
      <c r="B2782" s="16" t="inlineStr">
        <is>
          <t>Backend</t>
        </is>
      </c>
      <c r="C2782" s="17" t="inlineStr">
        <is>
          <t>payout-service</t>
        </is>
      </c>
      <c r="D2782" s="16" t="inlineStr">
        <is>
          <t>API slice</t>
        </is>
      </c>
      <c r="E2782" s="17" t="inlineStr">
        <is>
          <t>PlatformPayoutControllerWebTest › BonMat</t>
        </is>
      </c>
      <c r="F2782" s="17" t="inlineStr">
        <is>
          <t>Bốn mắt</t>
        </is>
      </c>
      <c r="G2782" s="17" t="inlineStr">
        <is>
          <t>Xác nhận chuyển khoản thiếu mã giao dịch: 400</t>
        </is>
      </c>
      <c r="H2782" s="17" t="inlineStr">
        <is>
          <t>xac_nhan_thieu_ma</t>
        </is>
      </c>
      <c r="I2782" s="16" t="inlineStr">
        <is>
          <t>Đạt</t>
        </is>
      </c>
      <c r="J2782" s="16" t="n">
        <v>0.024</v>
      </c>
    </row>
    <row r="2783">
      <c r="A2783" s="16" t="n">
        <v>2779</v>
      </c>
      <c r="B2783" s="16" t="inlineStr">
        <is>
          <t>Backend</t>
        </is>
      </c>
      <c r="C2783" s="17" t="inlineStr">
        <is>
          <t>payout-service</t>
        </is>
      </c>
      <c r="D2783" s="16" t="inlineStr">
        <is>
          <t>API slice</t>
        </is>
      </c>
      <c r="E2783" s="17" t="inlineStr">
        <is>
          <t>PlatformPayoutControllerWebTest › BonMat</t>
        </is>
      </c>
      <c r="F2783" s="17" t="inlineStr">
        <is>
          <t>Bốn mắt</t>
        </is>
      </c>
      <c r="G2783" s="17" t="inlineStr">
        <is>
          <t>Duyệt lần hai: 409 BATCH_NOT_IN_EXPECTED_STATE</t>
        </is>
      </c>
      <c r="H2783" s="17" t="inlineStr">
        <is>
          <t>duyet_lan_hai</t>
        </is>
      </c>
      <c r="I2783" s="16" t="inlineStr">
        <is>
          <t>Đạt</t>
        </is>
      </c>
      <c r="J2783" s="16" t="n">
        <v>0.024</v>
      </c>
    </row>
    <row r="2784">
      <c r="A2784" s="16" t="n">
        <v>2780</v>
      </c>
      <c r="B2784" s="16" t="inlineStr">
        <is>
          <t>Backend</t>
        </is>
      </c>
      <c r="C2784" s="17" t="inlineStr">
        <is>
          <t>payout-service</t>
        </is>
      </c>
      <c r="D2784" s="16" t="inlineStr">
        <is>
          <t>API slice</t>
        </is>
      </c>
      <c r="E2784" s="17" t="inlineStr">
        <is>
          <t>PlatformPayoutControllerWebTest › BonMat</t>
        </is>
      </c>
      <c r="F2784" s="17" t="inlineStr">
        <is>
          <t>Bốn mắt</t>
        </is>
      </c>
      <c r="G2784" s="17" t="inlineStr">
        <is>
          <t>Lô không tồn tại: 404 BATCH_NOT_FOUND</t>
        </is>
      </c>
      <c r="H2784" s="17" t="inlineStr">
        <is>
          <t>lo_khong_ton_tai</t>
        </is>
      </c>
      <c r="I2784" s="16" t="inlineStr">
        <is>
          <t>Đạt</t>
        </is>
      </c>
      <c r="J2784" s="16" t="n">
        <v>0.017</v>
      </c>
    </row>
    <row r="2785">
      <c r="A2785" s="16" t="n">
        <v>2781</v>
      </c>
      <c r="B2785" s="16" t="inlineStr">
        <is>
          <t>Backend</t>
        </is>
      </c>
      <c r="C2785" s="17" t="inlineStr">
        <is>
          <t>payout-service</t>
        </is>
      </c>
      <c r="D2785" s="16" t="inlineStr">
        <is>
          <t>API slice</t>
        </is>
      </c>
      <c r="E2785" s="17" t="inlineStr">
        <is>
          <t>PlatformPayoutControllerWebTest › ChiSuperAdmin</t>
        </is>
      </c>
      <c r="F2785" s="17" t="inlineStr">
        <is>
          <t>Chỉ superadmin</t>
        </is>
      </c>
      <c r="G2785" s="17" t="inlineStr">
        <is>
          <t>Identity không trả lời: 401 UNAUTHENTICATED, không phải 403</t>
        </is>
      </c>
      <c r="H2785" s="17" t="inlineStr">
        <is>
          <t>identity_khong_tra_loi</t>
        </is>
      </c>
      <c r="I2785" s="16" t="inlineStr">
        <is>
          <t>Đạt</t>
        </is>
      </c>
      <c r="J2785" s="16" t="n">
        <v>0.039</v>
      </c>
    </row>
    <row r="2786">
      <c r="A2786" s="16" t="n">
        <v>2782</v>
      </c>
      <c r="B2786" s="16" t="inlineStr">
        <is>
          <t>Backend</t>
        </is>
      </c>
      <c r="C2786" s="17" t="inlineStr">
        <is>
          <t>payout-service</t>
        </is>
      </c>
      <c r="D2786" s="16" t="inlineStr">
        <is>
          <t>API slice</t>
        </is>
      </c>
      <c r="E2786" s="17" t="inlineStr">
        <is>
          <t>PlatformPayoutControllerWebTest › ChiSuperAdmin</t>
        </is>
      </c>
      <c r="F2786" s="17" t="inlineStr">
        <is>
          <t>Chỉ superadmin</t>
        </is>
      </c>
      <c r="G2786" s="17" t="inlineStr">
        <is>
          <t>Khách mua vé: 403 cho cả bốn thao tác</t>
        </is>
      </c>
      <c r="H2786" s="17" t="inlineStr">
        <is>
          <t>khach_hang_403_moi_thao_tac</t>
        </is>
      </c>
      <c r="I2786" s="16" t="inlineStr">
        <is>
          <t>Đạt</t>
        </is>
      </c>
      <c r="J2786" s="16" t="n">
        <v>0.043</v>
      </c>
    </row>
    <row r="2787">
      <c r="A2787" s="16" t="n">
        <v>2783</v>
      </c>
      <c r="B2787" s="16" t="inlineStr">
        <is>
          <t>Backend</t>
        </is>
      </c>
      <c r="C2787" s="17" t="inlineStr">
        <is>
          <t>payout-service</t>
        </is>
      </c>
      <c r="D2787" s="16" t="inlineStr">
        <is>
          <t>API slice</t>
        </is>
      </c>
      <c r="E2787" s="17" t="inlineStr">
        <is>
          <t>PlatformPayoutControllerWebTest › ChiSuperAdmin</t>
        </is>
      </c>
      <c r="F2787" s="17" t="inlineStr">
        <is>
          <t>Chỉ superadmin</t>
        </is>
      </c>
      <c r="G2787" s="17" t="inlineStr">
        <is>
          <t>Chủ tổ chức (kể cả của chính tổ chức nhận tiền): 403 — tổ chức không có endpoint ở đây</t>
        </is>
      </c>
      <c r="H2787" s="17" t="inlineStr">
        <is>
          <t>chu_to_chuc_403</t>
        </is>
      </c>
      <c r="I2787" s="16" t="inlineStr">
        <is>
          <t>Đạt</t>
        </is>
      </c>
      <c r="J2787" s="16" t="n">
        <v>0.028</v>
      </c>
    </row>
    <row r="2788">
      <c r="A2788" s="16" t="n">
        <v>2784</v>
      </c>
      <c r="B2788" s="16" t="inlineStr">
        <is>
          <t>Backend</t>
        </is>
      </c>
      <c r="C2788" s="17" t="inlineStr">
        <is>
          <t>payout-service</t>
        </is>
      </c>
      <c r="D2788" s="16" t="inlineStr">
        <is>
          <t>API slice</t>
        </is>
      </c>
      <c r="E2788" s="17" t="inlineStr">
        <is>
          <t>PlatformPayoutControllerWebTest › ChiSuperAdmin</t>
        </is>
      </c>
      <c r="F2788" s="17" t="inlineStr">
        <is>
          <t>Chỉ superadmin</t>
        </is>
      </c>
      <c r="G2788" s="17" t="inlineStr">
        <is>
          <t>Không có token: 401</t>
        </is>
      </c>
      <c r="H2788" s="17" t="inlineStr">
        <is>
          <t>khong_token</t>
        </is>
      </c>
      <c r="I2788" s="16" t="inlineStr">
        <is>
          <t>Đạt</t>
        </is>
      </c>
      <c r="J2788" s="16" t="n">
        <v>0.021</v>
      </c>
    </row>
    <row r="2789">
      <c r="A2789" s="16" t="n">
        <v>2785</v>
      </c>
      <c r="B2789" s="16" t="inlineStr">
        <is>
          <t>Backend</t>
        </is>
      </c>
      <c r="C2789" s="17" t="inlineStr">
        <is>
          <t>payout-service</t>
        </is>
      </c>
      <c r="D2789" s="16" t="inlineStr">
        <is>
          <t>API slice</t>
        </is>
      </c>
      <c r="E2789" s="17" t="inlineStr">
        <is>
          <t>PlatformPayoutControllerWebTest › TaoLo</t>
        </is>
      </c>
      <c r="F2789" s="17" t="inlineStr">
        <is>
          <t>Tạo lô</t>
        </is>
      </c>
      <c r="G2789" s="17" t="inlineStr">
        <is>
          <t>Số tiền 0: 400 VALIDATION_FAILED chỉ ra amountVnd</t>
        </is>
      </c>
      <c r="H2789" s="17" t="inlineStr">
        <is>
          <t>so_tien_khong</t>
        </is>
      </c>
      <c r="I2789" s="16" t="inlineStr">
        <is>
          <t>Đạt</t>
        </is>
      </c>
      <c r="J2789" s="16" t="n">
        <v>0.05</v>
      </c>
    </row>
    <row r="2790">
      <c r="A2790" s="16" t="n">
        <v>2786</v>
      </c>
      <c r="B2790" s="16" t="inlineStr">
        <is>
          <t>Backend</t>
        </is>
      </c>
      <c r="C2790" s="17" t="inlineStr">
        <is>
          <t>payout-service</t>
        </is>
      </c>
      <c r="D2790" s="16" t="inlineStr">
        <is>
          <t>API slice</t>
        </is>
      </c>
      <c r="E2790" s="17" t="inlineStr">
        <is>
          <t>PlatformPayoutControllerWebTest › TaoLo</t>
        </is>
      </c>
      <c r="F2790" s="17" t="inlineStr">
        <is>
          <t>Tạo lô</t>
        </is>
      </c>
      <c r="G2790" s="17" t="inlineStr">
        <is>
          <t>Thiếu tổ chức: 400 chỉ ra organizationId</t>
        </is>
      </c>
      <c r="H2790" s="17" t="inlineStr">
        <is>
          <t>thieu_to_chuc</t>
        </is>
      </c>
      <c r="I2790" s="16" t="inlineStr">
        <is>
          <t>Đạt</t>
        </is>
      </c>
      <c r="J2790" s="16" t="n">
        <v>0.021</v>
      </c>
    </row>
    <row r="2791">
      <c r="A2791" s="16" t="n">
        <v>2787</v>
      </c>
      <c r="B2791" s="16" t="inlineStr">
        <is>
          <t>Backend</t>
        </is>
      </c>
      <c r="C2791" s="17" t="inlineStr">
        <is>
          <t>payout-service</t>
        </is>
      </c>
      <c r="D2791" s="16" t="inlineStr">
        <is>
          <t>API slice</t>
        </is>
      </c>
      <c r="E2791" s="17" t="inlineStr">
        <is>
          <t>PlatformPayoutControllerWebTest › TaoLo</t>
        </is>
      </c>
      <c r="F2791" s="17" t="inlineStr">
        <is>
          <t>Tạo lô</t>
        </is>
      </c>
      <c r="G2791" s="17" t="inlineStr">
        <is>
          <t>Superadmin tạo lô: 201, người tạo lấy từ token chứ không từ thân request</t>
        </is>
      </c>
      <c r="H2791" s="17" t="inlineStr">
        <is>
          <t>tao_lo</t>
        </is>
      </c>
      <c r="I2791" s="16" t="inlineStr">
        <is>
          <t>Đạt</t>
        </is>
      </c>
      <c r="J2791" s="16" t="n">
        <v>0.042</v>
      </c>
    </row>
    <row r="2792">
      <c r="A2792" s="16" t="n">
        <v>2788</v>
      </c>
      <c r="B2792" s="16" t="inlineStr">
        <is>
          <t>Backend</t>
        </is>
      </c>
      <c r="C2792" s="17" t="inlineStr">
        <is>
          <t>payout-service</t>
        </is>
      </c>
      <c r="D2792" s="16" t="inlineStr">
        <is>
          <t>API slice</t>
        </is>
      </c>
      <c r="E2792" s="17" t="inlineStr">
        <is>
          <t>PlatformPayoutControllerWebTest › TaoLo</t>
        </is>
      </c>
      <c r="F2792" s="17" t="inlineStr">
        <is>
          <t>Tạo lô</t>
        </is>
      </c>
      <c r="G2792" s="17" t="inlineStr">
        <is>
          <t>Vượt số dư: 422 PAYOUT_BLOCKED kèm danh sách cổng chặn trong meta</t>
        </is>
      </c>
      <c r="H2792" s="17" t="inlineStr">
        <is>
          <t>vuot_so_du</t>
        </is>
      </c>
      <c r="I2792" s="16" t="inlineStr">
        <is>
          <t>Đạt</t>
        </is>
      </c>
      <c r="J2792" s="16" t="n">
        <v>0.054</v>
      </c>
    </row>
    <row r="2793">
      <c r="A2793" s="16" t="n">
        <v>2789</v>
      </c>
      <c r="B2793" s="16" t="inlineStr">
        <is>
          <t>Backend</t>
        </is>
      </c>
      <c r="C2793" s="17" t="inlineStr">
        <is>
          <t>payout-service</t>
        </is>
      </c>
      <c r="D2793" s="16" t="inlineStr">
        <is>
          <t>API slice</t>
        </is>
      </c>
      <c r="E2793" s="17" t="inlineStr">
        <is>
          <t>PlatformPayoutControllerWebTest › TaoLo</t>
        </is>
      </c>
      <c r="F2793" s="17" t="inlineStr">
        <is>
          <t>Tạo lô</t>
        </is>
      </c>
      <c r="G2793" s="17" t="inlineStr">
        <is>
          <t>Chưa có đích chi trả: 400 NO_PAYOUT_ACCOUNT</t>
        </is>
      </c>
      <c r="H2793" s="17" t="inlineStr">
        <is>
          <t>chua_co_dich</t>
        </is>
      </c>
      <c r="I2793" s="16" t="inlineStr">
        <is>
          <t>Đạt</t>
        </is>
      </c>
      <c r="J2793" s="16" t="n">
        <v>0.026</v>
      </c>
    </row>
    <row r="2794">
      <c r="A2794" s="16" t="n">
        <v>2790</v>
      </c>
      <c r="B2794" s="16" t="inlineStr">
        <is>
          <t>Backend</t>
        </is>
      </c>
      <c r="C2794" s="17" t="inlineStr">
        <is>
          <t>payout-service</t>
        </is>
      </c>
      <c r="D2794" s="16" t="inlineStr">
        <is>
          <t>API slice</t>
        </is>
      </c>
      <c r="E2794" s="17" t="inlineStr">
        <is>
          <t>PlatformPayoutControllerWebTest › TaoLo</t>
        </is>
      </c>
      <c r="F2794" s="17" t="inlineStr">
        <is>
          <t>Tạo lô</t>
        </is>
      </c>
      <c r="G2794" s="17" t="inlineStr">
        <is>
          <t>Số tiền âm: 400</t>
        </is>
      </c>
      <c r="H2794" s="17" t="inlineStr">
        <is>
          <t>so_tien_am</t>
        </is>
      </c>
      <c r="I2794" s="16" t="inlineStr">
        <is>
          <t>Đạt</t>
        </is>
      </c>
      <c r="J2794" s="16" t="n">
        <v>0.018</v>
      </c>
    </row>
    <row r="2795">
      <c r="A2795" s="16" t="n">
        <v>2791</v>
      </c>
      <c r="B2795" s="16" t="inlineStr">
        <is>
          <t>Backend</t>
        </is>
      </c>
      <c r="C2795" s="17" t="inlineStr">
        <is>
          <t>payout-service</t>
        </is>
      </c>
      <c r="D2795" s="16" t="inlineStr">
        <is>
          <t>API slice</t>
        </is>
      </c>
      <c r="E2795" s="17" t="inlineStr">
        <is>
          <t>PlatformPayoutControllerWebTest › TaoLo</t>
        </is>
      </c>
      <c r="F2795" s="17" t="inlineStr">
        <is>
          <t>Tạo lô</t>
        </is>
      </c>
      <c r="G2795" s="17" t="inlineStr">
        <is>
          <t>Số tiền không phải số: 400 'Malformed request body'</t>
        </is>
      </c>
      <c r="H2795" s="17" t="inlineStr">
        <is>
          <t>so_tien_khong_phai_so</t>
        </is>
      </c>
      <c r="I2795" s="16" t="inlineStr">
        <is>
          <t>Đạt</t>
        </is>
      </c>
      <c r="J2795" s="16" t="n">
        <v>0.031</v>
      </c>
    </row>
    <row r="2796">
      <c r="A2796" s="16" t="n">
        <v>2792</v>
      </c>
      <c r="B2796" s="16" t="inlineStr">
        <is>
          <t>Backend</t>
        </is>
      </c>
      <c r="C2796" s="17" t="inlineStr">
        <is>
          <t>realtime-gateway</t>
        </is>
      </c>
      <c r="D2796" s="16" t="inlineStr">
        <is>
          <t>ArchUnit</t>
        </is>
      </c>
      <c r="E2796" s="17" t="inlineStr">
        <is>
          <t>ArchitectureTest</t>
        </is>
      </c>
      <c r="F2796" s="17" t="inlineStr"/>
      <c r="G2796" s="17" t="inlineStr">
        <is>
          <t>domain thuan nghiep vu</t>
        </is>
      </c>
      <c r="H2796" s="17" t="inlineStr">
        <is>
          <t>domain_thuan_nghiep_vu</t>
        </is>
      </c>
      <c r="I2796" s="16" t="inlineStr">
        <is>
          <t>Đạt</t>
        </is>
      </c>
      <c r="J2796" s="16" t="n">
        <v>2.31</v>
      </c>
    </row>
    <row r="2797">
      <c r="A2797" s="16" t="n">
        <v>2793</v>
      </c>
      <c r="B2797" s="16" t="inlineStr">
        <is>
          <t>Backend</t>
        </is>
      </c>
      <c r="C2797" s="17" t="inlineStr">
        <is>
          <t>realtime-gateway</t>
        </is>
      </c>
      <c r="D2797" s="16" t="inlineStr">
        <is>
          <t>ArchUnit</t>
        </is>
      </c>
      <c r="E2797" s="17" t="inlineStr">
        <is>
          <t>ArchitectureTest</t>
        </is>
      </c>
      <c r="F2797" s="17" t="inlineStr"/>
      <c r="G2797" s="17" t="inlineStr">
        <is>
          <t>chieu phu thuoc hexagonal</t>
        </is>
      </c>
      <c r="H2797" s="17" t="inlineStr">
        <is>
          <t>chieu_phu_thuoc_hexagonal</t>
        </is>
      </c>
      <c r="I2797" s="16" t="inlineStr">
        <is>
          <t>Đạt</t>
        </is>
      </c>
      <c r="J2797" s="16" t="n">
        <v>0.311</v>
      </c>
    </row>
    <row r="2798">
      <c r="A2798" s="16" t="n">
        <v>2794</v>
      </c>
      <c r="B2798" s="16" t="inlineStr">
        <is>
          <t>Backend</t>
        </is>
      </c>
      <c r="C2798" s="17" t="inlineStr">
        <is>
          <t>realtime-gateway</t>
        </is>
      </c>
      <c r="D2798" s="16" t="inlineStr">
        <is>
          <t>ArchUnit</t>
        </is>
      </c>
      <c r="E2798" s="17" t="inlineStr">
        <is>
          <t>ArchitectureTest</t>
        </is>
      </c>
      <c r="F2798" s="17" t="inlineStr"/>
      <c r="G2798" s="17" t="inlineStr">
        <is>
          <t>khong import cheo context</t>
        </is>
      </c>
      <c r="H2798" s="17" t="inlineStr">
        <is>
          <t>khong_import_cheo_context</t>
        </is>
      </c>
      <c r="I2798" s="16" t="inlineStr">
        <is>
          <t>Đạt</t>
        </is>
      </c>
      <c r="J2798" s="16" t="n">
        <v>0.005</v>
      </c>
    </row>
    <row r="2799">
      <c r="A2799" s="16" t="n">
        <v>2795</v>
      </c>
      <c r="B2799" s="16" t="inlineStr">
        <is>
          <t>Backend</t>
        </is>
      </c>
      <c r="C2799" s="17" t="inlineStr">
        <is>
          <t>realtime-gateway</t>
        </is>
      </c>
      <c r="D2799" s="16" t="inlineStr">
        <is>
          <t>Unit</t>
        </is>
      </c>
      <c r="E2799" s="17" t="inlineStr">
        <is>
          <t>FanoutTest</t>
        </is>
      </c>
      <c r="F2799" s="17" t="inlineStr"/>
      <c r="G2799" s="17" t="inlineStr">
        <is>
          <t>Đăng ký lại cùng một suất không tính thêm vào trần</t>
        </is>
      </c>
      <c r="H2799" s="17" t="inlineStr">
        <is>
          <t>dang_ky_lai_khong_tinh_them</t>
        </is>
      </c>
      <c r="I2799" s="16" t="inlineStr">
        <is>
          <t>Đạt</t>
        </is>
      </c>
      <c r="J2799" s="16" t="n">
        <v>0.137</v>
      </c>
    </row>
    <row r="2800">
      <c r="A2800" s="16" t="n">
        <v>2796</v>
      </c>
      <c r="B2800" s="16" t="inlineStr">
        <is>
          <t>Backend</t>
        </is>
      </c>
      <c r="C2800" s="17" t="inlineStr">
        <is>
          <t>realtime-gateway</t>
        </is>
      </c>
      <c r="D2800" s="16" t="inlineStr">
        <is>
          <t>Unit</t>
        </is>
      </c>
      <c r="E2800" s="17" t="inlineStr">
        <is>
          <t>FanoutTest</t>
        </is>
      </c>
      <c r="F2800" s="17" t="inlineStr"/>
      <c r="G2800" s="17" t="inlineStr">
        <is>
          <t>Một kết nối không theo dõi được quá số suất cho phép</t>
        </is>
      </c>
      <c r="H2800" s="17" t="inlineStr">
        <is>
          <t>chan_dang_ky_qua_nhieu</t>
        </is>
      </c>
      <c r="I2800" s="16" t="inlineStr">
        <is>
          <t>Đạt</t>
        </is>
      </c>
      <c r="J2800" s="16" t="n">
        <v>0.002</v>
      </c>
    </row>
    <row r="2801">
      <c r="A2801" s="16" t="n">
        <v>2797</v>
      </c>
      <c r="B2801" s="16" t="inlineStr">
        <is>
          <t>Backend</t>
        </is>
      </c>
      <c r="C2801" s="17" t="inlineStr">
        <is>
          <t>realtime-gateway</t>
        </is>
      </c>
      <c r="D2801" s="16" t="inlineStr">
        <is>
          <t>Unit</t>
        </is>
      </c>
      <c r="E2801" s="17" t="inlineStr">
        <is>
          <t>FanoutTest</t>
        </is>
      </c>
      <c r="F2801" s="17" t="inlineStr"/>
      <c r="G2801" s="17" t="inlineStr">
        <is>
          <t>Nhận thay đổi từ nhiều luồng cùng lúc không mất và không nhân đôi</t>
        </is>
      </c>
      <c r="H2801" s="17" t="inlineStr">
        <is>
          <t>nhan_tu_nhieu_luong</t>
        </is>
      </c>
      <c r="I2801" s="16" t="inlineStr">
        <is>
          <t>Đạt</t>
        </is>
      </c>
      <c r="J2801" s="16" t="n">
        <v>0.033</v>
      </c>
    </row>
    <row r="2802">
      <c r="A2802" s="16" t="n">
        <v>2798</v>
      </c>
      <c r="B2802" s="16" t="inlineStr">
        <is>
          <t>Backend</t>
        </is>
      </c>
      <c r="C2802" s="17" t="inlineStr">
        <is>
          <t>realtime-gateway</t>
        </is>
      </c>
      <c r="D2802" s="16" t="inlineStr">
        <is>
          <t>Unit</t>
        </is>
      </c>
      <c r="E2802" s="17" t="inlineStr">
        <is>
          <t>FanoutTest</t>
        </is>
      </c>
      <c r="F2802" s="17" t="inlineStr"/>
      <c r="G2802" s="17" t="inlineStr">
        <is>
          <t>Mỗi suất diễn một thông báo riêng, không trộn vào nhau</t>
        </is>
      </c>
      <c r="H2802" s="17" t="inlineStr">
        <is>
          <t>moi_suat_mot_thong_bao</t>
        </is>
      </c>
      <c r="I2802" s="16" t="inlineStr">
        <is>
          <t>Đạt</t>
        </is>
      </c>
      <c r="J2802" s="16" t="n">
        <v>0.002</v>
      </c>
    </row>
    <row r="2803">
      <c r="A2803" s="16" t="n">
        <v>2799</v>
      </c>
      <c r="B2803" s="16" t="inlineStr">
        <is>
          <t>Backend</t>
        </is>
      </c>
      <c r="C2803" s="17" t="inlineStr">
        <is>
          <t>realtime-gateway</t>
        </is>
      </c>
      <c r="D2803" s="16" t="inlineStr">
        <is>
          <t>Unit</t>
        </is>
      </c>
      <c r="E2803" s="17" t="inlineStr">
        <is>
          <t>FanoutTest</t>
        </is>
      </c>
      <c r="F2803" s="17" t="inlineStr"/>
      <c r="G2803" s="17" t="inlineStr">
        <is>
          <t>Chỉ thuê bao của đúng suất diễn nhận được thông báo</t>
        </is>
      </c>
      <c r="H2803" s="17" t="inlineStr">
        <is>
          <t>chi_dung_thue_bao_nhan_duoc</t>
        </is>
      </c>
      <c r="I2803" s="16" t="inlineStr">
        <is>
          <t>Đạt</t>
        </is>
      </c>
      <c r="J2803" s="16" t="n">
        <v>0.005</v>
      </c>
    </row>
    <row r="2804">
      <c r="A2804" s="16" t="n">
        <v>2800</v>
      </c>
      <c r="B2804" s="16" t="inlineStr">
        <is>
          <t>Backend</t>
        </is>
      </c>
      <c r="C2804" s="17" t="inlineStr">
        <is>
          <t>realtime-gateway</t>
        </is>
      </c>
      <c r="D2804" s="16" t="inlineStr">
        <is>
          <t>Unit</t>
        </is>
      </c>
      <c r="E2804" s="17" t="inlineStr">
        <is>
          <t>FanoutTest</t>
        </is>
      </c>
      <c r="F2804" s="17" t="inlineStr"/>
      <c r="G2804" s="17" t="inlineStr">
        <is>
          <t>Hàng trăm thay đổi trong một cửa sổ gom thành ĐÚNG MỘT thông báo mỗi suất</t>
        </is>
      </c>
      <c r="H2804" s="17" t="inlineStr">
        <is>
          <t>gom_thanh_mot_thong_bao</t>
        </is>
      </c>
      <c r="I2804" s="16" t="inlineStr">
        <is>
          <t>Đạt</t>
        </is>
      </c>
      <c r="J2804" s="16" t="n">
        <v>0.003</v>
      </c>
    </row>
    <row r="2805">
      <c r="A2805" s="16" t="n">
        <v>2801</v>
      </c>
      <c r="B2805" s="16" t="inlineStr">
        <is>
          <t>Backend</t>
        </is>
      </c>
      <c r="C2805" s="17" t="inlineStr">
        <is>
          <t>realtime-gateway</t>
        </is>
      </c>
      <c r="D2805" s="16" t="inlineStr">
        <is>
          <t>Unit</t>
        </is>
      </c>
      <c r="E2805" s="17" t="inlineStr">
        <is>
          <t>FanoutTest</t>
        </is>
      </c>
      <c r="F2805" s="17" t="inlineStr"/>
      <c r="G2805" s="17" t="inlineStr">
        <is>
          <t>Đóng kết nối gỡ nó khỏi mọi suất diễn, không để lại rác</t>
        </is>
      </c>
      <c r="H2805" s="17" t="inlineStr">
        <is>
          <t>dong_ket_noi_khong_de_lai_rac</t>
        </is>
      </c>
      <c r="I2805" s="16" t="inlineStr">
        <is>
          <t>Đạt</t>
        </is>
      </c>
      <c r="J2805" s="16" t="n">
        <v>0.001</v>
      </c>
    </row>
    <row r="2806">
      <c r="A2806" s="16" t="n">
        <v>2802</v>
      </c>
      <c r="B2806" s="16" t="inlineStr">
        <is>
          <t>Backend</t>
        </is>
      </c>
      <c r="C2806" s="17" t="inlineStr">
        <is>
          <t>realtime-gateway</t>
        </is>
      </c>
      <c r="D2806" s="16" t="inlineStr">
        <is>
          <t>Unit</t>
        </is>
      </c>
      <c r="E2806" s="17" t="inlineStr">
        <is>
          <t>AvailabilityAmqpTest › Listener</t>
        </is>
      </c>
      <c r="F2806" s="17" t="inlineStr">
        <is>
          <t>AvailabilityListener</t>
        </is>
      </c>
      <c r="G2806" s="17" t="inlineStr">
        <is>
          <t>message rác (thiếu trường, id sai khuôn, version không phải số): nuốt lỗi, không ném, không gộp gì</t>
        </is>
      </c>
      <c r="H2806" s="17" t="inlineStr">
        <is>
          <t>message_rac</t>
        </is>
      </c>
      <c r="I2806" s="16" t="inlineStr">
        <is>
          <t>Đạt</t>
        </is>
      </c>
      <c r="J2806" s="16" t="n">
        <v>0.012</v>
      </c>
    </row>
    <row r="2807">
      <c r="A2807" s="16" t="n">
        <v>2803</v>
      </c>
      <c r="B2807" s="16" t="inlineStr">
        <is>
          <t>Backend</t>
        </is>
      </c>
      <c r="C2807" s="17" t="inlineStr">
        <is>
          <t>realtime-gateway</t>
        </is>
      </c>
      <c r="D2807" s="16" t="inlineStr">
        <is>
          <t>Unit</t>
        </is>
      </c>
      <c r="E2807" s="17" t="inlineStr">
        <is>
          <t>AvailabilityAmqpTest › Listener</t>
        </is>
      </c>
      <c r="F2807" s="17" t="inlineStr">
        <is>
          <t>AvailabilityListener</t>
        </is>
      </c>
      <c r="G2807" s="17" t="inlineStr">
        <is>
          <t>message hợp lệ (version là số hoặc chuỗi số): vào bộ gộp</t>
        </is>
      </c>
      <c r="H2807" s="17" t="inlineStr">
        <is>
          <t>message_hop_le</t>
        </is>
      </c>
      <c r="I2807" s="16" t="inlineStr">
        <is>
          <t>Đạt</t>
        </is>
      </c>
      <c r="J2807" s="16" t="n">
        <v>0.012</v>
      </c>
    </row>
    <row r="2808">
      <c r="A2808" s="16" t="n">
        <v>2804</v>
      </c>
      <c r="B2808" s="16" t="inlineStr">
        <is>
          <t>Backend</t>
        </is>
      </c>
      <c r="C2808" s="17" t="inlineStr">
        <is>
          <t>realtime-gateway</t>
        </is>
      </c>
      <c r="D2808" s="16" t="inlineStr">
        <is>
          <t>Unit</t>
        </is>
      </c>
      <c r="E2808" s="17" t="inlineStr">
        <is>
          <t>AvailabilityAmqpTest › Listener</t>
        </is>
      </c>
      <c r="F2808" s="17" t="inlineStr">
        <is>
          <t>AvailabilityListener</t>
        </is>
      </c>
      <c r="G2808" s="17" t="inlineStr">
        <is>
          <t>message có thêm trường lạ: bỏ qua trường thừa, vẫn nhận</t>
        </is>
      </c>
      <c r="H2808" s="17" t="inlineStr">
        <is>
          <t>truong_thua</t>
        </is>
      </c>
      <c r="I2808" s="16" t="inlineStr">
        <is>
          <t>Đạt</t>
        </is>
      </c>
      <c r="J2808" s="16" t="n">
        <v>0.001</v>
      </c>
    </row>
    <row r="2809">
      <c r="A2809" s="16" t="n">
        <v>2805</v>
      </c>
      <c r="B2809" s="16" t="inlineStr">
        <is>
          <t>Backend</t>
        </is>
      </c>
      <c r="C2809" s="17" t="inlineStr">
        <is>
          <t>realtime-gateway</t>
        </is>
      </c>
      <c r="D2809" s="16" t="inlineStr">
        <is>
          <t>Unit</t>
        </is>
      </c>
      <c r="E2809" s="17" t="inlineStr">
        <is>
          <t>AvailabilityAmqpTest › Topology</t>
        </is>
      </c>
      <c r="F2809" s="17" t="inlineStr">
        <is>
          <t>AvailabilityTopology</t>
        </is>
      </c>
      <c r="G2809" s="17" t="inlineStr">
        <is>
          <t>tên bean instanceQueue là hợp đồng với SpEL của listener</t>
        </is>
      </c>
      <c r="H2809" s="17" t="inlineStr">
        <is>
          <t>ten_bean_la_hop_dong</t>
        </is>
      </c>
      <c r="I2809" s="16" t="inlineStr">
        <is>
          <t>Đạt</t>
        </is>
      </c>
      <c r="J2809" s="16" t="n">
        <v>0.016</v>
      </c>
    </row>
    <row r="2810">
      <c r="A2810" s="16" t="n">
        <v>2806</v>
      </c>
      <c r="B2810" s="16" t="inlineStr">
        <is>
          <t>Backend</t>
        </is>
      </c>
      <c r="C2810" s="17" t="inlineStr">
        <is>
          <t>realtime-gateway</t>
        </is>
      </c>
      <c r="D2810" s="16" t="inlineStr">
        <is>
          <t>Unit</t>
        </is>
      </c>
      <c r="E2810" s="17" t="inlineStr">
        <is>
          <t>AvailabilityAmqpTest › Topology</t>
        </is>
      </c>
      <c r="F2810" s="17" t="inlineStr">
        <is>
          <t>AvailabilityTopology</t>
        </is>
      </c>
      <c r="G2810" s="17" t="inlineStr">
        <is>
          <t>bộ chuyển đổi là JSON — không Java-deserialize dữ liệu từ broker</t>
        </is>
      </c>
      <c r="H2810" s="17" t="inlineStr">
        <is>
          <t>converter_la_json</t>
        </is>
      </c>
      <c r="I2810" s="16" t="inlineStr">
        <is>
          <t>Đạt</t>
        </is>
      </c>
      <c r="J2810" s="16" t="n">
        <v>0.368</v>
      </c>
    </row>
    <row r="2811">
      <c r="A2811" s="16" t="n">
        <v>2807</v>
      </c>
      <c r="B2811" s="16" t="inlineStr">
        <is>
          <t>Backend</t>
        </is>
      </c>
      <c r="C2811" s="17" t="inlineStr">
        <is>
          <t>realtime-gateway</t>
        </is>
      </c>
      <c r="D2811" s="16" t="inlineStr">
        <is>
          <t>Unit</t>
        </is>
      </c>
      <c r="E2811" s="17" t="inlineStr">
        <is>
          <t>AvailabilityAmqpTest › Topology</t>
        </is>
      </c>
      <c r="F2811" s="17" t="inlineStr">
        <is>
          <t>AvailabilityTopology</t>
        </is>
      </c>
      <c r="G2811" s="17" t="inlineStr">
        <is>
          <t>binding nối queue của instance vào exchange fanout</t>
        </is>
      </c>
      <c r="H2811" s="17" t="inlineStr">
        <is>
          <t>binding</t>
        </is>
      </c>
      <c r="I2811" s="16" t="inlineStr">
        <is>
          <t>Đạt</t>
        </is>
      </c>
      <c r="J2811" s="16" t="n">
        <v>0.008</v>
      </c>
    </row>
    <row r="2812">
      <c r="A2812" s="16" t="n">
        <v>2808</v>
      </c>
      <c r="B2812" s="16" t="inlineStr">
        <is>
          <t>Backend</t>
        </is>
      </c>
      <c r="C2812" s="17" t="inlineStr">
        <is>
          <t>realtime-gateway</t>
        </is>
      </c>
      <c r="D2812" s="16" t="inlineStr">
        <is>
          <t>Unit</t>
        </is>
      </c>
      <c r="E2812" s="17" t="inlineStr">
        <is>
          <t>AvailabilityAmqpTest › Topology</t>
        </is>
      </c>
      <c r="F2812" s="17" t="inlineStr">
        <is>
          <t>AvailabilityTopology</t>
        </is>
      </c>
      <c r="G2812" s="17" t="inlineStr">
        <is>
          <t>exchange fanout bền, không tự xoá, đúng tên inventory phát vào</t>
        </is>
      </c>
      <c r="H2812" s="17" t="inlineStr">
        <is>
          <t>exchange</t>
        </is>
      </c>
      <c r="I2812" s="16" t="inlineStr">
        <is>
          <t>Đạt</t>
        </is>
      </c>
      <c r="J2812" s="16" t="n">
        <v>0.001</v>
      </c>
    </row>
    <row r="2813">
      <c r="A2813" s="16" t="n">
        <v>2809</v>
      </c>
      <c r="B2813" s="16" t="inlineStr">
        <is>
          <t>Backend</t>
        </is>
      </c>
      <c r="C2813" s="17" t="inlineStr">
        <is>
          <t>realtime-gateway</t>
        </is>
      </c>
      <c r="D2813" s="16" t="inlineStr">
        <is>
          <t>Unit</t>
        </is>
      </c>
      <c r="E2813" s="17" t="inlineStr">
        <is>
          <t>AvailabilityAmqpTest › Topology</t>
        </is>
      </c>
      <c r="F2813" s="17" t="inlineStr">
        <is>
          <t>AvailabilityTopology</t>
        </is>
      </c>
      <c r="G2813" s="17" t="inlineStr">
        <is>
          <t>queue riêng mỗi instance: tên ngẫu nhiên, tạm, TTL 30s, trần 10.000, drop-head</t>
        </is>
      </c>
      <c r="H2813" s="17" t="inlineStr">
        <is>
          <t>queue_rieng_moi_instance</t>
        </is>
      </c>
      <c r="I2813" s="16" t="inlineStr">
        <is>
          <t>Đạt</t>
        </is>
      </c>
      <c r="J2813" s="16" t="n">
        <v>0.008999999999999999</v>
      </c>
    </row>
    <row r="2814">
      <c r="A2814" s="16" t="n">
        <v>2810</v>
      </c>
      <c r="B2814" s="16" t="inlineStr">
        <is>
          <t>Backend</t>
        </is>
      </c>
      <c r="C2814" s="17" t="inlineStr">
        <is>
          <t>realtime-gateway</t>
        </is>
      </c>
      <c r="D2814" s="16" t="inlineStr">
        <is>
          <t>Unit</t>
        </is>
      </c>
      <c r="E2814" s="17" t="inlineStr">
        <is>
          <t>RealtimeSecurityConfigTest</t>
        </is>
      </c>
      <c r="F2814" s="17" t="inlineStr"/>
      <c r="G2814" s="17" t="inlineStr">
        <is>
          <t>POST không cần CSRF: chuỗi không giữ session cookie</t>
        </is>
      </c>
      <c r="H2814" s="17" t="inlineStr">
        <is>
          <t>khong_csrf</t>
        </is>
      </c>
      <c r="I2814" s="16" t="inlineStr">
        <is>
          <t>Đạt</t>
        </is>
      </c>
      <c r="J2814" s="16" t="n">
        <v>0.177</v>
      </c>
    </row>
    <row r="2815">
      <c r="A2815" s="16" t="n">
        <v>2811</v>
      </c>
      <c r="B2815" s="16" t="inlineStr">
        <is>
          <t>Backend</t>
        </is>
      </c>
      <c r="C2815" s="17" t="inlineStr">
        <is>
          <t>realtime-gateway</t>
        </is>
      </c>
      <c r="D2815" s="16" t="inlineStr">
        <is>
          <t>Unit</t>
        </is>
      </c>
      <c r="E2815" s="17" t="inlineStr">
        <is>
          <t>RealtimeSecurityConfigTest</t>
        </is>
      </c>
      <c r="F2815" s="17" t="inlineStr"/>
      <c r="G2815" s="17" t="inlineStr">
        <is>
          <t>/ws/** mở cho khách vãng lai — handshake ẩn danh không bị chặn</t>
        </is>
      </c>
      <c r="H2815" s="17" t="inlineStr">
        <is>
          <t>websocket_an_danh</t>
        </is>
      </c>
      <c r="I2815" s="16" t="inlineStr">
        <is>
          <t>Đạt</t>
        </is>
      </c>
      <c r="J2815" s="16" t="n">
        <v>0.01</v>
      </c>
    </row>
    <row r="2816">
      <c r="A2816" s="16" t="n">
        <v>2812</v>
      </c>
      <c r="B2816" s="16" t="inlineStr">
        <is>
          <t>Backend</t>
        </is>
      </c>
      <c r="C2816" s="17" t="inlineStr">
        <is>
          <t>realtime-gateway</t>
        </is>
      </c>
      <c r="D2816" s="16" t="inlineStr">
        <is>
          <t>Unit</t>
        </is>
      </c>
      <c r="E2816" s="17" t="inlineStr">
        <is>
          <t>RealtimeSecurityConfigTest</t>
        </is>
      </c>
      <c r="F2816" s="17" t="inlineStr"/>
      <c r="G2816" s="17" t="inlineStr">
        <is>
          <t>/actuator/health không đòi xác thực — liveness probe không được nhận 401</t>
        </is>
      </c>
      <c r="H2816" s="17" t="inlineStr">
        <is>
          <t>health_khong_dong_401</t>
        </is>
      </c>
      <c r="I2816" s="16" t="inlineStr">
        <is>
          <t>Đạt</t>
        </is>
      </c>
      <c r="J2816" s="16" t="n">
        <v>0.025</v>
      </c>
    </row>
    <row r="2817">
      <c r="A2817" s="16" t="n">
        <v>2813</v>
      </c>
      <c r="B2817" s="16" t="inlineStr">
        <is>
          <t>Backend</t>
        </is>
      </c>
      <c r="C2817" s="17" t="inlineStr">
        <is>
          <t>realtime-gateway</t>
        </is>
      </c>
      <c r="D2817" s="16" t="inlineStr">
        <is>
          <t>Unit</t>
        </is>
      </c>
      <c r="E2817" s="17" t="inlineStr">
        <is>
          <t>RealtimeSecurityConfigTest</t>
        </is>
      </c>
      <c r="F2817" s="17" t="inlineStr"/>
      <c r="G2817" s="17" t="inlineStr">
        <is>
          <t>mọi đường khác đòi JWT: 401</t>
        </is>
      </c>
      <c r="H2817" s="17" t="inlineStr">
        <is>
          <t>duong_khac_401</t>
        </is>
      </c>
      <c r="I2817" s="16" t="inlineStr">
        <is>
          <t>Đạt</t>
        </is>
      </c>
      <c r="J2817" s="16" t="n">
        <v>0.011</v>
      </c>
    </row>
    <row r="2818">
      <c r="A2818" s="16" t="n">
        <v>2814</v>
      </c>
      <c r="B2818" s="16" t="inlineStr">
        <is>
          <t>Backend</t>
        </is>
      </c>
      <c r="C2818" s="17" t="inlineStr">
        <is>
          <t>realtime-gateway</t>
        </is>
      </c>
      <c r="D2818" s="16" t="inlineStr">
        <is>
          <t>Unit</t>
        </is>
      </c>
      <c r="E2818" s="17" t="inlineStr">
        <is>
          <t>SeatMapWebSocketHandlerTest › Close</t>
        </is>
      </c>
      <c r="F2818" s="17" t="inlineStr">
        <is>
          <t>Đóng và lỗi</t>
        </is>
      </c>
      <c r="G2818" s="17" t="inlineStr">
        <is>
          <t>lỗi truyền tải: cũng gỡ khỏi sổ — không rò rỉ bộ nhớ khi client mất mạng</t>
        </is>
      </c>
      <c r="H2818" s="17" t="inlineStr">
        <is>
          <t>loi_truyen_tai</t>
        </is>
      </c>
      <c r="I2818" s="16" t="inlineStr">
        <is>
          <t>Đạt</t>
        </is>
      </c>
      <c r="J2818" s="16" t="n">
        <v>0.002</v>
      </c>
    </row>
    <row r="2819">
      <c r="A2819" s="16" t="n">
        <v>2815</v>
      </c>
      <c r="B2819" s="16" t="inlineStr">
        <is>
          <t>Backend</t>
        </is>
      </c>
      <c r="C2819" s="17" t="inlineStr">
        <is>
          <t>realtime-gateway</t>
        </is>
      </c>
      <c r="D2819" s="16" t="inlineStr">
        <is>
          <t>Unit</t>
        </is>
      </c>
      <c r="E2819" s="17" t="inlineStr">
        <is>
          <t>SeatMapWebSocketHandlerTest › Close</t>
        </is>
      </c>
      <c r="F2819" s="17" t="inlineStr">
        <is>
          <t>Đóng và lỗi</t>
        </is>
      </c>
      <c r="G2819" s="17" t="inlineStr">
        <is>
          <t>đóng bình thường: gỡ khỏi sổ</t>
        </is>
      </c>
      <c r="H2819" s="17" t="inlineStr">
        <is>
          <t>dong_binh_thuong</t>
        </is>
      </c>
      <c r="I2819" s="16" t="inlineStr">
        <is>
          <t>Đạt</t>
        </is>
      </c>
      <c r="J2819" s="16" t="n">
        <v>0.002</v>
      </c>
    </row>
    <row r="2820">
      <c r="A2820" s="16" t="n">
        <v>2816</v>
      </c>
      <c r="B2820" s="16" t="inlineStr">
        <is>
          <t>Backend</t>
        </is>
      </c>
      <c r="C2820" s="17" t="inlineStr">
        <is>
          <t>realtime-gateway</t>
        </is>
      </c>
      <c r="D2820" s="16" t="inlineStr">
        <is>
          <t>Unit</t>
        </is>
      </c>
      <c r="E2820" s="17" t="inlineStr">
        <is>
          <t>SeatMapWebSocketHandlerTest › Connect</t>
        </is>
      </c>
      <c r="F2820" s="17" t="inlineStr">
        <is>
          <t>Kết nối</t>
        </is>
      </c>
      <c r="G2820" s="17" t="inlineStr">
        <is>
          <t>kết nối mở thêm suất vượt trần: bị từ chối (trần 2 trong test này)</t>
        </is>
      </c>
      <c r="H2820" s="17" t="inlineStr">
        <is>
          <t>vuot_tran</t>
        </is>
      </c>
      <c r="I2820" s="16" t="inlineStr">
        <is>
          <t>Đạt</t>
        </is>
      </c>
      <c r="J2820" s="16" t="n">
        <v>0.001</v>
      </c>
    </row>
    <row r="2821">
      <c r="A2821" s="16" t="n">
        <v>2817</v>
      </c>
      <c r="B2821" s="16" t="inlineStr">
        <is>
          <t>Backend</t>
        </is>
      </c>
      <c r="C2821" s="17" t="inlineStr">
        <is>
          <t>realtime-gateway</t>
        </is>
      </c>
      <c r="D2821" s="16" t="inlineStr">
        <is>
          <t>Unit</t>
        </is>
      </c>
      <c r="E2821" s="17" t="inlineStr">
        <is>
          <t>SeatMapWebSocketHandlerTest › Connect</t>
        </is>
      </c>
      <c r="F2821" s="17" t="inlineStr">
        <is>
          <t>Kết nối</t>
        </is>
      </c>
      <c r="G2821" s="17" t="inlineStr">
        <is>
          <t>kết nối ẩn danh (không token) vẫn được nhận — sơ đồ chỗ là dữ liệu công khai</t>
        </is>
      </c>
      <c r="H2821" s="17" t="inlineStr">
        <is>
          <t>an_danh_van_duoc_nhan</t>
        </is>
      </c>
      <c r="I2821" s="16" t="inlineStr">
        <is>
          <t>Đạt</t>
        </is>
      </c>
      <c r="J2821" s="16" t="n">
        <v>0.002</v>
      </c>
    </row>
    <row r="2822">
      <c r="A2822" s="16" t="n">
        <v>2818</v>
      </c>
      <c r="B2822" s="16" t="inlineStr">
        <is>
          <t>Backend</t>
        </is>
      </c>
      <c r="C2822" s="17" t="inlineStr">
        <is>
          <t>realtime-gateway</t>
        </is>
      </c>
      <c r="D2822" s="16" t="inlineStr">
        <is>
          <t>Unit</t>
        </is>
      </c>
      <c r="E2822" s="17" t="inlineStr">
        <is>
          <t>SeatMapWebSocketHandlerTest › Connect</t>
        </is>
      </c>
      <c r="F2822" s="17" t="inlineStr">
        <is>
          <t>Kết nối</t>
        </is>
      </c>
      <c r="G2822" s="17" t="inlineStr">
        <is>
          <t>đường dẫn /ws/sessions/{uuid}: đăng ký vào đúng suất, không đóng</t>
        </is>
      </c>
      <c r="H2822" s="17" t="inlineStr">
        <is>
          <t>dang_ky_dung_suat</t>
        </is>
      </c>
      <c r="I2822" s="16" t="inlineStr">
        <is>
          <t>Đạt</t>
        </is>
      </c>
      <c r="J2822" s="16" t="n">
        <v>0.004</v>
      </c>
    </row>
    <row r="2823">
      <c r="A2823" s="16" t="n">
        <v>2819</v>
      </c>
      <c r="B2823" s="16" t="inlineStr">
        <is>
          <t>Backend</t>
        </is>
      </c>
      <c r="C2823" s="17" t="inlineStr">
        <is>
          <t>realtime-gateway</t>
        </is>
      </c>
      <c r="D2823" s="16" t="inlineStr">
        <is>
          <t>Unit</t>
        </is>
      </c>
      <c r="E2823" s="17" t="inlineStr">
        <is>
          <t>SeatMapWebSocketHandlerTest › Connect</t>
        </is>
      </c>
      <c r="F2823" s="17" t="inlineStr">
        <is>
          <t>Kết nối</t>
        </is>
      </c>
      <c r="G2823" s="17" t="inlineStr">
        <is>
          <t>id không phải UUID hoặc không có URI: đóng POLICY_VIOLATION, không đăng ký</t>
        </is>
      </c>
      <c r="H2823" s="17" t="inlineStr">
        <is>
          <t>id_sai_bi_dong</t>
        </is>
      </c>
      <c r="I2823" s="16" t="inlineStr">
        <is>
          <t>Đạt</t>
        </is>
      </c>
      <c r="J2823" s="16" t="n">
        <v>0.002</v>
      </c>
    </row>
    <row r="2824">
      <c r="A2824" s="16" t="n">
        <v>2820</v>
      </c>
      <c r="B2824" s="16" t="inlineStr">
        <is>
          <t>Backend</t>
        </is>
      </c>
      <c r="C2824" s="17" t="inlineStr">
        <is>
          <t>realtime-gateway</t>
        </is>
      </c>
      <c r="D2824" s="16" t="inlineStr">
        <is>
          <t>Unit</t>
        </is>
      </c>
      <c r="E2824" s="17" t="inlineStr">
        <is>
          <t>SeatMapWebSocketHandlerTest › Flush</t>
        </is>
      </c>
      <c r="F2824" s="17" t="inlineStr">
        <is>
          <t>flush</t>
        </is>
      </c>
      <c r="G2824" s="17" t="inlineStr">
        <is>
          <t>flush xong thì bộ gộp rỗng: lượt sau không gửi lại</t>
        </is>
      </c>
      <c r="H2824" s="17" t="inlineStr">
        <is>
          <t>khong_gui_lai</t>
        </is>
      </c>
      <c r="I2824" s="16" t="inlineStr">
        <is>
          <t>Đạt</t>
        </is>
      </c>
      <c r="J2824" s="16" t="n">
        <v>0.251</v>
      </c>
    </row>
    <row r="2825">
      <c r="A2825" s="16" t="n">
        <v>2821</v>
      </c>
      <c r="B2825" s="16" t="inlineStr">
        <is>
          <t>Backend</t>
        </is>
      </c>
      <c r="C2825" s="17" t="inlineStr">
        <is>
          <t>realtime-gateway</t>
        </is>
      </c>
      <c r="D2825" s="16" t="inlineStr">
        <is>
          <t>Unit</t>
        </is>
      </c>
      <c r="E2825" s="17" t="inlineStr">
        <is>
          <t>SeatMapWebSocketHandlerTest › Flush</t>
        </is>
      </c>
      <c r="F2825" s="17" t="inlineStr">
        <is>
          <t>flush</t>
        </is>
      </c>
      <c r="G2825" s="17" t="inlineStr">
        <is>
          <t>client chậm làm sendMessage ném: đóng SESSION_NOT_RELIABLE, gỡ khỏi sổ, kết nối khác vẫn nhận</t>
        </is>
      </c>
      <c r="H2825" s="17" t="inlineStr">
        <is>
          <t>client_cham_bi_dong</t>
        </is>
      </c>
      <c r="I2825" s="16" t="inlineStr">
        <is>
          <t>Đạt</t>
        </is>
      </c>
      <c r="J2825" s="16" t="n">
        <v>0.013</v>
      </c>
    </row>
    <row r="2826">
      <c r="A2826" s="16" t="n">
        <v>2822</v>
      </c>
      <c r="B2826" s="16" t="inlineStr">
        <is>
          <t>Backend</t>
        </is>
      </c>
      <c r="C2826" s="17" t="inlineStr">
        <is>
          <t>realtime-gateway</t>
        </is>
      </c>
      <c r="D2826" s="16" t="inlineStr">
        <is>
          <t>Unit</t>
        </is>
      </c>
      <c r="E2826" s="17" t="inlineStr">
        <is>
          <t>SeatMapWebSocketHandlerTest › Flush</t>
        </is>
      </c>
      <c r="F2826" s="17" t="inlineStr">
        <is>
          <t>flush</t>
        </is>
      </c>
      <c r="G2826" s="17" t="inlineStr">
        <is>
          <t>IOException khi gửi cũng bị xử lý như client chậm</t>
        </is>
      </c>
      <c r="H2826" s="17" t="inlineStr">
        <is>
          <t>io_exception</t>
        </is>
      </c>
      <c r="I2826" s="16" t="inlineStr">
        <is>
          <t>Đạt</t>
        </is>
      </c>
      <c r="J2826" s="16" t="n">
        <v>0.004</v>
      </c>
    </row>
    <row r="2827">
      <c r="A2827" s="16" t="n">
        <v>2823</v>
      </c>
      <c r="B2827" s="16" t="inlineStr">
        <is>
          <t>Backend</t>
        </is>
      </c>
      <c r="C2827" s="17" t="inlineStr">
        <is>
          <t>realtime-gateway</t>
        </is>
      </c>
      <c r="D2827" s="16" t="inlineStr">
        <is>
          <t>Unit</t>
        </is>
      </c>
      <c r="E2827" s="17" t="inlineStr">
        <is>
          <t>SeatMapWebSocketHandlerTest › Flush</t>
        </is>
      </c>
      <c r="F2827" s="17" t="inlineStr">
        <is>
          <t>flush</t>
        </is>
      </c>
      <c r="G2827" s="17" t="inlineStr">
        <is>
          <t>mỗi suất đúng một message JSON {type, eventSessionId, version} tới đúng người theo dõi</t>
        </is>
      </c>
      <c r="H2827" s="17" t="inlineStr">
        <is>
          <t>day_thong_bao</t>
        </is>
      </c>
      <c r="I2827" s="16" t="inlineStr">
        <is>
          <t>Đạt</t>
        </is>
      </c>
      <c r="J2827" s="16" t="n">
        <v>0.022</v>
      </c>
    </row>
    <row r="2828">
      <c r="A2828" s="16" t="n">
        <v>2824</v>
      </c>
      <c r="B2828" s="16" t="inlineStr">
        <is>
          <t>Backend</t>
        </is>
      </c>
      <c r="C2828" s="17" t="inlineStr">
        <is>
          <t>realtime-gateway</t>
        </is>
      </c>
      <c r="D2828" s="16" t="inlineStr">
        <is>
          <t>Unit</t>
        </is>
      </c>
      <c r="E2828" s="17" t="inlineStr">
        <is>
          <t>SeatMapWebSocketHandlerTest › Flush</t>
        </is>
      </c>
      <c r="F2828" s="17" t="inlineStr">
        <is>
          <t>flush</t>
        </is>
      </c>
      <c r="G2828" s="17" t="inlineStr">
        <is>
          <t>kết nối đã đóng: bị bỏ qua, không gửi</t>
        </is>
      </c>
      <c r="H2828" s="17" t="inlineStr">
        <is>
          <t>ket_noi_da_dong</t>
        </is>
      </c>
      <c r="I2828" s="16" t="inlineStr">
        <is>
          <t>Đạt</t>
        </is>
      </c>
      <c r="J2828" s="16" t="n">
        <v>0.004</v>
      </c>
    </row>
    <row r="2829">
      <c r="A2829" s="16" t="n">
        <v>2825</v>
      </c>
      <c r="B2829" s="16" t="inlineStr">
        <is>
          <t>Backend</t>
        </is>
      </c>
      <c r="C2829" s="17" t="inlineStr">
        <is>
          <t>realtime-gateway</t>
        </is>
      </c>
      <c r="D2829" s="16" t="inlineStr">
        <is>
          <t>Unit</t>
        </is>
      </c>
      <c r="E2829" s="17" t="inlineStr">
        <is>
          <t>SeatMapWebSocketHandlerTest › Flush</t>
        </is>
      </c>
      <c r="F2829" s="17" t="inlineStr">
        <is>
          <t>flush</t>
        </is>
      </c>
      <c r="G2829" s="17" t="inlineStr">
        <is>
          <t>không có gì để gửi: flush không làm gì</t>
        </is>
      </c>
      <c r="H2829" s="17" t="inlineStr">
        <is>
          <t>khong_co_gi</t>
        </is>
      </c>
      <c r="I2829" s="16" t="inlineStr">
        <is>
          <t>Đạt</t>
        </is>
      </c>
      <c r="J2829" s="16" t="n">
        <v>0.001</v>
      </c>
    </row>
    <row r="2830">
      <c r="A2830" s="16" t="n">
        <v>2826</v>
      </c>
      <c r="B2830" s="16" t="inlineStr">
        <is>
          <t>Backend</t>
        </is>
      </c>
      <c r="C2830" s="17" t="inlineStr">
        <is>
          <t>ticketing-service</t>
        </is>
      </c>
      <c r="D2830" s="16" t="inlineStr">
        <is>
          <t>Unit</t>
        </is>
      </c>
      <c r="E2830" s="17" t="inlineStr">
        <is>
          <t>CheckinAccessTest › DatLai</t>
        </is>
      </c>
      <c r="F2830" s="17" t="inlineStr">
        <is>
          <t>Đặt lại danh sách gán</t>
        </is>
      </c>
      <c r="G2830" s="17" t="inlineStr">
        <is>
          <t>Ghi kèm người gán và thời điểm theo đồng hồ, rồi trả lại trạng thái sau khi ghi</t>
        </is>
      </c>
      <c r="H2830" s="17" t="inlineStr">
        <is>
          <t>dat_lai_va_doc_lai</t>
        </is>
      </c>
      <c r="I2830" s="16" t="inlineStr">
        <is>
          <t>Đạt</t>
        </is>
      </c>
      <c r="J2830" s="16" t="n">
        <v>2.227</v>
      </c>
    </row>
    <row r="2831">
      <c r="A2831" s="16" t="n">
        <v>2827</v>
      </c>
      <c r="B2831" s="16" t="inlineStr">
        <is>
          <t>Backend</t>
        </is>
      </c>
      <c r="C2831" s="17" t="inlineStr">
        <is>
          <t>ticketing-service</t>
        </is>
      </c>
      <c r="D2831" s="16" t="inlineStr">
        <is>
          <t>Unit</t>
        </is>
      </c>
      <c r="E2831" s="17" t="inlineStr">
        <is>
          <t>CheckinAccessTest › NguoiQuanLy</t>
        </is>
      </c>
      <c r="F2831" s="17" t="inlineStr">
        <is>
          <t>Người quản lý sự kiện của tổ chức</t>
        </is>
      </c>
      <c r="G2831" s="17" t="inlineStr">
        <is>
          <t>Không cần được gán, và không tốn một lời gọi sang catalog</t>
        </is>
      </c>
      <c r="H2831" s="17" t="inlineStr">
        <is>
          <t>khong_can_gan</t>
        </is>
      </c>
      <c r="I2831" s="16" t="inlineStr">
        <is>
          <t>Đạt</t>
        </is>
      </c>
      <c r="J2831" s="16" t="n">
        <v>0.006</v>
      </c>
    </row>
    <row r="2832">
      <c r="A2832" s="16" t="n">
        <v>2828</v>
      </c>
      <c r="B2832" s="16" t="inlineStr">
        <is>
          <t>Backend</t>
        </is>
      </c>
      <c r="C2832" s="17" t="inlineStr">
        <is>
          <t>ticketing-service</t>
        </is>
      </c>
      <c r="D2832" s="16" t="inlineStr">
        <is>
          <t>Unit</t>
        </is>
      </c>
      <c r="E2832" s="17" t="inlineStr">
        <is>
          <t>CheckinAccessTest › NhanVien</t>
        </is>
      </c>
      <c r="F2832" s="17" t="inlineStr">
        <is>
          <t>Nhân viên soát vé</t>
        </is>
      </c>
      <c r="G2832" s="17" t="inlineStr">
        <is>
          <t>Catalog không trả lời: KHÔNG cho qua — mất câu trả lời 'có được phép không'</t>
        </is>
      </c>
      <c r="H2832" s="17" t="inlineStr">
        <is>
          <t>catalog_im_lang_thi_tu_choi</t>
        </is>
      </c>
      <c r="I2832" s="16" t="inlineStr">
        <is>
          <t>Đạt</t>
        </is>
      </c>
      <c r="J2832" s="16" t="n">
        <v>0.016</v>
      </c>
    </row>
    <row r="2833">
      <c r="A2833" s="16" t="n">
        <v>2829</v>
      </c>
      <c r="B2833" s="16" t="inlineStr">
        <is>
          <t>Backend</t>
        </is>
      </c>
      <c r="C2833" s="17" t="inlineStr">
        <is>
          <t>ticketing-service</t>
        </is>
      </c>
      <c r="D2833" s="16" t="inlineStr">
        <is>
          <t>Unit</t>
        </is>
      </c>
      <c r="E2833" s="17" t="inlineStr">
        <is>
          <t>CheckinAccessTest › NhanVien</t>
        </is>
      </c>
      <c r="F2833" s="17" t="inlineStr">
        <is>
          <t>Nhân viên soát vé</t>
        </is>
      </c>
      <c r="G2833" s="17" t="inlineStr">
        <is>
          <t>Không được gán sự kiện này: 403 NOT_YOUR_EVENT</t>
        </is>
      </c>
      <c r="H2833" s="17" t="inlineStr">
        <is>
          <t>khong_duoc_gan</t>
        </is>
      </c>
      <c r="I2833" s="16" t="inlineStr">
        <is>
          <t>Đạt</t>
        </is>
      </c>
      <c r="J2833" s="16" t="n">
        <v>0.011</v>
      </c>
    </row>
    <row r="2834">
      <c r="A2834" s="16" t="n">
        <v>2830</v>
      </c>
      <c r="B2834" s="16" t="inlineStr">
        <is>
          <t>Backend</t>
        </is>
      </c>
      <c r="C2834" s="17" t="inlineStr">
        <is>
          <t>ticketing-service</t>
        </is>
      </c>
      <c r="D2834" s="16" t="inlineStr">
        <is>
          <t>Unit</t>
        </is>
      </c>
      <c r="E2834" s="17" t="inlineStr">
        <is>
          <t>CheckinAccessTest › NhanVien</t>
        </is>
      </c>
      <c r="F2834" s="17" t="inlineStr">
        <is>
          <t>Nhân viên soát vé</t>
        </is>
      </c>
      <c r="G2834" s="17" t="inlineStr">
        <is>
          <t>Kiểm việc gán theo id sự kiện, không nhầm với id suất diễn</t>
        </is>
      </c>
      <c r="H2834" s="17" t="inlineStr">
        <is>
          <t>kiem_theo_su_kien_khong_theo_suat</t>
        </is>
      </c>
      <c r="I2834" s="16" t="inlineStr">
        <is>
          <t>Đạt</t>
        </is>
      </c>
      <c r="J2834" s="16" t="n">
        <v>0.003</v>
      </c>
    </row>
    <row r="2835">
      <c r="A2835" s="16" t="n">
        <v>2831</v>
      </c>
      <c r="B2835" s="16" t="inlineStr">
        <is>
          <t>Backend</t>
        </is>
      </c>
      <c r="C2835" s="17" t="inlineStr">
        <is>
          <t>ticketing-service</t>
        </is>
      </c>
      <c r="D2835" s="16" t="inlineStr">
        <is>
          <t>Unit</t>
        </is>
      </c>
      <c r="E2835" s="17" t="inlineStr">
        <is>
          <t>CheckinAccessTest › NhanVien</t>
        </is>
      </c>
      <c r="F2835" s="17" t="inlineStr">
        <is>
          <t>Nhân viên soát vé</t>
        </is>
      </c>
      <c r="G2835" s="17" t="inlineStr">
        <is>
          <t>Được gán vào SỰ KIỆN chứa suất này: cho qua</t>
        </is>
      </c>
      <c r="H2835" s="17" t="inlineStr">
        <is>
          <t>duoc_gan_su_kien</t>
        </is>
      </c>
      <c r="I2835" s="16" t="inlineStr">
        <is>
          <t>Đạt</t>
        </is>
      </c>
      <c r="J2835" s="16" t="n">
        <v>0.005</v>
      </c>
    </row>
    <row r="2836">
      <c r="A2836" s="16" t="n">
        <v>2832</v>
      </c>
      <c r="B2836" s="16" t="inlineStr">
        <is>
          <t>Backend</t>
        </is>
      </c>
      <c r="C2836" s="17" t="inlineStr">
        <is>
          <t>ticketing-service</t>
        </is>
      </c>
      <c r="D2836" s="16" t="inlineStr">
        <is>
          <t>Unit</t>
        </is>
      </c>
      <c r="E2836" s="17" t="inlineStr">
        <is>
          <t>CheckInHandlerTest › ChoVaoThuCong</t>
        </is>
      </c>
      <c r="F2836" s="17" t="inlineStr">
        <is>
          <t>Cho vào thủ công</t>
        </is>
      </c>
      <c r="G2836" s="17" t="inlineStr">
        <is>
          <t>Vé vừa được quét Ra trước lúc ghi đè: rơi về lượt Vào thường</t>
        </is>
      </c>
      <c r="H2836" s="17" t="inlineStr">
        <is>
          <t>ghi_de_nhung_ve_vua_ra</t>
        </is>
      </c>
      <c r="I2836" s="16" t="inlineStr">
        <is>
          <t>Đạt</t>
        </is>
      </c>
      <c r="J2836" s="16" t="n">
        <v>0.236</v>
      </c>
    </row>
    <row r="2837">
      <c r="A2837" s="16" t="n">
        <v>2833</v>
      </c>
      <c r="B2837" s="16" t="inlineStr">
        <is>
          <t>Backend</t>
        </is>
      </c>
      <c r="C2837" s="17" t="inlineStr">
        <is>
          <t>ticketing-service</t>
        </is>
      </c>
      <c r="D2837" s="16" t="inlineStr">
        <is>
          <t>Unit</t>
        </is>
      </c>
      <c r="E2837" s="17" t="inlineStr">
        <is>
          <t>CheckInHandlerTest › ChoVaoThuCong</t>
        </is>
      </c>
      <c r="F2837" s="17" t="inlineStr">
        <is>
          <t>Cho vào thủ công</t>
        </is>
      </c>
      <c r="G2837" s="17" t="inlineStr">
        <is>
          <t>Vé đang ở trong, có lý do: ghi đè, lý do vào nhật ký, phương thức OVERRIDE</t>
        </is>
      </c>
      <c r="H2837" s="17" t="inlineStr">
        <is>
          <t>ghi_de_co_ly_do</t>
        </is>
      </c>
      <c r="I2837" s="16" t="inlineStr">
        <is>
          <t>Đạt</t>
        </is>
      </c>
      <c r="J2837" s="16" t="n">
        <v>0.008</v>
      </c>
    </row>
    <row r="2838">
      <c r="A2838" s="16" t="n">
        <v>2834</v>
      </c>
      <c r="B2838" s="16" t="inlineStr">
        <is>
          <t>Backend</t>
        </is>
      </c>
      <c r="C2838" s="17" t="inlineStr">
        <is>
          <t>ticketing-service</t>
        </is>
      </c>
      <c r="D2838" s="16" t="inlineStr">
        <is>
          <t>Unit</t>
        </is>
      </c>
      <c r="E2838" s="17" t="inlineStr">
        <is>
          <t>CheckInHandlerTest › ChoVaoThuCong</t>
        </is>
      </c>
      <c r="F2838" s="17" t="inlineStr">
        <is>
          <t>Cho vào thủ công</t>
        </is>
      </c>
      <c r="G2838" s="17" t="inlineStr">
        <is>
          <t>Ghi đè không cứu được vé thu hồi</t>
        </is>
      </c>
      <c r="H2838" s="17" t="inlineStr">
        <is>
          <t>ghi_de_khong_cuu_ve_thu_hoi</t>
        </is>
      </c>
      <c r="I2838" s="16" t="inlineStr">
        <is>
          <t>Đạt</t>
        </is>
      </c>
      <c r="J2838" s="16" t="n">
        <v>0.006</v>
      </c>
    </row>
    <row r="2839">
      <c r="A2839" s="16" t="n">
        <v>2835</v>
      </c>
      <c r="B2839" s="16" t="inlineStr">
        <is>
          <t>Backend</t>
        </is>
      </c>
      <c r="C2839" s="17" t="inlineStr">
        <is>
          <t>ticketing-service</t>
        </is>
      </c>
      <c r="D2839" s="16" t="inlineStr">
        <is>
          <t>Unit</t>
        </is>
      </c>
      <c r="E2839" s="17" t="inlineStr">
        <is>
          <t>CheckInHandlerTest › ChoVaoThuCong</t>
        </is>
      </c>
      <c r="F2839" s="17" t="inlineStr">
        <is>
          <t>Cho vào thủ công</t>
        </is>
      </c>
      <c r="G2839" s="17" t="inlineStr">
        <is>
          <t>Ghi đè mà không có lý do: từ chối, không đổi trạng thái vé</t>
        </is>
      </c>
      <c r="H2839" s="17" t="inlineStr">
        <is>
          <t>ghi_de_khong_ly_do</t>
        </is>
      </c>
      <c r="I2839" s="16" t="inlineStr">
        <is>
          <t>Đạt</t>
        </is>
      </c>
      <c r="J2839" s="16" t="n">
        <v>0.005</v>
      </c>
    </row>
    <row r="2840">
      <c r="A2840" s="16" t="n">
        <v>2836</v>
      </c>
      <c r="B2840" s="16" t="inlineStr">
        <is>
          <t>Backend</t>
        </is>
      </c>
      <c r="C2840" s="17" t="inlineStr">
        <is>
          <t>ticketing-service</t>
        </is>
      </c>
      <c r="D2840" s="16" t="inlineStr">
        <is>
          <t>Unit</t>
        </is>
      </c>
      <c r="E2840" s="17" t="inlineStr">
        <is>
          <t>CheckInHandlerTest › DuongThanhCong</t>
        </is>
      </c>
      <c r="F2840" s="17" t="inlineStr">
        <is>
          <t>Đường thành công</t>
        </is>
      </c>
      <c r="G2840" s="17" t="inlineStr">
        <is>
          <t>Catalog im lặng: bỏ qua kiểm giờ, vẫn cho vào; sự kiện check-in không có tên sự kiện</t>
        </is>
      </c>
      <c r="H2840" s="17" t="inlineStr">
        <is>
          <t>catalog_im_lang_van_cho_vao</t>
        </is>
      </c>
      <c r="I2840" s="16" t="inlineStr">
        <is>
          <t>Đạt</t>
        </is>
      </c>
      <c r="J2840" s="16" t="n">
        <v>0.004</v>
      </c>
    </row>
    <row r="2841">
      <c r="A2841" s="16" t="n">
        <v>2837</v>
      </c>
      <c r="B2841" s="16" t="inlineStr">
        <is>
          <t>Backend</t>
        </is>
      </c>
      <c r="C2841" s="17" t="inlineStr">
        <is>
          <t>ticketing-service</t>
        </is>
      </c>
      <c r="D2841" s="16" t="inlineStr">
        <is>
          <t>Unit</t>
        </is>
      </c>
      <c r="E2841" s="17" t="inlineStr">
        <is>
          <t>CheckInHandlerTest › DuongThanhCong</t>
        </is>
      </c>
      <c r="F2841" s="17" t="inlineStr">
        <is>
          <t>Đường thành công</t>
        </is>
      </c>
      <c r="G2841" s="17" t="inlineStr">
        <is>
          <t>Mã vé gõ tay: tìm theo tiền tố trong tổ chức, không đụng tới chữ ký, ghi phương thức CODE</t>
        </is>
      </c>
      <c r="H2841" s="17" t="inlineStr">
        <is>
          <t>ma_go_tay</t>
        </is>
      </c>
      <c r="I2841" s="16" t="inlineStr">
        <is>
          <t>Đạt</t>
        </is>
      </c>
      <c r="J2841" s="16" t="n">
        <v>0.004</v>
      </c>
    </row>
    <row r="2842">
      <c r="A2842" s="16" t="n">
        <v>2838</v>
      </c>
      <c r="B2842" s="16" t="inlineStr">
        <is>
          <t>Backend</t>
        </is>
      </c>
      <c r="C2842" s="17" t="inlineStr">
        <is>
          <t>ticketing-service</t>
        </is>
      </c>
      <c r="D2842" s="16" t="inlineStr">
        <is>
          <t>Unit</t>
        </is>
      </c>
      <c r="E2842" s="17" t="inlineStr">
        <is>
          <t>CheckInHandlerTest › DuongThanhCong</t>
        </is>
      </c>
      <c r="F2842" s="17" t="inlineStr">
        <is>
          <t>Đường thành công</t>
        </is>
      </c>
      <c r="G2842" s="17" t="inlineStr">
        <is>
          <t>Vào lại sau khi đã ra: cho vào, ghi chú 'Vào lại lần n', KHÔNG báo khách lần nữa</t>
        </is>
      </c>
      <c r="H2842" s="17" t="inlineStr">
        <is>
          <t>vao_lai_khong_bao_khach</t>
        </is>
      </c>
      <c r="I2842" s="16" t="inlineStr">
        <is>
          <t>Đạt</t>
        </is>
      </c>
      <c r="J2842" s="16" t="n">
        <v>0.002</v>
      </c>
    </row>
    <row r="2843">
      <c r="A2843" s="16" t="n">
        <v>2839</v>
      </c>
      <c r="B2843" s="16" t="inlineStr">
        <is>
          <t>Backend</t>
        </is>
      </c>
      <c r="C2843" s="17" t="inlineStr">
        <is>
          <t>ticketing-service</t>
        </is>
      </c>
      <c r="D2843" s="16" t="inlineStr">
        <is>
          <t>Unit</t>
        </is>
      </c>
      <c r="E2843" s="17" t="inlineStr">
        <is>
          <t>CheckInHandlerTest › DuongThanhCong</t>
        </is>
      </c>
      <c r="F2843" s="17" t="inlineStr">
        <is>
          <t>Đường thành công</t>
        </is>
      </c>
      <c r="G2843" s="17" t="inlineStr">
        <is>
          <t>Quét Ra vé đang ở trong: EXITED, giữ lần vào gần nhất để nhân viên đối chiếu</t>
        </is>
      </c>
      <c r="H2843" s="17" t="inlineStr">
        <is>
          <t>quet_ra</t>
        </is>
      </c>
      <c r="I2843" s="16" t="inlineStr">
        <is>
          <t>Đạt</t>
        </is>
      </c>
      <c r="J2843" s="16" t="n">
        <v>0.003</v>
      </c>
    </row>
    <row r="2844">
      <c r="A2844" s="16" t="n">
        <v>2840</v>
      </c>
      <c r="B2844" s="16" t="inlineStr">
        <is>
          <t>Backend</t>
        </is>
      </c>
      <c r="C2844" s="17" t="inlineStr">
        <is>
          <t>ticketing-service</t>
        </is>
      </c>
      <c r="D2844" s="16" t="inlineStr">
        <is>
          <t>Unit</t>
        </is>
      </c>
      <c r="E2844" s="17" t="inlineStr">
        <is>
          <t>CheckInHandlerTest › DuongThanhCong</t>
        </is>
      </c>
      <c r="F2844" s="17" t="inlineStr">
        <is>
          <t>Đường thành công</t>
        </is>
      </c>
      <c r="G2844" s="17" t="inlineStr">
        <is>
          <t>Quét Ra sau khi suất đã kết thúc vẫn được — không thì số 'đang ở trong' không về 0</t>
        </is>
      </c>
      <c r="H2844" s="17" t="inlineStr">
        <is>
          <t>quet_ra_sau_khi_suat_ket_thuc</t>
        </is>
      </c>
      <c r="I2844" s="16" t="inlineStr">
        <is>
          <t>Đạt</t>
        </is>
      </c>
      <c r="J2844" s="16" t="n">
        <v>0.003</v>
      </c>
    </row>
    <row r="2845">
      <c r="A2845" s="16" t="n">
        <v>2841</v>
      </c>
      <c r="B2845" s="16" t="inlineStr">
        <is>
          <t>Backend</t>
        </is>
      </c>
      <c r="C2845" s="17" t="inlineStr">
        <is>
          <t>ticketing-service</t>
        </is>
      </c>
      <c r="D2845" s="16" t="inlineStr">
        <is>
          <t>Unit</t>
        </is>
      </c>
      <c r="E2845" s="17" t="inlineStr">
        <is>
          <t>CheckInHandlerTest › DuongThanhCong</t>
        </is>
      </c>
      <c r="F2845" s="17" t="inlineStr">
        <is>
          <t>Đường thành công</t>
        </is>
      </c>
      <c r="G2845" s="17" t="inlineStr">
        <is>
          <t>QR hợp lệ, vé đúng suất, cửa đang mở: cho vào, ghi nhật ký, báo khách lần đầu</t>
        </is>
      </c>
      <c r="H2845" s="17" t="inlineStr">
        <is>
          <t>qr_hop_le_cho_vao</t>
        </is>
      </c>
      <c r="I2845" s="16" t="inlineStr">
        <is>
          <t>Đạt</t>
        </is>
      </c>
      <c r="J2845" s="16" t="n">
        <v>0.003</v>
      </c>
    </row>
    <row r="2846">
      <c r="A2846" s="16" t="n">
        <v>2842</v>
      </c>
      <c r="B2846" s="16" t="inlineStr">
        <is>
          <t>Backend</t>
        </is>
      </c>
      <c r="C2846" s="17" t="inlineStr">
        <is>
          <t>ticketing-service</t>
        </is>
      </c>
      <c r="D2846" s="16" t="inlineStr">
        <is>
          <t>Unit</t>
        </is>
      </c>
      <c r="E2846" s="17" t="inlineStr">
        <is>
          <t>CheckInHandlerTest › HaiMayCungLuc</t>
        </is>
      </c>
      <c r="F2846" s="17" t="inlineStr">
        <is>
          <t>Hai máy quét cùng lúc</t>
        </is>
      </c>
      <c r="G2846" s="17" t="inlineStr">
        <is>
          <t>Thua cuộc đua lúc vào: ALREADY_CHECKED_IN 'ngay lúc này', không báo khách</t>
        </is>
      </c>
      <c r="H2846" s="17" t="inlineStr">
        <is>
          <t>thua_cuoc_dua_vao</t>
        </is>
      </c>
      <c r="I2846" s="16" t="inlineStr">
        <is>
          <t>Đạt</t>
        </is>
      </c>
      <c r="J2846" s="16" t="n">
        <v>0.004</v>
      </c>
    </row>
    <row r="2847">
      <c r="A2847" s="16" t="n">
        <v>2843</v>
      </c>
      <c r="B2847" s="16" t="inlineStr">
        <is>
          <t>Backend</t>
        </is>
      </c>
      <c r="C2847" s="17" t="inlineStr">
        <is>
          <t>ticketing-service</t>
        </is>
      </c>
      <c r="D2847" s="16" t="inlineStr">
        <is>
          <t>Unit</t>
        </is>
      </c>
      <c r="E2847" s="17" t="inlineStr">
        <is>
          <t>CheckInHandlerTest › HaiMayCungLuc</t>
        </is>
      </c>
      <c r="F2847" s="17" t="inlineStr">
        <is>
          <t>Hai máy quét cùng lúc</t>
        </is>
      </c>
      <c r="G2847" s="17" t="inlineStr">
        <is>
          <t>Thua cuộc đua lúc ra: NOT_INSIDE kèm lý do trong nhật ký</t>
        </is>
      </c>
      <c r="H2847" s="17" t="inlineStr">
        <is>
          <t>thua_cuoc_dua_ra</t>
        </is>
      </c>
      <c r="I2847" s="16" t="inlineStr">
        <is>
          <t>Đạt</t>
        </is>
      </c>
      <c r="J2847" s="16" t="n">
        <v>0.004</v>
      </c>
    </row>
    <row r="2848">
      <c r="A2848" s="16" t="n">
        <v>2844</v>
      </c>
      <c r="B2848" s="16" t="inlineStr">
        <is>
          <t>Backend</t>
        </is>
      </c>
      <c r="C2848" s="17" t="inlineStr">
        <is>
          <t>ticketing-service</t>
        </is>
      </c>
      <c r="D2848" s="16" t="inlineStr">
        <is>
          <t>Unit</t>
        </is>
      </c>
      <c r="E2848" s="17" t="inlineStr">
        <is>
          <t>CheckInHandlerTest › KhungGio</t>
        </is>
      </c>
      <c r="F2848" s="17" t="inlineStr">
        <is>
          <t>Khung giờ cửa</t>
        </is>
      </c>
      <c r="G2848" s="17" t="inlineStr">
        <is>
          <t>Suất đã kết thúc: SESSION_ENDED, vé không bị ghi là đã vào</t>
        </is>
      </c>
      <c r="H2848" s="17" t="inlineStr">
        <is>
          <t>suat_da_ket_thuc</t>
        </is>
      </c>
      <c r="I2848" s="16" t="inlineStr">
        <is>
          <t>Đạt</t>
        </is>
      </c>
      <c r="J2848" s="16" t="n">
        <v>0.005</v>
      </c>
    </row>
    <row r="2849">
      <c r="A2849" s="16" t="n">
        <v>2845</v>
      </c>
      <c r="B2849" s="16" t="inlineStr">
        <is>
          <t>Backend</t>
        </is>
      </c>
      <c r="C2849" s="17" t="inlineStr">
        <is>
          <t>ticketing-service</t>
        </is>
      </c>
      <c r="D2849" s="16" t="inlineStr">
        <is>
          <t>Unit</t>
        </is>
      </c>
      <c r="E2849" s="17" t="inlineStr">
        <is>
          <t>CheckInHandlerTest › KhungGio</t>
        </is>
      </c>
      <c r="F2849" s="17" t="inlineStr">
        <is>
          <t>Khung giờ cửa</t>
        </is>
      </c>
      <c r="G2849" s="17" t="inlineStr">
        <is>
          <t>Chưa tới giờ mở cổng (sớm hơn 2 giờ trước giờ diễn một giây): NOT_OPEN_YET</t>
        </is>
      </c>
      <c r="H2849" s="17" t="inlineStr">
        <is>
          <t>chua_mo_cong</t>
        </is>
      </c>
      <c r="I2849" s="16" t="inlineStr">
        <is>
          <t>Đạt</t>
        </is>
      </c>
      <c r="J2849" s="16" t="n">
        <v>0.003</v>
      </c>
    </row>
    <row r="2850">
      <c r="A2850" s="16" t="n">
        <v>2846</v>
      </c>
      <c r="B2850" s="16" t="inlineStr">
        <is>
          <t>Backend</t>
        </is>
      </c>
      <c r="C2850" s="17" t="inlineStr">
        <is>
          <t>ticketing-service</t>
        </is>
      </c>
      <c r="D2850" s="16" t="inlineStr">
        <is>
          <t>Unit</t>
        </is>
      </c>
      <c r="E2850" s="17" t="inlineStr">
        <is>
          <t>CheckInHandlerTest › KhungGio</t>
        </is>
      </c>
      <c r="F2850" s="17" t="inlineStr">
        <is>
          <t>Khung giờ cửa</t>
        </is>
      </c>
      <c r="G2850" s="17" t="inlineStr">
        <is>
          <t>Đúng giây mở cổng: cho vào</t>
        </is>
      </c>
      <c r="H2850" s="17" t="inlineStr">
        <is>
          <t>dung_gio_mo_cong</t>
        </is>
      </c>
      <c r="I2850" s="16" t="inlineStr">
        <is>
          <t>Đạt</t>
        </is>
      </c>
      <c r="J2850" s="16" t="n">
        <v>0.003</v>
      </c>
    </row>
    <row r="2851">
      <c r="A2851" s="16" t="n">
        <v>2847</v>
      </c>
      <c r="B2851" s="16" t="inlineStr">
        <is>
          <t>Backend</t>
        </is>
      </c>
      <c r="C2851" s="17" t="inlineStr">
        <is>
          <t>ticketing-service</t>
        </is>
      </c>
      <c r="D2851" s="16" t="inlineStr">
        <is>
          <t>Unit</t>
        </is>
      </c>
      <c r="E2851" s="17" t="inlineStr">
        <is>
          <t>CheckInHandlerTest › MaKhongHopLe</t>
        </is>
      </c>
      <c r="F2851" s="17" t="inlineStr">
        <is>
          <t>Mã không hợp lệ</t>
        </is>
      </c>
      <c r="G2851" s="17" t="inlineStr">
        <is>
          <t>Chữ ký sai hoặc token bị sửa: INVALID_TOKEN, không tra database, không lộ gì</t>
        </is>
      </c>
      <c r="H2851" s="17" t="inlineStr">
        <is>
          <t>chu_ky_sai</t>
        </is>
      </c>
      <c r="I2851" s="16" t="inlineStr">
        <is>
          <t>Đạt</t>
        </is>
      </c>
      <c r="J2851" s="16" t="n">
        <v>0.003</v>
      </c>
    </row>
    <row r="2852">
      <c r="A2852" s="16" t="n">
        <v>2848</v>
      </c>
      <c r="B2852" s="16" t="inlineStr">
        <is>
          <t>Backend</t>
        </is>
      </c>
      <c r="C2852" s="17" t="inlineStr">
        <is>
          <t>ticketing-service</t>
        </is>
      </c>
      <c r="D2852" s="16" t="inlineStr">
        <is>
          <t>Unit</t>
        </is>
      </c>
      <c r="E2852" s="17" t="inlineStr">
        <is>
          <t>CheckInHandlerTest › MaKhongHopLe</t>
        </is>
      </c>
      <c r="F2852" s="17" t="inlineStr">
        <is>
          <t>Mã không hợp lệ</t>
        </is>
      </c>
      <c r="G2852" s="17" t="inlineStr">
        <is>
          <t>Mã gõ tay ngắn hơn 8 ký tự: từ chối mà không tra database</t>
        </is>
      </c>
      <c r="H2852" s="17" t="inlineStr">
        <is>
          <t>ma_go_tay_qua_ngan</t>
        </is>
      </c>
      <c r="I2852" s="16" t="inlineStr">
        <is>
          <t>Đạt</t>
        </is>
      </c>
      <c r="J2852" s="16" t="n">
        <v>0.003</v>
      </c>
    </row>
    <row r="2853">
      <c r="A2853" s="16" t="n">
        <v>2849</v>
      </c>
      <c r="B2853" s="16" t="inlineStr">
        <is>
          <t>Backend</t>
        </is>
      </c>
      <c r="C2853" s="17" t="inlineStr">
        <is>
          <t>ticketing-service</t>
        </is>
      </c>
      <c r="D2853" s="16" t="inlineStr">
        <is>
          <t>Unit</t>
        </is>
      </c>
      <c r="E2853" s="17" t="inlineStr">
        <is>
          <t>CheckInHandlerTest › MaKhongHopLe</t>
        </is>
      </c>
      <c r="F2853" s="17" t="inlineStr">
        <is>
          <t>Mã không hợp lệ</t>
        </is>
      </c>
      <c r="G2853" s="17" t="inlineStr">
        <is>
          <t>Mã gõ tay trùng hai vé: yêu cầu gõ thêm, không đoán bừa vé nào</t>
        </is>
      </c>
      <c r="H2853" s="17" t="inlineStr">
        <is>
          <t>ma_go_tay_trung</t>
        </is>
      </c>
      <c r="I2853" s="16" t="inlineStr">
        <is>
          <t>Đạt</t>
        </is>
      </c>
      <c r="J2853" s="16" t="n">
        <v>0.003</v>
      </c>
    </row>
    <row r="2854">
      <c r="A2854" s="16" t="n">
        <v>2850</v>
      </c>
      <c r="B2854" s="16" t="inlineStr">
        <is>
          <t>Backend</t>
        </is>
      </c>
      <c r="C2854" s="17" t="inlineStr">
        <is>
          <t>ticketing-service</t>
        </is>
      </c>
      <c r="D2854" s="16" t="inlineStr">
        <is>
          <t>Unit</t>
        </is>
      </c>
      <c r="E2854" s="17" t="inlineStr">
        <is>
          <t>CheckInHandlerTest › MaKhongHopLe</t>
        </is>
      </c>
      <c r="F2854" s="17" t="inlineStr">
        <is>
          <t>Mã không hợp lệ</t>
        </is>
      </c>
      <c r="G2854" s="17" t="inlineStr">
        <is>
          <t>Mã gõ tay chứa ký tự lạ (thử ký tự đại diện của LIKE): từ chối mà không tra database</t>
        </is>
      </c>
      <c r="H2854" s="17" t="inlineStr">
        <is>
          <t>ma_go_tay_ky_tu_la</t>
        </is>
      </c>
      <c r="I2854" s="16" t="inlineStr">
        <is>
          <t>Đạt</t>
        </is>
      </c>
      <c r="J2854" s="16" t="n">
        <v>0.003</v>
      </c>
    </row>
    <row r="2855">
      <c r="A2855" s="16" t="n">
        <v>2851</v>
      </c>
      <c r="B2855" s="16" t="inlineStr">
        <is>
          <t>Backend</t>
        </is>
      </c>
      <c r="C2855" s="17" t="inlineStr">
        <is>
          <t>ticketing-service</t>
        </is>
      </c>
      <c r="D2855" s="16" t="inlineStr">
        <is>
          <t>Unit</t>
        </is>
      </c>
      <c r="E2855" s="17" t="inlineStr">
        <is>
          <t>CheckInHandlerTest › MaKhongHopLe</t>
        </is>
      </c>
      <c r="F2855" s="17" t="inlineStr">
        <is>
          <t>Mã không hợp lệ</t>
        </is>
      </c>
      <c r="G2855" s="17" t="inlineStr">
        <is>
          <t>Chữ ký đúng nhưng không có vé mang mã đó: NOT_FOUND</t>
        </is>
      </c>
      <c r="H2855" s="17" t="inlineStr">
        <is>
          <t>chu_ky_dung_khong_co_ve</t>
        </is>
      </c>
      <c r="I2855" s="16" t="inlineStr">
        <is>
          <t>Đạt</t>
        </is>
      </c>
      <c r="J2855" s="16" t="n">
        <v>0.003</v>
      </c>
    </row>
    <row r="2856">
      <c r="A2856" s="16" t="n">
        <v>2852</v>
      </c>
      <c r="B2856" s="16" t="inlineStr">
        <is>
          <t>Backend</t>
        </is>
      </c>
      <c r="C2856" s="17" t="inlineStr">
        <is>
          <t>ticketing-service</t>
        </is>
      </c>
      <c r="D2856" s="16" t="inlineStr">
        <is>
          <t>Unit</t>
        </is>
      </c>
      <c r="E2856" s="17" t="inlineStr">
        <is>
          <t>CheckInHandlerTest › MaKhongHopLe</t>
        </is>
      </c>
      <c r="F2856" s="17" t="inlineStr">
        <is>
          <t>Mã không hợp lệ</t>
        </is>
      </c>
      <c r="G2856" s="17" t="inlineStr">
        <is>
          <t>Không gửi QR lẫn mã vé: INVALID_TOKEN, không gọi bộ kiểm chữ ký với chuỗi rỗng</t>
        </is>
      </c>
      <c r="H2856" s="17" t="inlineStr">
        <is>
          <t>khong_gui_gi</t>
        </is>
      </c>
      <c r="I2856" s="16" t="inlineStr">
        <is>
          <t>Đạt</t>
        </is>
      </c>
      <c r="J2856" s="16" t="n">
        <v>0.002</v>
      </c>
    </row>
    <row r="2857">
      <c r="A2857" s="16" t="n">
        <v>2853</v>
      </c>
      <c r="B2857" s="16" t="inlineStr">
        <is>
          <t>Backend</t>
        </is>
      </c>
      <c r="C2857" s="17" t="inlineStr">
        <is>
          <t>ticketing-service</t>
        </is>
      </c>
      <c r="D2857" s="16" t="inlineStr">
        <is>
          <t>Unit</t>
        </is>
      </c>
      <c r="E2857" s="17" t="inlineStr">
        <is>
          <t>CheckInHandlerTest › PhanQuyen</t>
        </is>
      </c>
      <c r="F2857" s="17" t="inlineStr">
        <is>
          <t>Phân quyền và sai vé</t>
        </is>
      </c>
      <c r="G2857" s="17" t="inlineStr">
        <is>
          <t>Vé của tổ chức khác: từ chối, KHÔNG trả nhãn ghế hay tên khách, vẫn ghi nhật ký kèm id vé</t>
        </is>
      </c>
      <c r="H2857" s="17" t="inlineStr">
        <is>
          <t>ve_cua_to_chuc_khac</t>
        </is>
      </c>
      <c r="I2857" s="16" t="inlineStr">
        <is>
          <t>Đạt</t>
        </is>
      </c>
      <c r="J2857" s="16" t="n">
        <v>0.005</v>
      </c>
    </row>
    <row r="2858">
      <c r="A2858" s="16" t="n">
        <v>2854</v>
      </c>
      <c r="B2858" s="16" t="inlineStr">
        <is>
          <t>Backend</t>
        </is>
      </c>
      <c r="C2858" s="17" t="inlineStr">
        <is>
          <t>ticketing-service</t>
        </is>
      </c>
      <c r="D2858" s="16" t="inlineStr">
        <is>
          <t>Unit</t>
        </is>
      </c>
      <c r="E2858" s="17" t="inlineStr">
        <is>
          <t>CheckInHandlerTest › PhanQuyen</t>
        </is>
      </c>
      <c r="F2858" s="17" t="inlineStr">
        <is>
          <t>Phân quyền và sai vé</t>
        </is>
      </c>
      <c r="G2858" s="17" t="inlineStr">
        <is>
          <t>Vé đúng tổ chức nhưng của suất khác: WRONG_SESSION, chỉ ra suất của vé</t>
        </is>
      </c>
      <c r="H2858" s="17" t="inlineStr">
        <is>
          <t>ve_suat_khac</t>
        </is>
      </c>
      <c r="I2858" s="16" t="inlineStr">
        <is>
          <t>Đạt</t>
        </is>
      </c>
      <c r="J2858" s="16" t="n">
        <v>0.003</v>
      </c>
    </row>
    <row r="2859">
      <c r="A2859" s="16" t="n">
        <v>2855</v>
      </c>
      <c r="B2859" s="16" t="inlineStr">
        <is>
          <t>Backend</t>
        </is>
      </c>
      <c r="C2859" s="17" t="inlineStr">
        <is>
          <t>ticketing-service</t>
        </is>
      </c>
      <c r="D2859" s="16" t="inlineStr">
        <is>
          <t>Unit</t>
        </is>
      </c>
      <c r="E2859" s="17" t="inlineStr">
        <is>
          <t>CheckInHandlerTest › PhanQuyen</t>
        </is>
      </c>
      <c r="F2859" s="17" t="inlineStr">
        <is>
          <t>Phân quyền và sai vé</t>
        </is>
      </c>
      <c r="G2859" s="17" t="inlineStr">
        <is>
          <t>Vé đã thu hồi: REVOKED ở cả hai hướng</t>
        </is>
      </c>
      <c r="H2859" s="17" t="inlineStr">
        <is>
          <t>ve_thu_hoi</t>
        </is>
      </c>
      <c r="I2859" s="16" t="inlineStr">
        <is>
          <t>Đạt</t>
        </is>
      </c>
      <c r="J2859" s="16" t="n">
        <v>0.004</v>
      </c>
    </row>
    <row r="2860">
      <c r="A2860" s="16" t="n">
        <v>2856</v>
      </c>
      <c r="B2860" s="16" t="inlineStr">
        <is>
          <t>Backend</t>
        </is>
      </c>
      <c r="C2860" s="17" t="inlineStr">
        <is>
          <t>ticketing-service</t>
        </is>
      </c>
      <c r="D2860" s="16" t="inlineStr">
        <is>
          <t>Unit</t>
        </is>
      </c>
      <c r="E2860" s="17" t="inlineStr">
        <is>
          <t>CheckInHandlerTest › VaoRaVaoLai</t>
        </is>
      </c>
      <c r="F2860" s="17" t="inlineStr">
        <is>
          <t>Vào, ra, vào lại</t>
        </is>
      </c>
      <c r="G2860" s="17" t="inlineStr">
        <is>
          <t>Tắt vào lại không chặn lần vào ĐẦU TIÊN, và cấu hình được truyền xuống câu UPDATE</t>
        </is>
      </c>
      <c r="H2860" s="17" t="inlineStr">
        <is>
          <t>tat_vao_lai_van_cho_lan_dau</t>
        </is>
      </c>
      <c r="I2860" s="16" t="inlineStr">
        <is>
          <t>Đạt</t>
        </is>
      </c>
      <c r="J2860" s="16" t="n">
        <v>0.005</v>
      </c>
    </row>
    <row r="2861">
      <c r="A2861" s="16" t="n">
        <v>2857</v>
      </c>
      <c r="B2861" s="16" t="inlineStr">
        <is>
          <t>Backend</t>
        </is>
      </c>
      <c r="C2861" s="17" t="inlineStr">
        <is>
          <t>ticketing-service</t>
        </is>
      </c>
      <c r="D2861" s="16" t="inlineStr">
        <is>
          <t>Unit</t>
        </is>
      </c>
      <c r="E2861" s="17" t="inlineStr">
        <is>
          <t>CheckInHandlerTest › VaoRaVaoLai</t>
        </is>
      </c>
      <c r="F2861" s="17" t="inlineStr">
        <is>
          <t>Vào, ra, vào lại</t>
        </is>
      </c>
      <c r="G2861" s="17" t="inlineStr">
        <is>
          <t>Tắt vào lại: vé đã ra ngoài bị từ chối REENTRY_NOT_ALLOWED</t>
        </is>
      </c>
      <c r="H2861" s="17" t="inlineStr">
        <is>
          <t>tat_vao_lai</t>
        </is>
      </c>
      <c r="I2861" s="16" t="inlineStr">
        <is>
          <t>Đạt</t>
        </is>
      </c>
      <c r="J2861" s="16" t="n">
        <v>0.002</v>
      </c>
    </row>
    <row r="2862">
      <c r="A2862" s="16" t="n">
        <v>2858</v>
      </c>
      <c r="B2862" s="16" t="inlineStr">
        <is>
          <t>Backend</t>
        </is>
      </c>
      <c r="C2862" s="17" t="inlineStr">
        <is>
          <t>ticketing-service</t>
        </is>
      </c>
      <c r="D2862" s="16" t="inlineStr">
        <is>
          <t>Unit</t>
        </is>
      </c>
      <c r="E2862" s="17" t="inlineStr">
        <is>
          <t>CheckInHandlerTest › VaoRaVaoLai</t>
        </is>
      </c>
      <c r="F2862" s="17" t="inlineStr">
        <is>
          <t>Vào, ra, vào lại</t>
        </is>
      </c>
      <c r="G2862" s="17" t="inlineStr">
        <is>
          <t>Vé đang ở trong quét Vào lần nữa: ALREADY_CHECKED_IN kèm lúc vào và cổng vào trước</t>
        </is>
      </c>
      <c r="H2862" s="17" t="inlineStr">
        <is>
          <t>dang_o_trong</t>
        </is>
      </c>
      <c r="I2862" s="16" t="inlineStr">
        <is>
          <t>Đạt</t>
        </is>
      </c>
      <c r="J2862" s="16" t="n">
        <v>0.004</v>
      </c>
    </row>
    <row r="2863">
      <c r="A2863" s="16" t="n">
        <v>2859</v>
      </c>
      <c r="B2863" s="16" t="inlineStr">
        <is>
          <t>Backend</t>
        </is>
      </c>
      <c r="C2863" s="17" t="inlineStr">
        <is>
          <t>ticketing-service</t>
        </is>
      </c>
      <c r="D2863" s="16" t="inlineStr">
        <is>
          <t>Unit</t>
        </is>
      </c>
      <c r="E2863" s="17" t="inlineStr">
        <is>
          <t>CheckInHandlerTest › VaoRaVaoLai</t>
        </is>
      </c>
      <c r="F2863" s="17" t="inlineStr">
        <is>
          <t>Vào, ra, vào lại</t>
        </is>
      </c>
      <c r="G2863" s="17" t="inlineStr">
        <is>
          <t>Quét Ra vé chưa vào: NOT_INSIDE, không ghi nhận ra</t>
        </is>
      </c>
      <c r="H2863" s="17" t="inlineStr">
        <is>
          <t>ra_khi_chua_vao</t>
        </is>
      </c>
      <c r="I2863" s="16" t="inlineStr">
        <is>
          <t>Đạt</t>
        </is>
      </c>
      <c r="J2863" s="16" t="n">
        <v>0.003</v>
      </c>
    </row>
    <row r="2864">
      <c r="A2864" s="16" t="n">
        <v>2860</v>
      </c>
      <c r="B2864" s="16" t="inlineStr">
        <is>
          <t>Backend</t>
        </is>
      </c>
      <c r="C2864" s="17" t="inlineStr">
        <is>
          <t>ticketing-service</t>
        </is>
      </c>
      <c r="D2864" s="16" t="inlineStr">
        <is>
          <t>Unit</t>
        </is>
      </c>
      <c r="E2864" s="17" t="inlineStr">
        <is>
          <t>IssueTicketsTest › TheoDonHang</t>
        </is>
      </c>
      <c r="F2864" s="17" t="inlineStr">
        <is>
          <t>Phát vé theo đơn hàng</t>
        </is>
      </c>
      <c r="G2864" s="17" t="inlineStr">
        <is>
          <t>Đơn PAID mà không có dòng nào: không phát vé</t>
        </is>
      </c>
      <c r="H2864" s="17" t="inlineStr">
        <is>
          <t>don_khong_co_dong</t>
        </is>
      </c>
      <c r="I2864" s="16" t="inlineStr">
        <is>
          <t>Đạt</t>
        </is>
      </c>
      <c r="J2864" s="16" t="n">
        <v>0.095</v>
      </c>
    </row>
    <row r="2865">
      <c r="A2865" s="16" t="n">
        <v>2861</v>
      </c>
      <c r="B2865" s="16" t="inlineStr">
        <is>
          <t>Backend</t>
        </is>
      </c>
      <c r="C2865" s="17" t="inlineStr">
        <is>
          <t>ticketing-service</t>
        </is>
      </c>
      <c r="D2865" s="16" t="inlineStr">
        <is>
          <t>Unit</t>
        </is>
      </c>
      <c r="E2865" s="17" t="inlineStr">
        <is>
          <t>IssueTicketsTest › TheoDonHang</t>
        </is>
      </c>
      <c r="F2865" s="17" t="inlineStr">
        <is>
          <t>Phát vé theo đơn hàng</t>
        </is>
      </c>
      <c r="G2865" s="17" t="inlineStr">
        <is>
          <t>Đơn chưa PAID (message đến sớm, hoặc đã hoàn tiền): không phát vé, không hỏi identity</t>
        </is>
      </c>
      <c r="H2865" s="17" t="inlineStr">
        <is>
          <t>don_chua_paid</t>
        </is>
      </c>
      <c r="I2865" s="16" t="inlineStr">
        <is>
          <t>Đạt</t>
        </is>
      </c>
      <c r="J2865" s="16" t="n">
        <v>0.002</v>
      </c>
    </row>
    <row r="2866">
      <c r="A2866" s="16" t="n">
        <v>2862</v>
      </c>
      <c r="B2866" s="16" t="inlineStr">
        <is>
          <t>Backend</t>
        </is>
      </c>
      <c r="C2866" s="17" t="inlineStr">
        <is>
          <t>ticketing-service</t>
        </is>
      </c>
      <c r="D2866" s="16" t="inlineStr">
        <is>
          <t>Unit</t>
        </is>
      </c>
      <c r="E2866" s="17" t="inlineStr">
        <is>
          <t>IssueTicketsTest › TheoDonHang</t>
        </is>
      </c>
      <c r="F2866" s="17" t="inlineStr">
        <is>
          <t>Phát vé theo đơn hàng</t>
        </is>
      </c>
      <c r="G2866" s="17" t="inlineStr">
        <is>
          <t>Identity im lặng: vẫn phát vé, chỉ thiếu tên — khách đã trả tiền</t>
        </is>
      </c>
      <c r="H2866" s="17" t="inlineStr">
        <is>
          <t>identity_im_lang_van_phat</t>
        </is>
      </c>
      <c r="I2866" s="16" t="inlineStr">
        <is>
          <t>Đạt</t>
        </is>
      </c>
      <c r="J2866" s="16" t="n">
        <v>0.006</v>
      </c>
    </row>
    <row r="2867">
      <c r="A2867" s="16" t="n">
        <v>2863</v>
      </c>
      <c r="B2867" s="16" t="inlineStr">
        <is>
          <t>Backend</t>
        </is>
      </c>
      <c r="C2867" s="17" t="inlineStr">
        <is>
          <t>ticketing-service</t>
        </is>
      </c>
      <c r="D2867" s="16" t="inlineStr">
        <is>
          <t>Unit</t>
        </is>
      </c>
      <c r="E2867" s="17" t="inlineStr">
        <is>
          <t>IssueTicketsTest › TheoDonHang</t>
        </is>
      </c>
      <c r="F2867" s="17" t="inlineStr">
        <is>
          <t>Phát vé theo đơn hàng</t>
        </is>
      </c>
      <c r="G2867" s="17" t="inlineStr">
        <is>
          <t>Đơn PAID: đọc tên người mua rồi phát vé cho đủ các dòng</t>
        </is>
      </c>
      <c r="H2867" s="17" t="inlineStr">
        <is>
          <t>don_paid_phat_ve</t>
        </is>
      </c>
      <c r="I2867" s="16" t="inlineStr">
        <is>
          <t>Đạt</t>
        </is>
      </c>
      <c r="J2867" s="16" t="n">
        <v>0.006</v>
      </c>
    </row>
    <row r="2868">
      <c r="A2868" s="16" t="n">
        <v>2864</v>
      </c>
      <c r="B2868" s="16" t="inlineStr">
        <is>
          <t>Backend</t>
        </is>
      </c>
      <c r="C2868" s="17" t="inlineStr">
        <is>
          <t>ticketing-service</t>
        </is>
      </c>
      <c r="D2868" s="16" t="inlineStr">
        <is>
          <t>Unit</t>
        </is>
      </c>
      <c r="E2868" s="17" t="inlineStr">
        <is>
          <t>IssueTicketsTest › TheoDonHang</t>
        </is>
      </c>
      <c r="F2868" s="17" t="inlineStr">
        <is>
          <t>Phát vé theo đơn hàng</t>
        </is>
      </c>
      <c r="G2868" s="17" t="inlineStr">
        <is>
          <t>Trạng thái so khớp chính xác: 'paid' viết thường không được coi là PAID</t>
        </is>
      </c>
      <c r="H2868" s="17" t="inlineStr">
        <is>
          <t>trang_thai_so_khop_chinh_xac</t>
        </is>
      </c>
      <c r="I2868" s="16" t="inlineStr">
        <is>
          <t>Đạt</t>
        </is>
      </c>
      <c r="J2868" s="16" t="n">
        <v>0.002</v>
      </c>
    </row>
    <row r="2869">
      <c r="A2869" s="16" t="n">
        <v>2865</v>
      </c>
      <c r="B2869" s="16" t="inlineStr">
        <is>
          <t>Backend</t>
        </is>
      </c>
      <c r="C2869" s="17" t="inlineStr">
        <is>
          <t>ticketing-service</t>
        </is>
      </c>
      <c r="D2869" s="16" t="inlineStr">
        <is>
          <t>Unit</t>
        </is>
      </c>
      <c r="E2869" s="17" t="inlineStr">
        <is>
          <t>IssueTicketsTest › TheoDonHang</t>
        </is>
      </c>
      <c r="F2869" s="17" t="inlineStr">
        <is>
          <t>Phát vé theo đơn hàng</t>
        </is>
      </c>
      <c r="G2869" s="17" t="inlineStr">
        <is>
          <t>Ordering không trả lời: ném lên để message được giao lại, không phát gì</t>
        </is>
      </c>
      <c r="H2869" s="17" t="inlineStr">
        <is>
          <t>ordering_tam_thoi_hong</t>
        </is>
      </c>
      <c r="I2869" s="16" t="inlineStr">
        <is>
          <t>Đạt</t>
        </is>
      </c>
      <c r="J2869" s="16" t="n">
        <v>0.007</v>
      </c>
    </row>
    <row r="2870">
      <c r="A2870" s="16" t="n">
        <v>2866</v>
      </c>
      <c r="B2870" s="16" t="inlineStr">
        <is>
          <t>Backend</t>
        </is>
      </c>
      <c r="C2870" s="17" t="inlineStr">
        <is>
          <t>ticketing-service</t>
        </is>
      </c>
      <c r="D2870" s="16" t="inlineStr">
        <is>
          <t>Unit</t>
        </is>
      </c>
      <c r="E2870" s="17" t="inlineStr">
        <is>
          <t>IssueTicketsTest › TuMotLenh</t>
        </is>
      </c>
      <c r="F2870" s="17" t="inlineStr">
        <is>
          <t>Phát vé từ một lệnh</t>
        </is>
      </c>
      <c r="G2870" s="17" t="inlineStr">
        <is>
          <t>Mỗi dòng của đơn thành đúng một vé VALID, mang nhãn snapshot và tên người mua</t>
        </is>
      </c>
      <c r="H2870" s="17" t="inlineStr">
        <is>
          <t>moi_dong_mot_ve</t>
        </is>
      </c>
      <c r="I2870" s="16" t="inlineStr">
        <is>
          <t>Đạt</t>
        </is>
      </c>
      <c r="J2870" s="16" t="n">
        <v>0.005</v>
      </c>
    </row>
    <row r="2871">
      <c r="A2871" s="16" t="n">
        <v>2867</v>
      </c>
      <c r="B2871" s="16" t="inlineStr">
        <is>
          <t>Backend</t>
        </is>
      </c>
      <c r="C2871" s="17" t="inlineStr">
        <is>
          <t>ticketing-service</t>
        </is>
      </c>
      <c r="D2871" s="16" t="inlineStr">
        <is>
          <t>Unit</t>
        </is>
      </c>
      <c r="E2871" s="17" t="inlineStr">
        <is>
          <t>IssueTicketsTest › TuMotLenh</t>
        </is>
      </c>
      <c r="F2871" s="17" t="inlineStr">
        <is>
          <t>Phát vé từ một lệnh</t>
        </is>
      </c>
      <c r="G2871" s="17" t="inlineStr">
        <is>
          <t>Chạy lại một đơn đã phát: trả 0, không phải lỗi</t>
        </is>
      </c>
      <c r="H2871" s="17" t="inlineStr">
        <is>
          <t>chay_lai_tra_khong</t>
        </is>
      </c>
      <c r="I2871" s="16" t="inlineStr">
        <is>
          <t>Đạt</t>
        </is>
      </c>
      <c r="J2871" s="16" t="n">
        <v>0.002</v>
      </c>
    </row>
    <row r="2872">
      <c r="A2872" s="16" t="n">
        <v>2868</v>
      </c>
      <c r="B2872" s="16" t="inlineStr">
        <is>
          <t>Backend</t>
        </is>
      </c>
      <c r="C2872" s="17" t="inlineStr">
        <is>
          <t>ticketing-service</t>
        </is>
      </c>
      <c r="D2872" s="16" t="inlineStr">
        <is>
          <t>Unit</t>
        </is>
      </c>
      <c r="E2872" s="17" t="inlineStr">
        <is>
          <t>TicketingQueriesTest › LichSuQuet</t>
        </is>
      </c>
      <c r="F2872" s="17" t="inlineStr">
        <is>
          <t>Lịch sử quét của một suất</t>
        </is>
      </c>
      <c r="G2872" s="17" t="inlineStr">
        <is>
          <t>Mã vé là 8 ký tự đầu viết hoa; lần quét không ra vé thì không có mã; kèm số đang ở trong</t>
        </is>
      </c>
      <c r="H2872" s="17" t="inlineStr">
        <is>
          <t>ma_ve_va_so_dang_o_trong</t>
        </is>
      </c>
      <c r="I2872" s="16" t="inlineStr">
        <is>
          <t>Đạt</t>
        </is>
      </c>
      <c r="J2872" s="16" t="n">
        <v>0.007</v>
      </c>
    </row>
    <row r="2873">
      <c r="A2873" s="16" t="n">
        <v>2869</v>
      </c>
      <c r="B2873" s="16" t="inlineStr">
        <is>
          <t>Backend</t>
        </is>
      </c>
      <c r="C2873" s="17" t="inlineStr">
        <is>
          <t>ticketing-service</t>
        </is>
      </c>
      <c r="D2873" s="16" t="inlineStr">
        <is>
          <t>Unit</t>
        </is>
      </c>
      <c r="E2873" s="17" t="inlineStr">
        <is>
          <t>TicketingQueriesTest › LichSuQuet</t>
        </is>
      </c>
      <c r="F2873" s="17" t="inlineStr">
        <is>
          <t>Lịch sử quét của một suất</t>
        </is>
      </c>
      <c r="G2873" s="17" t="inlineStr">
        <is>
          <t>Kích thước trang bị kẹp trong [1, 100], trang âm thành 0, offset = trang × kích thước</t>
        </is>
      </c>
      <c r="H2873" s="17" t="inlineStr">
        <is>
          <t>kep_phan_trang</t>
        </is>
      </c>
      <c r="I2873" s="16" t="inlineStr">
        <is>
          <t>Đạt</t>
        </is>
      </c>
      <c r="J2873" s="16" t="n">
        <v>0.004</v>
      </c>
    </row>
    <row r="2874">
      <c r="A2874" s="16" t="n">
        <v>2870</v>
      </c>
      <c r="B2874" s="16" t="inlineStr">
        <is>
          <t>Backend</t>
        </is>
      </c>
      <c r="C2874" s="17" t="inlineStr">
        <is>
          <t>ticketing-service</t>
        </is>
      </c>
      <c r="D2874" s="16" t="inlineStr">
        <is>
          <t>Unit</t>
        </is>
      </c>
      <c r="E2874" s="17" t="inlineStr">
        <is>
          <t>TicketingQueriesTest › ThongKe</t>
        </is>
      </c>
      <c r="F2874" s="17" t="inlineStr">
        <is>
          <t>Thống kê soát vé</t>
        </is>
      </c>
      <c r="G2874" s="17" t="inlineStr">
        <is>
          <t>Khoảng ngày rỗng, ngược hoặc thiếu đầu: 400 VALIDATION_FAILED, không chạm database</t>
        </is>
      </c>
      <c r="H2874" s="17" t="inlineStr">
        <is>
          <t>khoang_ngay_khong_hop_le</t>
        </is>
      </c>
      <c r="I2874" s="16" t="inlineStr">
        <is>
          <t>Đạt</t>
        </is>
      </c>
      <c r="J2874" s="16" t="n">
        <v>0.002</v>
      </c>
    </row>
    <row r="2875">
      <c r="A2875" s="16" t="n">
        <v>2871</v>
      </c>
      <c r="B2875" s="16" t="inlineStr">
        <is>
          <t>Backend</t>
        </is>
      </c>
      <c r="C2875" s="17" t="inlineStr">
        <is>
          <t>ticketing-service</t>
        </is>
      </c>
      <c r="D2875" s="16" t="inlineStr">
        <is>
          <t>Unit</t>
        </is>
      </c>
      <c r="E2875" s="17" t="inlineStr">
        <is>
          <t>TicketingQueriesTest › ThongKe</t>
        </is>
      </c>
      <c r="F2875" s="17" t="inlineStr">
        <is>
          <t>Thống kê soát vé</t>
        </is>
      </c>
      <c r="G2875" s="17" t="inlineStr">
        <is>
          <t>Không hỏi đơn nào thì không chạm database; quá 100 đơn thì từ chối</t>
        </is>
      </c>
      <c r="H2875" s="17" t="inlineStr">
        <is>
          <t>gioi_han_so_don</t>
        </is>
      </c>
      <c r="I2875" s="16" t="inlineStr">
        <is>
          <t>Đạt</t>
        </is>
      </c>
      <c r="J2875" s="16" t="n">
        <v>0.006</v>
      </c>
    </row>
    <row r="2876">
      <c r="A2876" s="16" t="n">
        <v>2872</v>
      </c>
      <c r="B2876" s="16" t="inlineStr">
        <is>
          <t>Backend</t>
        </is>
      </c>
      <c r="C2876" s="17" t="inlineStr">
        <is>
          <t>ticketing-service</t>
        </is>
      </c>
      <c r="D2876" s="16" t="inlineStr">
        <is>
          <t>Unit</t>
        </is>
      </c>
      <c r="E2876" s="17" t="inlineStr">
        <is>
          <t>TicketingQueriesTest › ThongKe</t>
        </is>
      </c>
      <c r="F2876" s="17" t="inlineStr">
        <is>
          <t>Thống kê soát vé</t>
        </is>
      </c>
      <c r="G2876" s="17" t="inlineStr">
        <is>
          <t>Tên người mua bị che ngay trong service: giữ họ, các chữ còn lại chỉ còn chữ cái đầu</t>
        </is>
      </c>
      <c r="H2876" s="17" t="inlineStr">
        <is>
          <t>ten_bi_che</t>
        </is>
      </c>
      <c r="I2876" s="16" t="inlineStr">
        <is>
          <t>Đạt</t>
        </is>
      </c>
      <c r="J2876" s="16" t="n">
        <v>0.003</v>
      </c>
    </row>
    <row r="2877">
      <c r="A2877" s="16" t="n">
        <v>2873</v>
      </c>
      <c r="B2877" s="16" t="inlineStr">
        <is>
          <t>Backend</t>
        </is>
      </c>
      <c r="C2877" s="17" t="inlineStr">
        <is>
          <t>ticketing-service</t>
        </is>
      </c>
      <c r="D2877" s="16" t="inlineStr">
        <is>
          <t>Unit</t>
        </is>
      </c>
      <c r="E2877" s="17" t="inlineStr">
        <is>
          <t>TicketingQueriesTest › ThongKe</t>
        </is>
      </c>
      <c r="F2877" s="17" t="inlineStr">
        <is>
          <t>Thống kê soát vé</t>
        </is>
      </c>
      <c r="G2877" s="17" t="inlineStr">
        <is>
          <t>Ngày tính theo giờ Việt Nam, khoảng nửa mở [from 00:00, to+1 00:00)</t>
        </is>
      </c>
      <c r="H2877" s="17" t="inlineStr">
        <is>
          <t>ngay_theo_gio_viet_nam</t>
        </is>
      </c>
      <c r="I2877" s="16" t="inlineStr">
        <is>
          <t>Đạt</t>
        </is>
      </c>
      <c r="J2877" s="16" t="n">
        <v>0.004</v>
      </c>
    </row>
    <row r="2878">
      <c r="A2878" s="16" t="n">
        <v>2874</v>
      </c>
      <c r="B2878" s="16" t="inlineStr">
        <is>
          <t>Backend</t>
        </is>
      </c>
      <c r="C2878" s="17" t="inlineStr">
        <is>
          <t>ticketing-service</t>
        </is>
      </c>
      <c r="D2878" s="16" t="inlineStr">
        <is>
          <t>Unit</t>
        </is>
      </c>
      <c r="E2878" s="17" t="inlineStr">
        <is>
          <t>TicketingQueriesTest › ThongKe</t>
        </is>
      </c>
      <c r="F2878" s="17" t="inlineStr">
        <is>
          <t>Thống kê soát vé</t>
        </is>
      </c>
      <c r="G2878" s="17" t="inlineStr">
        <is>
          <t>Tối đa 731 ngày tính cả hai đầu: 731 được, 732 bị từ chối</t>
        </is>
      </c>
      <c r="H2878" s="17" t="inlineStr">
        <is>
          <t>toi_da_731_ngay</t>
        </is>
      </c>
      <c r="I2878" s="16" t="inlineStr">
        <is>
          <t>Đạt</t>
        </is>
      </c>
      <c r="J2878" s="16" t="n">
        <v>0.001</v>
      </c>
    </row>
    <row r="2879">
      <c r="A2879" s="16" t="n">
        <v>2875</v>
      </c>
      <c r="B2879" s="16" t="inlineStr">
        <is>
          <t>Backend</t>
        </is>
      </c>
      <c r="C2879" s="17" t="inlineStr">
        <is>
          <t>ticketing-service</t>
        </is>
      </c>
      <c r="D2879" s="16" t="inlineStr">
        <is>
          <t>Unit</t>
        </is>
      </c>
      <c r="E2879" s="17" t="inlineStr">
        <is>
          <t>TicketingQueriesTest › ThongKe</t>
        </is>
      </c>
      <c r="F2879" s="17" t="inlineStr">
        <is>
          <t>Thống kê soát vé</t>
        </is>
      </c>
      <c r="G2879" s="17" t="inlineStr">
        <is>
          <t>Dòng thời gian quá 400 ô: cắt về 400 ô mới nhất, báo bị cắt, trả theo thời gian tăng dần</t>
        </is>
      </c>
      <c r="H2879" s="17" t="inlineStr">
        <is>
          <t>dong_thoi_gian_bi_cat</t>
        </is>
      </c>
      <c r="I2879" s="16" t="inlineStr">
        <is>
          <t>Đạt</t>
        </is>
      </c>
      <c r="J2879" s="16" t="n">
        <v>0.007</v>
      </c>
    </row>
    <row r="2880">
      <c r="A2880" s="16" t="n">
        <v>2876</v>
      </c>
      <c r="B2880" s="16" t="inlineStr">
        <is>
          <t>Backend</t>
        </is>
      </c>
      <c r="C2880" s="17" t="inlineStr">
        <is>
          <t>ticketing-service</t>
        </is>
      </c>
      <c r="D2880" s="16" t="inlineStr">
        <is>
          <t>Unit</t>
        </is>
      </c>
      <c r="E2880" s="17" t="inlineStr">
        <is>
          <t>TicketingQueriesTest › ThongKe</t>
        </is>
      </c>
      <c r="F2880" s="17" t="inlineStr">
        <is>
          <t>Thống kê soát vé</t>
        </is>
      </c>
      <c r="G2880" s="17" t="inlineStr">
        <is>
          <t>Vắng mặt: không nêu suất thì rỗng; quá 200 suất thì từ chối</t>
        </is>
      </c>
      <c r="H2880" s="17" t="inlineStr">
        <is>
          <t>vang_mat_gioi_han</t>
        </is>
      </c>
      <c r="I2880" s="16" t="inlineStr">
        <is>
          <t>Đạt</t>
        </is>
      </c>
      <c r="J2880" s="16" t="n">
        <v>0.006</v>
      </c>
    </row>
    <row r="2881">
      <c r="A2881" s="16" t="n">
        <v>2877</v>
      </c>
      <c r="B2881" s="16" t="inlineStr">
        <is>
          <t>Backend</t>
        </is>
      </c>
      <c r="C2881" s="17" t="inlineStr">
        <is>
          <t>ticketing-service</t>
        </is>
      </c>
      <c r="D2881" s="16" t="inlineStr">
        <is>
          <t>Unit</t>
        </is>
      </c>
      <c r="E2881" s="17" t="inlineStr">
        <is>
          <t>TicketingQueriesTest › ThongKe</t>
        </is>
      </c>
      <c r="F2881" s="17" t="inlineStr">
        <is>
          <t>Thống kê soát vé</t>
        </is>
      </c>
      <c r="G2881" s="17" t="inlineStr">
        <is>
          <t>Quá 200 suất trong một lần hỏi: từ chối</t>
        </is>
      </c>
      <c r="H2881" s="17" t="inlineStr">
        <is>
          <t>qua_nhieu_suat</t>
        </is>
      </c>
      <c r="I2881" s="16" t="inlineStr">
        <is>
          <t>Đạt</t>
        </is>
      </c>
      <c r="J2881" s="16" t="n">
        <v>0.005</v>
      </c>
    </row>
    <row r="2882">
      <c r="A2882" s="16" t="n">
        <v>2878</v>
      </c>
      <c r="B2882" s="16" t="inlineStr">
        <is>
          <t>Backend</t>
        </is>
      </c>
      <c r="C2882" s="17" t="inlineStr">
        <is>
          <t>ticketing-service</t>
        </is>
      </c>
      <c r="D2882" s="16" t="inlineStr">
        <is>
          <t>Unit</t>
        </is>
      </c>
      <c r="E2882" s="17" t="inlineStr">
        <is>
          <t>TicketingQueriesTest › ThongKe</t>
        </is>
      </c>
      <c r="F2882" s="17" t="inlineStr">
        <is>
          <t>Thống kê soát vé</t>
        </is>
      </c>
      <c r="G2882" s="17" t="inlineStr">
        <is>
          <t>Dòng thời gian vừa đủ 400 ô: không báo bị cắt</t>
        </is>
      </c>
      <c r="H2882" s="17" t="inlineStr">
        <is>
          <t>dong_thoi_gian_vua_du</t>
        </is>
      </c>
      <c r="I2882" s="16" t="inlineStr">
        <is>
          <t>Đạt</t>
        </is>
      </c>
      <c r="J2882" s="16" t="n">
        <v>0.004</v>
      </c>
    </row>
    <row r="2883">
      <c r="A2883" s="16" t="n">
        <v>2879</v>
      </c>
      <c r="B2883" s="16" t="inlineStr">
        <is>
          <t>Backend</t>
        </is>
      </c>
      <c r="C2883" s="17" t="inlineStr">
        <is>
          <t>ticketing-service</t>
        </is>
      </c>
      <c r="D2883" s="16" t="inlineStr">
        <is>
          <t>Unit</t>
        </is>
      </c>
      <c r="E2883" s="17" t="inlineStr">
        <is>
          <t>TicketingQueriesTest › ViVe</t>
        </is>
      </c>
      <c r="F2883" s="17" t="inlineStr">
        <is>
          <t>Ví vé của khách</t>
        </is>
      </c>
      <c r="G2883" s="17" t="inlineStr">
        <is>
          <t>Vé của đơn chỉ trả những vé thuộc người đang hỏi — đoán được id đơn không thấy được vé</t>
        </is>
      </c>
      <c r="H2883" s="17" t="inlineStr">
        <is>
          <t>chi_thay_ve_cua_minh</t>
        </is>
      </c>
      <c r="I2883" s="16" t="inlineStr">
        <is>
          <t>Đạt</t>
        </is>
      </c>
      <c r="J2883" s="16" t="n">
        <v>0.008</v>
      </c>
    </row>
    <row r="2884">
      <c r="A2884" s="16" t="n">
        <v>2880</v>
      </c>
      <c r="B2884" s="16" t="inlineStr">
        <is>
          <t>Backend</t>
        </is>
      </c>
      <c r="C2884" s="17" t="inlineStr">
        <is>
          <t>ticketing-service</t>
        </is>
      </c>
      <c r="D2884" s="16" t="inlineStr">
        <is>
          <t>Unit</t>
        </is>
      </c>
      <c r="E2884" s="17" t="inlineStr">
        <is>
          <t>TicketingQueriesTest › ViVe</t>
        </is>
      </c>
      <c r="F2884" s="17" t="inlineStr">
        <is>
          <t>Ví vé của khách</t>
        </is>
      </c>
      <c r="G2884" s="17" t="inlineStr">
        <is>
          <t>Mỗi lần đọc ký lại token, hạn 12 giờ kể từ lúc đọc</t>
        </is>
      </c>
      <c r="H2884" s="17" t="inlineStr">
        <is>
          <t>ky_lai_moi_lan_doc</t>
        </is>
      </c>
      <c r="I2884" s="16" t="inlineStr">
        <is>
          <t>Đạt</t>
        </is>
      </c>
      <c r="J2884" s="16" t="n">
        <v>0.008</v>
      </c>
    </row>
    <row r="2885">
      <c r="A2885" s="16" t="n">
        <v>2881</v>
      </c>
      <c r="B2885" s="16" t="inlineStr">
        <is>
          <t>Backend</t>
        </is>
      </c>
      <c r="C2885" s="17" t="inlineStr">
        <is>
          <t>ticketing-service</t>
        </is>
      </c>
      <c r="D2885" s="16" t="inlineStr">
        <is>
          <t>Unit</t>
        </is>
      </c>
      <c r="E2885" s="17" t="inlineStr">
        <is>
          <t>TicketingQueriesTest › ViVe</t>
        </is>
      </c>
      <c r="F2885" s="17" t="inlineStr">
        <is>
          <t>Ví vé của khách</t>
        </is>
      </c>
      <c r="G2885" s="17" t="inlineStr">
        <is>
          <t>Đơn không có vé nào của mình: danh sách rỗng, không ký gì</t>
        </is>
      </c>
      <c r="H2885" s="17" t="inlineStr">
        <is>
          <t>don_cua_nguoi_khac</t>
        </is>
      </c>
      <c r="I2885" s="16" t="inlineStr">
        <is>
          <t>Đạt</t>
        </is>
      </c>
      <c r="J2885" s="16" t="n">
        <v>0.001</v>
      </c>
    </row>
    <row r="2886">
      <c r="A2886" s="16" t="n">
        <v>2882</v>
      </c>
      <c r="B2886" s="16" t="inlineStr">
        <is>
          <t>Backend</t>
        </is>
      </c>
      <c r="C2886" s="17" t="inlineStr">
        <is>
          <t>ticketing-service</t>
        </is>
      </c>
      <c r="D2886" s="16" t="inlineStr">
        <is>
          <t>Unit</t>
        </is>
      </c>
      <c r="E2886" s="17" t="inlineStr">
        <is>
          <t>TicketingQueriesTest › XuatDanhSach</t>
        </is>
      </c>
      <c r="F2886" s="17" t="inlineStr">
        <is>
          <t>Xuất danh sách người mua</t>
        </is>
      </c>
      <c r="G2886" s="17" t="inlineStr">
        <is>
          <t>Quá 20.000 vé: từ chối EXPORT_TOO_LARGE, không cắt âm thầm, không ghi nhật ký</t>
        </is>
      </c>
      <c r="H2886" s="17" t="inlineStr">
        <is>
          <t>qua_tran</t>
        </is>
      </c>
      <c r="I2886" s="16" t="inlineStr">
        <is>
          <t>Đạt</t>
        </is>
      </c>
      <c r="J2886" s="16" t="n">
        <v>0.005</v>
      </c>
    </row>
    <row r="2887">
      <c r="A2887" s="16" t="n">
        <v>2883</v>
      </c>
      <c r="B2887" s="16" t="inlineStr">
        <is>
          <t>Backend</t>
        </is>
      </c>
      <c r="C2887" s="17" t="inlineStr">
        <is>
          <t>ticketing-service</t>
        </is>
      </c>
      <c r="D2887" s="16" t="inlineStr">
        <is>
          <t>Unit</t>
        </is>
      </c>
      <c r="E2887" s="17" t="inlineStr">
        <is>
          <t>TicketingQueriesTest › XuatDanhSach</t>
        </is>
      </c>
      <c r="F2887" s="17" t="inlineStr">
        <is>
          <t>Xuất danh sách người mua</t>
        </is>
      </c>
      <c r="G2887" s="17" t="inlineStr">
        <is>
          <t>Đúng 20.000 vé: vẫn xuất được</t>
        </is>
      </c>
      <c r="H2887" s="17" t="inlineStr">
        <is>
          <t>dung_tran</t>
        </is>
      </c>
      <c r="I2887" s="16" t="inlineStr">
        <is>
          <t>Đạt</t>
        </is>
      </c>
      <c r="J2887" s="16" t="n">
        <v>0.002</v>
      </c>
    </row>
    <row r="2888">
      <c r="A2888" s="16" t="n">
        <v>2884</v>
      </c>
      <c r="B2888" s="16" t="inlineStr">
        <is>
          <t>Backend</t>
        </is>
      </c>
      <c r="C2888" s="17" t="inlineStr">
        <is>
          <t>ticketing-service</t>
        </is>
      </c>
      <c r="D2888" s="16" t="inlineStr">
        <is>
          <t>Unit</t>
        </is>
      </c>
      <c r="E2888" s="17" t="inlineStr">
        <is>
          <t>TicketingQueriesTest › XuatDanhSach</t>
        </is>
      </c>
      <c r="F2888" s="17" t="inlineStr">
        <is>
          <t>Xuất danh sách người mua</t>
        </is>
      </c>
      <c r="G2888" s="17" t="inlineStr">
        <is>
          <t>Không ghi được nhật ký: 503 AUDIT_UNAVAILABLE, không trả dữ liệu</t>
        </is>
      </c>
      <c r="H2888" s="17" t="inlineStr">
        <is>
          <t>khong_ghi_duoc_nhat_ky</t>
        </is>
      </c>
      <c r="I2888" s="16" t="inlineStr">
        <is>
          <t>Đạt</t>
        </is>
      </c>
      <c r="J2888" s="16" t="n">
        <v>0.004</v>
      </c>
    </row>
    <row r="2889">
      <c r="A2889" s="16" t="n">
        <v>2885</v>
      </c>
      <c r="B2889" s="16" t="inlineStr">
        <is>
          <t>Backend</t>
        </is>
      </c>
      <c r="C2889" s="17" t="inlineStr">
        <is>
          <t>ticketing-service</t>
        </is>
      </c>
      <c r="D2889" s="16" t="inlineStr">
        <is>
          <t>Unit</t>
        </is>
      </c>
      <c r="E2889" s="17" t="inlineStr">
        <is>
          <t>TicketingQueriesTest › XuatDanhSach</t>
        </is>
      </c>
      <c r="F2889" s="17" t="inlineStr">
        <is>
          <t>Xuất danh sách người mua</t>
        </is>
      </c>
      <c r="G2889" s="17" t="inlineStr">
        <is>
          <t>Ghi nhật ký TRƯỚC khi trả: số dòng, phạm vi và các trường bị xuất; mốc xuất theo đồng hồ</t>
        </is>
      </c>
      <c r="H2889" s="17" t="inlineStr">
        <is>
          <t>ghi_nhat_ky_roi_tra</t>
        </is>
      </c>
      <c r="I2889" s="16" t="inlineStr">
        <is>
          <t>Đạt</t>
        </is>
      </c>
      <c r="J2889" s="16" t="n">
        <v>0.02</v>
      </c>
    </row>
    <row r="2890">
      <c r="A2890" s="16" t="n">
        <v>2886</v>
      </c>
      <c r="B2890" s="16" t="inlineStr">
        <is>
          <t>Backend</t>
        </is>
      </c>
      <c r="C2890" s="17" t="inlineStr">
        <is>
          <t>ticketing-service</t>
        </is>
      </c>
      <c r="D2890" s="16" t="inlineStr">
        <is>
          <t>Unit</t>
        </is>
      </c>
      <c r="E2890" s="17" t="inlineStr">
        <is>
          <t>TicketingQueriesTest › XuatDanhSach</t>
        </is>
      </c>
      <c r="F2890" s="17" t="inlineStr">
        <is>
          <t>Xuất danh sách người mua</t>
        </is>
      </c>
      <c r="G2890" s="17" t="inlineStr">
        <is>
          <t>Quá 200 suất: từ chối trước khi đọc dữ liệu</t>
        </is>
      </c>
      <c r="H2890" s="17" t="inlineStr">
        <is>
          <t>qua_nhieu_suat</t>
        </is>
      </c>
      <c r="I2890" s="16" t="inlineStr">
        <is>
          <t>Đạt</t>
        </is>
      </c>
      <c r="J2890" s="16" t="n">
        <v>0.007</v>
      </c>
    </row>
    <row r="2891">
      <c r="A2891" s="16" t="n">
        <v>2887</v>
      </c>
      <c r="B2891" s="16" t="inlineStr">
        <is>
          <t>Backend</t>
        </is>
      </c>
      <c r="C2891" s="17" t="inlineStr">
        <is>
          <t>ticketing-service</t>
        </is>
      </c>
      <c r="D2891" s="16" t="inlineStr">
        <is>
          <t>Unit</t>
        </is>
      </c>
      <c r="E2891" s="17" t="inlineStr">
        <is>
          <t>TicketingQueriesTest › XuatDanhSach</t>
        </is>
      </c>
      <c r="F2891" s="17" t="inlineStr">
        <is>
          <t>Xuất danh sách người mua</t>
        </is>
      </c>
      <c r="G2891" s="17" t="inlineStr">
        <is>
          <t>Không nêu suất nào: xuất cả tổ chức, nhật ký ghi phạm vi ALL</t>
        </is>
      </c>
      <c r="H2891" s="17" t="inlineStr">
        <is>
          <t>xuat_ca_to_chuc</t>
        </is>
      </c>
      <c r="I2891" s="16" t="inlineStr">
        <is>
          <t>Đạt</t>
        </is>
      </c>
      <c r="J2891" s="16" t="n">
        <v>0.002</v>
      </c>
    </row>
    <row r="2892">
      <c r="A2892" s="16" t="n">
        <v>2888</v>
      </c>
      <c r="B2892" s="16" t="inlineStr">
        <is>
          <t>Backend</t>
        </is>
      </c>
      <c r="C2892" s="17" t="inlineStr">
        <is>
          <t>ticketing-service</t>
        </is>
      </c>
      <c r="D2892" s="16" t="inlineStr">
        <is>
          <t>Unit</t>
        </is>
      </c>
      <c r="E2892" s="17" t="inlineStr">
        <is>
          <t>TicketSearchQueryTest</t>
        </is>
      </c>
      <c r="F2892" s="17" t="inlineStr"/>
      <c r="G2892" s="17" t="inlineStr">
        <is>
          <t>bản chụp đã đúng thì không ghi gì — đường đọc không được sinh ghi ở mỗi lần mở trang</t>
        </is>
      </c>
      <c r="H2892" s="17" t="inlineStr">
        <is>
          <t>dung_roi_thi_khong_ghi</t>
        </is>
      </c>
      <c r="I2892" s="16" t="inlineStr">
        <is>
          <t>Đạt</t>
        </is>
      </c>
      <c r="J2892" s="16" t="n">
        <v>0.008999999999999999</v>
      </c>
    </row>
    <row r="2893">
      <c r="A2893" s="16" t="n">
        <v>2889</v>
      </c>
      <c r="B2893" s="16" t="inlineStr">
        <is>
          <t>Backend</t>
        </is>
      </c>
      <c r="C2893" s="17" t="inlineStr">
        <is>
          <t>ticketing-service</t>
        </is>
      </c>
      <c r="D2893" s="16" t="inlineStr">
        <is>
          <t>Unit</t>
        </is>
      </c>
      <c r="E2893" s="17" t="inlineStr">
        <is>
          <t>TicketSearchQueryTest</t>
        </is>
      </c>
      <c r="F2893" s="17" t="inlineStr"/>
      <c r="G2893" s="17" t="inlineStr">
        <is>
          <t>trạng thái đơn khác REFUNDED đều quy về PAID</t>
        </is>
      </c>
      <c r="H2893" s="17" t="inlineStr">
        <is>
          <t>trang_thai_khac_quy_ve_paid</t>
        </is>
      </c>
      <c r="I2893" s="16" t="inlineStr">
        <is>
          <t>Đạt</t>
        </is>
      </c>
      <c r="J2893" s="16" t="n">
        <v>0.002</v>
      </c>
    </row>
    <row r="2894">
      <c r="A2894" s="16" t="n">
        <v>2890</v>
      </c>
      <c r="B2894" s="16" t="inlineStr">
        <is>
          <t>Backend</t>
        </is>
      </c>
      <c r="C2894" s="17" t="inlineStr">
        <is>
          <t>ticketing-service</t>
        </is>
      </c>
      <c r="D2894" s="16" t="inlineStr">
        <is>
          <t>Unit</t>
        </is>
      </c>
      <c r="E2894" s="17" t="inlineStr">
        <is>
          <t>TicketSearchQueryTest</t>
        </is>
      </c>
      <c r="F2894" s="17" t="inlineStr"/>
      <c r="G2894" s="17" t="inlineStr">
        <is>
          <t>nhiều vé cùng một đơn chỉ hỏi ordering một lần</t>
        </is>
      </c>
      <c r="H2894" s="17" t="inlineStr">
        <is>
          <t>gop_don_trung_nhau</t>
        </is>
      </c>
      <c r="I2894" s="16" t="inlineStr">
        <is>
          <t>Đạt</t>
        </is>
      </c>
      <c r="J2894" s="16" t="n">
        <v>0.001</v>
      </c>
    </row>
    <row r="2895">
      <c r="A2895" s="16" t="n">
        <v>2891</v>
      </c>
      <c r="B2895" s="16" t="inlineStr">
        <is>
          <t>Backend</t>
        </is>
      </c>
      <c r="C2895" s="17" t="inlineStr">
        <is>
          <t>ticketing-service</t>
        </is>
      </c>
      <c r="D2895" s="16" t="inlineStr">
        <is>
          <t>Unit</t>
        </is>
      </c>
      <c r="E2895" s="17" t="inlineStr">
        <is>
          <t>TicketSearchQueryTest</t>
        </is>
      </c>
      <c r="F2895" s="17" t="inlineStr"/>
      <c r="G2895" s="17" t="inlineStr">
        <is>
          <t>bộ lọc gõ thường vẫn chạy — người dùng không biết database viết hoa</t>
        </is>
      </c>
      <c r="H2895" s="17" t="inlineStr">
        <is>
          <t>bo_loc_khong_phan_biet_hoa_thuong</t>
        </is>
      </c>
      <c r="I2895" s="16" t="inlineStr">
        <is>
          <t>Đạt</t>
        </is>
      </c>
      <c r="J2895" s="16" t="n">
        <v>0.001</v>
      </c>
    </row>
    <row r="2896">
      <c r="A2896" s="16" t="n">
        <v>2892</v>
      </c>
      <c r="B2896" s="16" t="inlineStr">
        <is>
          <t>Backend</t>
        </is>
      </c>
      <c r="C2896" s="17" t="inlineStr">
        <is>
          <t>ticketing-service</t>
        </is>
      </c>
      <c r="D2896" s="16" t="inlineStr">
        <is>
          <t>Unit</t>
        </is>
      </c>
      <c r="E2896" s="17" t="inlineStr">
        <is>
          <t>TicketSearchQueryTest</t>
        </is>
      </c>
      <c r="F2896" s="17" t="inlineStr"/>
      <c r="G2896" s="17" t="inlineStr">
        <is>
          <t>ordering im lặng thì vẫn trả bản chụp, không làm sập cả màn hình</t>
        </is>
      </c>
      <c r="H2896" s="17" t="inlineStr">
        <is>
          <t>ordering_im_lang_van_tra_ket_qua</t>
        </is>
      </c>
      <c r="I2896" s="16" t="inlineStr">
        <is>
          <t>Đạt</t>
        </is>
      </c>
      <c r="J2896" s="16" t="n">
        <v>0.002</v>
      </c>
    </row>
    <row r="2897">
      <c r="A2897" s="16" t="n">
        <v>2893</v>
      </c>
      <c r="B2897" s="16" t="inlineStr">
        <is>
          <t>Backend</t>
        </is>
      </c>
      <c r="C2897" s="17" t="inlineStr">
        <is>
          <t>ticketing-service</t>
        </is>
      </c>
      <c r="D2897" s="16" t="inlineStr">
        <is>
          <t>Unit</t>
        </is>
      </c>
      <c r="E2897" s="17" t="inlineStr">
        <is>
          <t>TicketSearchQueryTest</t>
        </is>
      </c>
      <c r="F2897" s="17" t="inlineStr"/>
      <c r="G2897" s="17" t="inlineStr">
        <is>
          <t>ordering nói đơn đã hoàn tiền thì màn hình nói vậy, và bản chụp được sửa lại</t>
        </is>
      </c>
      <c r="H2897" s="17" t="inlineStr">
        <is>
          <t>hoan_tien_duoc_va_lai</t>
        </is>
      </c>
      <c r="I2897" s="16" t="inlineStr">
        <is>
          <t>Đạt</t>
        </is>
      </c>
      <c r="J2897" s="16" t="n">
        <v>0.001</v>
      </c>
    </row>
    <row r="2898">
      <c r="A2898" s="16" t="n">
        <v>2894</v>
      </c>
      <c r="B2898" s="16" t="inlineStr">
        <is>
          <t>Backend</t>
        </is>
      </c>
      <c r="C2898" s="17" t="inlineStr">
        <is>
          <t>ticketing-service</t>
        </is>
      </c>
      <c r="D2898" s="16" t="inlineStr">
        <is>
          <t>Unit</t>
        </is>
      </c>
      <c r="E2898" s="17" t="inlineStr">
        <is>
          <t>TicketSearchQueryTest</t>
        </is>
      </c>
      <c r="F2898" s="17" t="inlineStr"/>
      <c r="G2898" s="17" t="inlineStr">
        <is>
          <t>kích thước trang bị chặn trên, dù người gọi xin bao nhiêu</t>
        </is>
      </c>
      <c r="H2898" s="17" t="inlineStr">
        <is>
          <t>kich_thuoc_trang_bi_chan</t>
        </is>
      </c>
      <c r="I2898" s="16" t="inlineStr">
        <is>
          <t>Đạt</t>
        </is>
      </c>
      <c r="J2898" s="16" t="n">
        <v>0.001</v>
      </c>
    </row>
    <row r="2899">
      <c r="A2899" s="16" t="n">
        <v>2895</v>
      </c>
      <c r="B2899" s="16" t="inlineStr">
        <is>
          <t>Backend</t>
        </is>
      </c>
      <c r="C2899" s="17" t="inlineStr">
        <is>
          <t>ticketing-service</t>
        </is>
      </c>
      <c r="D2899" s="16" t="inlineStr">
        <is>
          <t>ArchUnit</t>
        </is>
      </c>
      <c r="E2899" s="17" t="inlineStr">
        <is>
          <t>ArchitectureTest</t>
        </is>
      </c>
      <c r="F2899" s="17" t="inlineStr"/>
      <c r="G2899" s="17" t="inlineStr">
        <is>
          <t>domain thuan nghiep vu</t>
        </is>
      </c>
      <c r="H2899" s="17" t="inlineStr">
        <is>
          <t>domain_thuan_nghiep_vu</t>
        </is>
      </c>
      <c r="I2899" s="16" t="inlineStr">
        <is>
          <t>Đạt</t>
        </is>
      </c>
      <c r="J2899" s="16" t="n">
        <v>3.062</v>
      </c>
    </row>
    <row r="2900">
      <c r="A2900" s="16" t="n">
        <v>2896</v>
      </c>
      <c r="B2900" s="16" t="inlineStr">
        <is>
          <t>Backend</t>
        </is>
      </c>
      <c r="C2900" s="17" t="inlineStr">
        <is>
          <t>ticketing-service</t>
        </is>
      </c>
      <c r="D2900" s="16" t="inlineStr">
        <is>
          <t>ArchUnit</t>
        </is>
      </c>
      <c r="E2900" s="17" t="inlineStr">
        <is>
          <t>ArchitectureTest</t>
        </is>
      </c>
      <c r="F2900" s="17" t="inlineStr"/>
      <c r="G2900" s="17" t="inlineStr">
        <is>
          <t>chieu phu thuoc hexagonal</t>
        </is>
      </c>
      <c r="H2900" s="17" t="inlineStr">
        <is>
          <t>chieu_phu_thuoc_hexagonal</t>
        </is>
      </c>
      <c r="I2900" s="16" t="inlineStr">
        <is>
          <t>Đạt</t>
        </is>
      </c>
      <c r="J2900" s="16" t="n">
        <v>0.292</v>
      </c>
    </row>
    <row r="2901">
      <c r="A2901" s="16" t="n">
        <v>2897</v>
      </c>
      <c r="B2901" s="16" t="inlineStr">
        <is>
          <t>Backend</t>
        </is>
      </c>
      <c r="C2901" s="17" t="inlineStr">
        <is>
          <t>ticketing-service</t>
        </is>
      </c>
      <c r="D2901" s="16" t="inlineStr">
        <is>
          <t>ArchUnit</t>
        </is>
      </c>
      <c r="E2901" s="17" t="inlineStr">
        <is>
          <t>ArchitectureTest</t>
        </is>
      </c>
      <c r="F2901" s="17" t="inlineStr"/>
      <c r="G2901" s="17" t="inlineStr">
        <is>
          <t>khong import cheo context</t>
        </is>
      </c>
      <c r="H2901" s="17" t="inlineStr">
        <is>
          <t>khong_import_cheo_context</t>
        </is>
      </c>
      <c r="I2901" s="16" t="inlineStr">
        <is>
          <t>Đạt</t>
        </is>
      </c>
      <c r="J2901" s="16" t="n">
        <v>0.037</v>
      </c>
    </row>
    <row r="2902">
      <c r="A2902" s="16" t="n">
        <v>2898</v>
      </c>
      <c r="B2902" s="16" t="inlineStr">
        <is>
          <t>Backend</t>
        </is>
      </c>
      <c r="C2902" s="17" t="inlineStr">
        <is>
          <t>ticketing-service</t>
        </is>
      </c>
      <c r="D2902" s="16" t="inlineStr">
        <is>
          <t>Unit</t>
        </is>
      </c>
      <c r="E2902" s="17" t="inlineStr">
        <is>
          <t>TicketLifecycleTest › KhungGio</t>
        </is>
      </c>
      <c r="F2902" s="17" t="inlineStr">
        <is>
          <t>Khung giờ cửa</t>
        </is>
      </c>
      <c r="G2902" s="17" t="inlineStr">
        <is>
          <t>Không khai giờ kết thúc: đóng sau khoảng mặc định kể từ giờ diễn</t>
        </is>
      </c>
      <c r="H2902" s="17" t="inlineStr">
        <is>
          <t>khong_khai_gio_ket_thuc</t>
        </is>
      </c>
      <c r="I2902" s="16" t="inlineStr">
        <is>
          <t>Đạt</t>
        </is>
      </c>
      <c r="J2902" s="16" t="n">
        <v>0.002</v>
      </c>
    </row>
    <row r="2903">
      <c r="A2903" s="16" t="n">
        <v>2899</v>
      </c>
      <c r="B2903" s="16" t="inlineStr">
        <is>
          <t>Backend</t>
        </is>
      </c>
      <c r="C2903" s="17" t="inlineStr">
        <is>
          <t>ticketing-service</t>
        </is>
      </c>
      <c r="D2903" s="16" t="inlineStr">
        <is>
          <t>Unit</t>
        </is>
      </c>
      <c r="E2903" s="17" t="inlineStr">
        <is>
          <t>TicketLifecycleTest › KhungGio</t>
        </is>
      </c>
      <c r="F2903" s="17" t="inlineStr">
        <is>
          <t>Khung giờ cửa</t>
        </is>
      </c>
      <c r="G2903" s="17" t="inlineStr">
        <is>
          <t>of() tính giờ mở = giờ diễn − khoảng mở trước; giờ đóng = giờ kết thúc khai báo</t>
        </is>
      </c>
      <c r="H2903" s="17" t="inlineStr">
        <is>
          <t>tinh_gio_mo_dong</t>
        </is>
      </c>
      <c r="I2903" s="16" t="inlineStr">
        <is>
          <t>Đạt</t>
        </is>
      </c>
      <c r="J2903" s="16" t="n">
        <v>0</v>
      </c>
    </row>
    <row r="2904">
      <c r="A2904" s="16" t="n">
        <v>2900</v>
      </c>
      <c r="B2904" s="16" t="inlineStr">
        <is>
          <t>Backend</t>
        </is>
      </c>
      <c r="C2904" s="17" t="inlineStr">
        <is>
          <t>ticketing-service</t>
        </is>
      </c>
      <c r="D2904" s="16" t="inlineStr">
        <is>
          <t>Unit</t>
        </is>
      </c>
      <c r="E2904" s="17" t="inlineStr">
        <is>
          <t>TicketLifecycleTest › PhatVe</t>
        </is>
      </c>
      <c r="F2904" s="17" t="inlineStr">
        <is>
          <t>Phát vé</t>
        </is>
      </c>
      <c r="G2904" s="17" t="inlineStr">
        <is>
          <t>Vé mới phát: VALID, đang ở ngoài, chưa vào lần nào, giữ nguyên nhãn snapshot</t>
        </is>
      </c>
      <c r="H2904" s="17" t="inlineStr">
        <is>
          <t>ve_moi_phat_o_ngoai_va_giu_nhan</t>
        </is>
      </c>
      <c r="I2904" s="16" t="inlineStr">
        <is>
          <t>Đạt</t>
        </is>
      </c>
      <c r="J2904" s="16" t="n">
        <v>0</v>
      </c>
    </row>
    <row r="2905">
      <c r="A2905" s="16" t="n">
        <v>2901</v>
      </c>
      <c r="B2905" s="16" t="inlineStr">
        <is>
          <t>Backend</t>
        </is>
      </c>
      <c r="C2905" s="17" t="inlineStr">
        <is>
          <t>ticketing-service</t>
        </is>
      </c>
      <c r="D2905" s="16" t="inlineStr">
        <is>
          <t>Unit</t>
        </is>
      </c>
      <c r="E2905" s="17" t="inlineStr">
        <is>
          <t>TicketLifecycleTest › PhatVe</t>
        </is>
      </c>
      <c r="F2905" s="17" t="inlineStr">
        <is>
          <t>Phát vé</t>
        </is>
      </c>
      <c r="G2905" s="17" t="inlineStr">
        <is>
          <t>Vé CHECKED_IN có từ trước khi có vào/ra được coi là đang ở trong, đã vào một lần</t>
        </is>
      </c>
      <c r="H2905" s="17" t="inlineStr">
        <is>
          <t>ve_cu_da_soat_mac_dinh_o_trong</t>
        </is>
      </c>
      <c r="I2905" s="16" t="inlineStr">
        <is>
          <t>Đạt</t>
        </is>
      </c>
      <c r="J2905" s="16" t="n">
        <v>0.001</v>
      </c>
    </row>
    <row r="2906">
      <c r="A2906" s="16" t="n">
        <v>2902</v>
      </c>
      <c r="B2906" s="16" t="inlineStr">
        <is>
          <t>Backend</t>
        </is>
      </c>
      <c r="C2906" s="17" t="inlineStr">
        <is>
          <t>ticketing-service</t>
        </is>
      </c>
      <c r="D2906" s="16" t="inlineStr">
        <is>
          <t>Unit</t>
        </is>
      </c>
      <c r="E2906" s="17" t="inlineStr">
        <is>
          <t>TicketLifecycleTest › PhatVe</t>
        </is>
      </c>
      <c r="F2906" s="17" t="inlineStr">
        <is>
          <t>Phát vé</t>
        </is>
      </c>
      <c r="G2906" s="17" t="inlineStr">
        <is>
          <t>Mỗi vé có id ngẫu nhiên riêng — id đoán được là dò được vé của người khác</t>
        </is>
      </c>
      <c r="H2906" s="17" t="inlineStr">
        <is>
          <t>moi_ve_mot_id_rieng</t>
        </is>
      </c>
      <c r="I2906" s="16" t="inlineStr">
        <is>
          <t>Đạt</t>
        </is>
      </c>
      <c r="J2906" s="16" t="n">
        <v>0.01</v>
      </c>
    </row>
    <row r="2907">
      <c r="A2907" s="16" t="n">
        <v>2903</v>
      </c>
      <c r="B2907" s="16" t="inlineStr">
        <is>
          <t>Backend</t>
        </is>
      </c>
      <c r="C2907" s="17" t="inlineStr">
        <is>
          <t>ticketing-service</t>
        </is>
      </c>
      <c r="D2907" s="16" t="inlineStr">
        <is>
          <t>Unit</t>
        </is>
      </c>
      <c r="E2907" s="17" t="inlineStr">
        <is>
          <t>TicketLifecycleTest › PhatVe</t>
        </is>
      </c>
      <c r="F2907" s="17" t="inlineStr">
        <is>
          <t>Phát vé</t>
        </is>
      </c>
      <c r="G2907" s="17" t="inlineStr">
        <is>
          <t>withPresence ghi đè mặc định bằng trạng thái đọc từ database</t>
        </is>
      </c>
      <c r="H2907" s="17" t="inlineStr">
        <is>
          <t>with_presence_ghi_de_mac_dinh</t>
        </is>
      </c>
      <c r="I2907" s="16" t="inlineStr">
        <is>
          <t>Đạt</t>
        </is>
      </c>
      <c r="J2907" s="16" t="n">
        <v>0.002</v>
      </c>
    </row>
    <row r="2908">
      <c r="A2908" s="16" t="n">
        <v>2904</v>
      </c>
      <c r="B2908" s="16" t="inlineStr">
        <is>
          <t>Backend</t>
        </is>
      </c>
      <c r="C2908" s="17" t="inlineStr">
        <is>
          <t>ticketing-service</t>
        </is>
      </c>
      <c r="D2908" s="16" t="inlineStr">
        <is>
          <t>Unit</t>
        </is>
      </c>
      <c r="E2908" s="17" t="inlineStr">
        <is>
          <t>TicketLifecycleTest › ThuTuKiem</t>
        </is>
      </c>
      <c r="F2908" s="17" t="inlineStr">
        <is>
          <t>Thứ tự kiểm khi quét</t>
        </is>
      </c>
      <c r="G2908" s="17" t="inlineStr">
        <is>
          <t>Vé đã ra ngoài rồi quét Ra lần nữa: NOT_INSIDE</t>
        </is>
      </c>
      <c r="H2908" s="17" t="inlineStr">
        <is>
          <t>ra_hai_lan</t>
        </is>
      </c>
      <c r="I2908" s="16" t="inlineStr">
        <is>
          <t>Đạt</t>
        </is>
      </c>
      <c r="J2908" s="16" t="n">
        <v>0.003</v>
      </c>
    </row>
    <row r="2909">
      <c r="A2909" s="16" t="n">
        <v>2905</v>
      </c>
      <c r="B2909" s="16" t="inlineStr">
        <is>
          <t>Backend</t>
        </is>
      </c>
      <c r="C2909" s="17" t="inlineStr">
        <is>
          <t>ticketing-service</t>
        </is>
      </c>
      <c r="D2909" s="16" t="inlineStr">
        <is>
          <t>Unit</t>
        </is>
      </c>
      <c r="E2909" s="17" t="inlineStr">
        <is>
          <t>TicketLifecycleTest › ThuTuKiem</t>
        </is>
      </c>
      <c r="F2909" s="17" t="inlineStr">
        <is>
          <t>Thứ tự kiểm khi quét</t>
        </is>
      </c>
      <c r="G2909" s="17" t="inlineStr">
        <is>
          <t>Vé đang ở trong: ALREADY_CHECKED_IN dù có tắt vào lại — dùng chung QR khác vào lại</t>
        </is>
      </c>
      <c r="H2909" s="17" t="inlineStr">
        <is>
          <t>dang_o_trong_bat_ke_cau_hinh_vao_lai</t>
        </is>
      </c>
      <c r="I2909" s="16" t="inlineStr">
        <is>
          <t>Đạt</t>
        </is>
      </c>
      <c r="J2909" s="16" t="n">
        <v>0.001</v>
      </c>
    </row>
    <row r="2910">
      <c r="A2910" s="16" t="n">
        <v>2906</v>
      </c>
      <c r="B2910" s="16" t="inlineStr">
        <is>
          <t>Backend</t>
        </is>
      </c>
      <c r="C2910" s="17" t="inlineStr">
        <is>
          <t>ticketing-service</t>
        </is>
      </c>
      <c r="D2910" s="16" t="inlineStr">
        <is>
          <t>Unit</t>
        </is>
      </c>
      <c r="E2910" s="17" t="inlineStr">
        <is>
          <t>TicketLifecycleTest › ThuTuKiem</t>
        </is>
      </c>
      <c r="F2910" s="17" t="inlineStr">
        <is>
          <t>Thứ tự kiểm khi quét</t>
        </is>
      </c>
      <c r="G2910" s="17" t="inlineStr">
        <is>
          <t>Quét Ra ở sai suất: báo sai suất, không báo 'chưa vào'</t>
        </is>
      </c>
      <c r="H2910" s="17" t="inlineStr">
        <is>
          <t>quet_ra_sai_suat</t>
        </is>
      </c>
      <c r="I2910" s="16" t="inlineStr">
        <is>
          <t>Đạt</t>
        </is>
      </c>
      <c r="J2910" s="16" t="n">
        <v>0.002</v>
      </c>
    </row>
    <row r="2911">
      <c r="A2911" s="16" t="n">
        <v>2907</v>
      </c>
      <c r="B2911" s="16" t="inlineStr">
        <is>
          <t>Backend</t>
        </is>
      </c>
      <c r="C2911" s="17" t="inlineStr">
        <is>
          <t>ticketing-service</t>
        </is>
      </c>
      <c r="D2911" s="16" t="inlineStr">
        <is>
          <t>Unit</t>
        </is>
      </c>
      <c r="E2911" s="17" t="inlineStr">
        <is>
          <t>TicketLifecycleTest › ThuTuKiem</t>
        </is>
      </c>
      <c r="F2911" s="17" t="inlineStr">
        <is>
          <t>Thứ tự kiểm khi quét</t>
        </is>
      </c>
      <c r="G2911" s="17" t="inlineStr">
        <is>
          <t>Vé thu hồi ở sai suất: sai suất được kiểm trước thu hồi</t>
        </is>
      </c>
      <c r="H2911" s="17" t="inlineStr">
        <is>
          <t>ve_thu_hoi_sai_suat</t>
        </is>
      </c>
      <c r="I2911" s="16" t="inlineStr">
        <is>
          <t>Đạt</t>
        </is>
      </c>
      <c r="J2911" s="16" t="n">
        <v>0.001</v>
      </c>
    </row>
    <row r="2912">
      <c r="A2912" s="16" t="n">
        <v>2908</v>
      </c>
      <c r="B2912" s="16" t="inlineStr">
        <is>
          <t>Backend</t>
        </is>
      </c>
      <c r="C2912" s="17" t="inlineStr">
        <is>
          <t>ticketing-service</t>
        </is>
      </c>
      <c r="D2912" s="16" t="inlineStr">
        <is>
          <t>Unit</t>
        </is>
      </c>
      <c r="E2912" s="17" t="inlineStr">
        <is>
          <t>TicketLifecycleTest › ThuTuKiem</t>
        </is>
      </c>
      <c r="F2912" s="17" t="inlineStr">
        <is>
          <t>Thứ tự kiểm khi quét</t>
        </is>
      </c>
      <c r="G2912" s="17" t="inlineStr">
        <is>
          <t>Đã vào nhiều lần, đang ở ngoài, tắt vào lại: REENTRY_NOT_ALLOWED</t>
        </is>
      </c>
      <c r="H2912" s="17" t="inlineStr">
        <is>
          <t>nhieu_lan_vao_tat_vao_lai</t>
        </is>
      </c>
      <c r="I2912" s="16" t="inlineStr">
        <is>
          <t>Đạt</t>
        </is>
      </c>
      <c r="J2912" s="16" t="n">
        <v>0.002</v>
      </c>
    </row>
    <row r="2913">
      <c r="A2913" s="16" t="n">
        <v>2909</v>
      </c>
      <c r="B2913" s="16" t="inlineStr">
        <is>
          <t>Backend</t>
        </is>
      </c>
      <c r="C2913" s="17" t="inlineStr">
        <is>
          <t>ticketing-service</t>
        </is>
      </c>
      <c r="D2913" s="16" t="inlineStr">
        <is>
          <t>Unit</t>
        </is>
      </c>
      <c r="E2913" s="17" t="inlineStr">
        <is>
          <t>TicketLifecycleTest › ThuTuKiem</t>
        </is>
      </c>
      <c r="F2913" s="17" t="inlineStr">
        <is>
          <t>Thứ tự kiểm khi quét</t>
        </is>
      </c>
      <c r="G2913" s="17" t="inlineStr">
        <is>
          <t>Vé thu hồi vẫn bị chặn dù database ghi là đang ở ngoài và chưa vào lần nào</t>
        </is>
      </c>
      <c r="H2913" s="17" t="inlineStr">
        <is>
          <t>ve_thu_hoi_khong_vao_duoc</t>
        </is>
      </c>
      <c r="I2913" s="16" t="inlineStr">
        <is>
          <t>Đạt</t>
        </is>
      </c>
      <c r="J2913" s="16" t="n">
        <v>0.001</v>
      </c>
    </row>
    <row r="2914">
      <c r="A2914" s="16" t="n">
        <v>2910</v>
      </c>
      <c r="B2914" s="16" t="inlineStr">
        <is>
          <t>Backend</t>
        </is>
      </c>
      <c r="C2914" s="17" t="inlineStr">
        <is>
          <t>ticketing-service</t>
        </is>
      </c>
      <c r="D2914" s="16" t="inlineStr">
        <is>
          <t>Unit</t>
        </is>
      </c>
      <c r="E2914" s="17" t="inlineStr">
        <is>
          <t>TicketLifecycleTest › TokenQr</t>
        </is>
      </c>
      <c r="F2914" s="17" t="inlineStr">
        <is>
          <t>Token QR</t>
        </is>
      </c>
      <c r="G2914" s="17" t="inlineStr">
        <is>
          <t>Hết hạn ĐÚNG tại giây exp, không phải sau đó</t>
        </is>
      </c>
      <c r="H2914" s="17" t="inlineStr">
        <is>
          <t>het_han_dung_tai_exp</t>
        </is>
      </c>
      <c r="I2914" s="16" t="inlineStr">
        <is>
          <t>Đạt</t>
        </is>
      </c>
      <c r="J2914" s="16" t="n">
        <v>0.003</v>
      </c>
    </row>
    <row r="2915">
      <c r="A2915" s="16" t="n">
        <v>2911</v>
      </c>
      <c r="B2915" s="16" t="inlineStr">
        <is>
          <t>Backend</t>
        </is>
      </c>
      <c r="C2915" s="17" t="inlineStr">
        <is>
          <t>ticketing-service</t>
        </is>
      </c>
      <c r="D2915" s="16" t="inlineStr">
        <is>
          <t>Unit</t>
        </is>
      </c>
      <c r="E2915" s="17" t="inlineStr">
        <is>
          <t>TicketLifecycleTest › YNghiaKetQua</t>
        </is>
      </c>
      <c r="F2915" s="17" t="inlineStr">
        <is>
          <t>Ý nghĩa kết quả quét</t>
        </is>
      </c>
      <c r="G2915" s="17" t="inlineStr">
        <is>
          <t>Mọi kết quả còn lại là từ chối</t>
        </is>
      </c>
      <c r="H2915" s="17" t="inlineStr">
        <is>
          <t>con_lai_la_tu_choi(CheckinResult)[1]</t>
        </is>
      </c>
      <c r="I2915" s="16" t="inlineStr">
        <is>
          <t>Đạt</t>
        </is>
      </c>
      <c r="J2915" s="16" t="n">
        <v>0.018</v>
      </c>
    </row>
    <row r="2916">
      <c r="A2916" s="16" t="n">
        <v>2912</v>
      </c>
      <c r="B2916" s="16" t="inlineStr">
        <is>
          <t>Backend</t>
        </is>
      </c>
      <c r="C2916" s="17" t="inlineStr">
        <is>
          <t>ticketing-service</t>
        </is>
      </c>
      <c r="D2916" s="16" t="inlineStr">
        <is>
          <t>Unit</t>
        </is>
      </c>
      <c r="E2916" s="17" t="inlineStr">
        <is>
          <t>TicketLifecycleTest › YNghiaKetQua</t>
        </is>
      </c>
      <c r="F2916" s="17" t="inlineStr">
        <is>
          <t>Ý nghĩa kết quả quét</t>
        </is>
      </c>
      <c r="G2916" s="17" t="inlineStr">
        <is>
          <t>Mọi kết quả còn lại là từ chối</t>
        </is>
      </c>
      <c r="H2916" s="17" t="inlineStr">
        <is>
          <t>con_lai_la_tu_choi(CheckinResult)[2]</t>
        </is>
      </c>
      <c r="I2916" s="16" t="inlineStr">
        <is>
          <t>Đạt</t>
        </is>
      </c>
      <c r="J2916" s="16" t="n">
        <v>0.001</v>
      </c>
    </row>
    <row r="2917">
      <c r="A2917" s="16" t="n">
        <v>2913</v>
      </c>
      <c r="B2917" s="16" t="inlineStr">
        <is>
          <t>Backend</t>
        </is>
      </c>
      <c r="C2917" s="17" t="inlineStr">
        <is>
          <t>ticketing-service</t>
        </is>
      </c>
      <c r="D2917" s="16" t="inlineStr">
        <is>
          <t>Unit</t>
        </is>
      </c>
      <c r="E2917" s="17" t="inlineStr">
        <is>
          <t>TicketLifecycleTest › YNghiaKetQua</t>
        </is>
      </c>
      <c r="F2917" s="17" t="inlineStr">
        <is>
          <t>Ý nghĩa kết quả quét</t>
        </is>
      </c>
      <c r="G2917" s="17" t="inlineStr">
        <is>
          <t>Mọi kết quả còn lại là từ chối</t>
        </is>
      </c>
      <c r="H2917" s="17" t="inlineStr">
        <is>
          <t>con_lai_la_tu_choi(CheckinResult)[3]</t>
        </is>
      </c>
      <c r="I2917" s="16" t="inlineStr">
        <is>
          <t>Đạt</t>
        </is>
      </c>
      <c r="J2917" s="16" t="n">
        <v>0.001</v>
      </c>
    </row>
    <row r="2918">
      <c r="A2918" s="16" t="n">
        <v>2914</v>
      </c>
      <c r="B2918" s="16" t="inlineStr">
        <is>
          <t>Backend</t>
        </is>
      </c>
      <c r="C2918" s="17" t="inlineStr">
        <is>
          <t>ticketing-service</t>
        </is>
      </c>
      <c r="D2918" s="16" t="inlineStr">
        <is>
          <t>Unit</t>
        </is>
      </c>
      <c r="E2918" s="17" t="inlineStr">
        <is>
          <t>TicketLifecycleTest › YNghiaKetQua</t>
        </is>
      </c>
      <c r="F2918" s="17" t="inlineStr">
        <is>
          <t>Ý nghĩa kết quả quét</t>
        </is>
      </c>
      <c r="G2918" s="17" t="inlineStr">
        <is>
          <t>Mọi kết quả còn lại là từ chối</t>
        </is>
      </c>
      <c r="H2918" s="17" t="inlineStr">
        <is>
          <t>con_lai_la_tu_choi(CheckinResult)[4]</t>
        </is>
      </c>
      <c r="I2918" s="16" t="inlineStr">
        <is>
          <t>Đạt</t>
        </is>
      </c>
      <c r="J2918" s="16" t="n">
        <v>0</v>
      </c>
    </row>
    <row r="2919">
      <c r="A2919" s="16" t="n">
        <v>2915</v>
      </c>
      <c r="B2919" s="16" t="inlineStr">
        <is>
          <t>Backend</t>
        </is>
      </c>
      <c r="C2919" s="17" t="inlineStr">
        <is>
          <t>ticketing-service</t>
        </is>
      </c>
      <c r="D2919" s="16" t="inlineStr">
        <is>
          <t>Unit</t>
        </is>
      </c>
      <c r="E2919" s="17" t="inlineStr">
        <is>
          <t>TicketLifecycleTest › YNghiaKetQua</t>
        </is>
      </c>
      <c r="F2919" s="17" t="inlineStr">
        <is>
          <t>Ý nghĩa kết quả quét</t>
        </is>
      </c>
      <c r="G2919" s="17" t="inlineStr">
        <is>
          <t>Mọi kết quả còn lại là từ chối</t>
        </is>
      </c>
      <c r="H2919" s="17" t="inlineStr">
        <is>
          <t>con_lai_la_tu_choi(CheckinResult)[5]</t>
        </is>
      </c>
      <c r="I2919" s="16" t="inlineStr">
        <is>
          <t>Đạt</t>
        </is>
      </c>
      <c r="J2919" s="16" t="n">
        <v>0.001</v>
      </c>
    </row>
    <row r="2920">
      <c r="A2920" s="16" t="n">
        <v>2916</v>
      </c>
      <c r="B2920" s="16" t="inlineStr">
        <is>
          <t>Backend</t>
        </is>
      </c>
      <c r="C2920" s="17" t="inlineStr">
        <is>
          <t>ticketing-service</t>
        </is>
      </c>
      <c r="D2920" s="16" t="inlineStr">
        <is>
          <t>Unit</t>
        </is>
      </c>
      <c r="E2920" s="17" t="inlineStr">
        <is>
          <t>TicketLifecycleTest › YNghiaKetQua</t>
        </is>
      </c>
      <c r="F2920" s="17" t="inlineStr">
        <is>
          <t>Ý nghĩa kết quả quét</t>
        </is>
      </c>
      <c r="G2920" s="17" t="inlineStr">
        <is>
          <t>Mọi kết quả còn lại là từ chối</t>
        </is>
      </c>
      <c r="H2920" s="17" t="inlineStr">
        <is>
          <t>con_lai_la_tu_choi(CheckinResult)[6]</t>
        </is>
      </c>
      <c r="I2920" s="16" t="inlineStr">
        <is>
          <t>Đạt</t>
        </is>
      </c>
      <c r="J2920" s="16" t="n">
        <v>0.001</v>
      </c>
    </row>
    <row r="2921">
      <c r="A2921" s="16" t="n">
        <v>2917</v>
      </c>
      <c r="B2921" s="16" t="inlineStr">
        <is>
          <t>Backend</t>
        </is>
      </c>
      <c r="C2921" s="17" t="inlineStr">
        <is>
          <t>ticketing-service</t>
        </is>
      </c>
      <c r="D2921" s="16" t="inlineStr">
        <is>
          <t>Unit</t>
        </is>
      </c>
      <c r="E2921" s="17" t="inlineStr">
        <is>
          <t>TicketLifecycleTest › YNghiaKetQua</t>
        </is>
      </c>
      <c r="F2921" s="17" t="inlineStr">
        <is>
          <t>Ý nghĩa kết quả quét</t>
        </is>
      </c>
      <c r="G2921" s="17" t="inlineStr">
        <is>
          <t>Mọi kết quả còn lại là từ chối</t>
        </is>
      </c>
      <c r="H2921" s="17" t="inlineStr">
        <is>
          <t>con_lai_la_tu_choi(CheckinResult)[7]</t>
        </is>
      </c>
      <c r="I2921" s="16" t="inlineStr">
        <is>
          <t>Đạt</t>
        </is>
      </c>
      <c r="J2921" s="16" t="n">
        <v>0.002</v>
      </c>
    </row>
    <row r="2922">
      <c r="A2922" s="16" t="n">
        <v>2918</v>
      </c>
      <c r="B2922" s="16" t="inlineStr">
        <is>
          <t>Backend</t>
        </is>
      </c>
      <c r="C2922" s="17" t="inlineStr">
        <is>
          <t>ticketing-service</t>
        </is>
      </c>
      <c r="D2922" s="16" t="inlineStr">
        <is>
          <t>Unit</t>
        </is>
      </c>
      <c r="E2922" s="17" t="inlineStr">
        <is>
          <t>TicketLifecycleTest › YNghiaKetQua</t>
        </is>
      </c>
      <c r="F2922" s="17" t="inlineStr">
        <is>
          <t>Ý nghĩa kết quả quét</t>
        </is>
      </c>
      <c r="G2922" s="17" t="inlineStr">
        <is>
          <t>Mọi kết quả còn lại là từ chối</t>
        </is>
      </c>
      <c r="H2922" s="17" t="inlineStr">
        <is>
          <t>con_lai_la_tu_choi(CheckinResult)[8]</t>
        </is>
      </c>
      <c r="I2922" s="16" t="inlineStr">
        <is>
          <t>Đạt</t>
        </is>
      </c>
      <c r="J2922" s="16" t="n">
        <v>0.002</v>
      </c>
    </row>
    <row r="2923">
      <c r="A2923" s="16" t="n">
        <v>2919</v>
      </c>
      <c r="B2923" s="16" t="inlineStr">
        <is>
          <t>Backend</t>
        </is>
      </c>
      <c r="C2923" s="17" t="inlineStr">
        <is>
          <t>ticketing-service</t>
        </is>
      </c>
      <c r="D2923" s="16" t="inlineStr">
        <is>
          <t>Unit</t>
        </is>
      </c>
      <c r="E2923" s="17" t="inlineStr">
        <is>
          <t>TicketLifecycleTest › YNghiaKetQua</t>
        </is>
      </c>
      <c r="F2923" s="17" t="inlineStr">
        <is>
          <t>Ý nghĩa kết quả quét</t>
        </is>
      </c>
      <c r="G2923" s="17" t="inlineStr">
        <is>
          <t>Mọi kết quả còn lại là từ chối</t>
        </is>
      </c>
      <c r="H2923" s="17" t="inlineStr">
        <is>
          <t>con_lai_la_tu_choi(CheckinResult)[9]</t>
        </is>
      </c>
      <c r="I2923" s="16" t="inlineStr">
        <is>
          <t>Đạt</t>
        </is>
      </c>
      <c r="J2923" s="16" t="n">
        <v>0.001</v>
      </c>
    </row>
    <row r="2924">
      <c r="A2924" s="16" t="n">
        <v>2920</v>
      </c>
      <c r="B2924" s="16" t="inlineStr">
        <is>
          <t>Backend</t>
        </is>
      </c>
      <c r="C2924" s="17" t="inlineStr">
        <is>
          <t>ticketing-service</t>
        </is>
      </c>
      <c r="D2924" s="16" t="inlineStr">
        <is>
          <t>Unit</t>
        </is>
      </c>
      <c r="E2924" s="17" t="inlineStr">
        <is>
          <t>TicketLifecycleTest › YNghiaKetQua</t>
        </is>
      </c>
      <c r="F2924" s="17" t="inlineStr">
        <is>
          <t>Ý nghĩa kết quả quét</t>
        </is>
      </c>
      <c r="G2924" s="17" t="inlineStr">
        <is>
          <t>Chỉ ACCEPTED là 'cho vào'; ACCEPTED và EXITED là đã đổi trạng thái vé</t>
        </is>
      </c>
      <c r="H2924" s="17" t="inlineStr">
        <is>
          <t>accepted_va_succeeded</t>
        </is>
      </c>
      <c r="I2924" s="16" t="inlineStr">
        <is>
          <t>Đạt</t>
        </is>
      </c>
      <c r="J2924" s="16" t="n">
        <v>0.003</v>
      </c>
    </row>
    <row r="2925">
      <c r="A2925" s="16" t="n">
        <v>2921</v>
      </c>
      <c r="B2925" s="16" t="inlineStr">
        <is>
          <t>Backend</t>
        </is>
      </c>
      <c r="C2925" s="17" t="inlineStr">
        <is>
          <t>ticketing-service</t>
        </is>
      </c>
      <c r="D2925" s="16" t="inlineStr">
        <is>
          <t>Unit</t>
        </is>
      </c>
      <c r="E2925" s="17" t="inlineStr">
        <is>
          <t>TicketTest</t>
        </is>
      </c>
      <c r="F2925" s="17" t="inlineStr"/>
      <c r="G2925" s="17" t="inlineStr">
        <is>
          <t>Vé đúng suất, còn hiệu lực: cho qua</t>
        </is>
      </c>
      <c r="H2925" s="17" t="inlineStr">
        <is>
          <t>ve_hop_le</t>
        </is>
      </c>
      <c r="I2925" s="16" t="inlineStr">
        <is>
          <t>Đạt</t>
        </is>
      </c>
      <c r="J2925" s="16" t="n">
        <v>0.001</v>
      </c>
    </row>
    <row r="2926">
      <c r="A2926" s="16" t="n">
        <v>2922</v>
      </c>
      <c r="B2926" s="16" t="inlineStr">
        <is>
          <t>Backend</t>
        </is>
      </c>
      <c r="C2926" s="17" t="inlineStr">
        <is>
          <t>ticketing-service</t>
        </is>
      </c>
      <c r="D2926" s="16" t="inlineStr">
        <is>
          <t>Unit</t>
        </is>
      </c>
      <c r="E2926" s="17" t="inlineStr">
        <is>
          <t>TicketTest</t>
        </is>
      </c>
      <c r="F2926" s="17" t="inlineStr"/>
      <c r="G2926" s="17" t="inlineStr">
        <is>
          <t>Vé thu hồi bị chặn ở cả hai hướng</t>
        </is>
      </c>
      <c r="H2926" s="17" t="inlineStr">
        <is>
          <t>ve_thu_hoi_ca_hai_huong</t>
        </is>
      </c>
      <c r="I2926" s="16" t="inlineStr">
        <is>
          <t>Đạt</t>
        </is>
      </c>
      <c r="J2926" s="16" t="n">
        <v>0.001</v>
      </c>
    </row>
    <row r="2927">
      <c r="A2927" s="16" t="n">
        <v>2923</v>
      </c>
      <c r="B2927" s="16" t="inlineStr">
        <is>
          <t>Backend</t>
        </is>
      </c>
      <c r="C2927" s="17" t="inlineStr">
        <is>
          <t>ticketing-service</t>
        </is>
      </c>
      <c r="D2927" s="16" t="inlineStr">
        <is>
          <t>Unit</t>
        </is>
      </c>
      <c r="E2927" s="17" t="inlineStr">
        <is>
          <t>TicketTest</t>
        </is>
      </c>
      <c r="F2927" s="17" t="inlineStr"/>
      <c r="G2927" s="17" t="inlineStr">
        <is>
          <t>Vé đã soát: ALREADY_CHECKED_IN, không phải từ chối chung chung</t>
        </is>
      </c>
      <c r="H2927" s="17" t="inlineStr">
        <is>
          <t>ve_da_soat</t>
        </is>
      </c>
      <c r="I2927" s="16" t="inlineStr">
        <is>
          <t>Đạt</t>
        </is>
      </c>
      <c r="J2927" s="16" t="n">
        <v>0.001</v>
      </c>
    </row>
    <row r="2928">
      <c r="A2928" s="16" t="n">
        <v>2924</v>
      </c>
      <c r="B2928" s="16" t="inlineStr">
        <is>
          <t>Backend</t>
        </is>
      </c>
      <c r="C2928" s="17" t="inlineStr">
        <is>
          <t>ticketing-service</t>
        </is>
      </c>
      <c r="D2928" s="16" t="inlineStr">
        <is>
          <t>Unit</t>
        </is>
      </c>
      <c r="E2928" s="17" t="inlineStr">
        <is>
          <t>TicketTest</t>
        </is>
      </c>
      <c r="F2928" s="17" t="inlineStr"/>
      <c r="G2928" s="17" t="inlineStr">
        <is>
          <t>Vé đã ra ngoài: vào lại được, trừ khi cấu hình không cho</t>
        </is>
      </c>
      <c r="H2928" s="17" t="inlineStr">
        <is>
          <t>vao_lai</t>
        </is>
      </c>
      <c r="I2928" s="16" t="inlineStr">
        <is>
          <t>Đạt</t>
        </is>
      </c>
      <c r="J2928" s="16" t="n">
        <v>0.001</v>
      </c>
    </row>
    <row r="2929">
      <c r="A2929" s="16" t="n">
        <v>2925</v>
      </c>
      <c r="B2929" s="16" t="inlineStr">
        <is>
          <t>Backend</t>
        </is>
      </c>
      <c r="C2929" s="17" t="inlineStr">
        <is>
          <t>ticketing-service</t>
        </is>
      </c>
      <c r="D2929" s="16" t="inlineStr">
        <is>
          <t>Unit</t>
        </is>
      </c>
      <c r="E2929" s="17" t="inlineStr">
        <is>
          <t>TicketTest</t>
        </is>
      </c>
      <c r="F2929" s="17" t="inlineStr"/>
      <c r="G2929" s="17" t="inlineStr">
        <is>
          <t>Vé đã thu hồi: REVOKED</t>
        </is>
      </c>
      <c r="H2929" s="17" t="inlineStr">
        <is>
          <t>ve_da_thu_hoi</t>
        </is>
      </c>
      <c r="I2929" s="16" t="inlineStr">
        <is>
          <t>Đạt</t>
        </is>
      </c>
      <c r="J2929" s="16" t="n">
        <v>0.002</v>
      </c>
    </row>
    <row r="2930">
      <c r="A2930" s="16" t="n">
        <v>2926</v>
      </c>
      <c r="B2930" s="16" t="inlineStr">
        <is>
          <t>Backend</t>
        </is>
      </c>
      <c r="C2930" s="17" t="inlineStr">
        <is>
          <t>ticketing-service</t>
        </is>
      </c>
      <c r="D2930" s="16" t="inlineStr">
        <is>
          <t>Unit</t>
        </is>
      </c>
      <c r="E2930" s="17" t="inlineStr">
        <is>
          <t>TicketTest</t>
        </is>
      </c>
      <c r="F2930" s="17" t="inlineStr"/>
      <c r="G2930" s="17" t="inlineStr">
        <is>
          <t>Vé của tổ chức khác không thuộc về nhân viên đang quét</t>
        </is>
      </c>
      <c r="H2930" s="17" t="inlineStr">
        <is>
          <t>ve_to_chuc_khac</t>
        </is>
      </c>
      <c r="I2930" s="16" t="inlineStr">
        <is>
          <t>Đạt</t>
        </is>
      </c>
      <c r="J2930" s="16" t="n">
        <v>0.002</v>
      </c>
    </row>
    <row r="2931">
      <c r="A2931" s="16" t="n">
        <v>2927</v>
      </c>
      <c r="B2931" s="16" t="inlineStr">
        <is>
          <t>Backend</t>
        </is>
      </c>
      <c r="C2931" s="17" t="inlineStr">
        <is>
          <t>ticketing-service</t>
        </is>
      </c>
      <c r="D2931" s="16" t="inlineStr">
        <is>
          <t>Unit</t>
        </is>
      </c>
      <c r="E2931" s="17" t="inlineStr">
        <is>
          <t>TicketTest</t>
        </is>
      </c>
      <c r="F2931" s="17" t="inlineStr"/>
      <c r="G2931" s="17" t="inlineStr">
        <is>
          <t>Quét Ra: chỉ vé đang ở trong mới ra được</t>
        </is>
      </c>
      <c r="H2931" s="17" t="inlineStr">
        <is>
          <t>quet_ra</t>
        </is>
      </c>
      <c r="I2931" s="16" t="inlineStr">
        <is>
          <t>Đạt</t>
        </is>
      </c>
      <c r="J2931" s="16" t="n">
        <v>0.001</v>
      </c>
    </row>
    <row r="2932">
      <c r="A2932" s="16" t="n">
        <v>2928</v>
      </c>
      <c r="B2932" s="16" t="inlineStr">
        <is>
          <t>Backend</t>
        </is>
      </c>
      <c r="C2932" s="17" t="inlineStr">
        <is>
          <t>ticketing-service</t>
        </is>
      </c>
      <c r="D2932" s="16" t="inlineStr">
        <is>
          <t>Unit</t>
        </is>
      </c>
      <c r="E2932" s="17" t="inlineStr">
        <is>
          <t>TicketTest</t>
        </is>
      </c>
      <c r="F2932" s="17" t="inlineStr"/>
      <c r="G2932" s="17" t="inlineStr">
        <is>
          <t>Cửa mở trước giờ diễn một khoảng, đóng khi suất kết thúc</t>
        </is>
      </c>
      <c r="H2932" s="17" t="inlineStr">
        <is>
          <t>khung_gio_mo_cua</t>
        </is>
      </c>
      <c r="I2932" s="16" t="inlineStr">
        <is>
          <t>Đạt</t>
        </is>
      </c>
      <c r="J2932" s="16" t="n">
        <v>0</v>
      </c>
    </row>
    <row r="2933">
      <c r="A2933" s="16" t="n">
        <v>2929</v>
      </c>
      <c r="B2933" s="16" t="inlineStr">
        <is>
          <t>Backend</t>
        </is>
      </c>
      <c r="C2933" s="17" t="inlineStr">
        <is>
          <t>ticketing-service</t>
        </is>
      </c>
      <c r="D2933" s="16" t="inlineStr">
        <is>
          <t>Unit</t>
        </is>
      </c>
      <c r="E2933" s="17" t="inlineStr">
        <is>
          <t>TicketTest</t>
        </is>
      </c>
      <c r="F2933" s="17" t="inlineStr"/>
      <c r="G2933" s="17" t="inlineStr">
        <is>
          <t>Sai suất diễn được kiểm TRƯỚC trạng thái vé</t>
        </is>
      </c>
      <c r="H2933" s="17" t="inlineStr">
        <is>
          <t>sai_suat_dien_kiem_truoc</t>
        </is>
      </c>
      <c r="I2933" s="16" t="inlineStr">
        <is>
          <t>Đạt</t>
        </is>
      </c>
      <c r="J2933" s="16" t="n">
        <v>0.002</v>
      </c>
    </row>
    <row r="2934">
      <c r="A2934" s="16" t="n">
        <v>2930</v>
      </c>
      <c r="B2934" s="16" t="inlineStr">
        <is>
          <t>Backend</t>
        </is>
      </c>
      <c r="C2934" s="17" t="inlineStr">
        <is>
          <t>ticketing-service</t>
        </is>
      </c>
      <c r="D2934" s="16" t="inlineStr">
        <is>
          <t>Unit</t>
        </is>
      </c>
      <c r="E2934" s="17" t="inlineStr">
        <is>
          <t>HttpAdaptersTest › Catalog</t>
        </is>
      </c>
      <c r="F2934" s="17" t="inlineStr">
        <is>
          <t>Catalog: giờ diễn của suất</t>
        </is>
      </c>
      <c r="G2934" s="17" t="inlineStr">
        <is>
          <t>Trong một phút chỉ hỏi catalog một lần; quá một phút thì hỏi lại</t>
        </is>
      </c>
      <c r="H2934" s="17" t="inlineStr">
        <is>
          <t>cache_mot_phut</t>
        </is>
      </c>
      <c r="I2934" s="16" t="inlineStr">
        <is>
          <t>Đạt</t>
        </is>
      </c>
      <c r="J2934" s="16" t="n">
        <v>0.019</v>
      </c>
    </row>
    <row r="2935">
      <c r="A2935" s="16" t="n">
        <v>2931</v>
      </c>
      <c r="B2935" s="16" t="inlineStr">
        <is>
          <t>Backend</t>
        </is>
      </c>
      <c r="C2935" s="17" t="inlineStr">
        <is>
          <t>ticketing-service</t>
        </is>
      </c>
      <c r="D2935" s="16" t="inlineStr">
        <is>
          <t>Unit</t>
        </is>
      </c>
      <c r="E2935" s="17" t="inlineStr">
        <is>
          <t>HttpAdaptersTest › Catalog</t>
        </is>
      </c>
      <c r="F2935" s="17" t="inlineStr">
        <is>
          <t>Catalog: giờ diễn của suất</t>
        </is>
      </c>
      <c r="G2935" s="17" t="inlineStr">
        <is>
          <t>Không khai giờ kết thúc: endsAt null, vẫn dùng được</t>
        </is>
      </c>
      <c r="H2935" s="17" t="inlineStr">
        <is>
          <t>khong_co_gio_ket_thuc</t>
        </is>
      </c>
      <c r="I2935" s="16" t="inlineStr">
        <is>
          <t>Đạt</t>
        </is>
      </c>
      <c r="J2935" s="16" t="n">
        <v>0.011</v>
      </c>
    </row>
    <row r="2936">
      <c r="A2936" s="16" t="n">
        <v>2932</v>
      </c>
      <c r="B2936" s="16" t="inlineStr">
        <is>
          <t>Backend</t>
        </is>
      </c>
      <c r="C2936" s="17" t="inlineStr">
        <is>
          <t>ticketing-service</t>
        </is>
      </c>
      <c r="D2936" s="16" t="inlineStr">
        <is>
          <t>Unit</t>
        </is>
      </c>
      <c r="E2936" s="17" t="inlineStr">
        <is>
          <t>HttpAdaptersTest › Catalog</t>
        </is>
      </c>
      <c r="F2936" s="17" t="inlineStr">
        <is>
          <t>Catalog: giờ diễn của suất</t>
        </is>
      </c>
      <c r="G2936" s="17" t="inlineStr">
        <is>
          <t>200: đọc đúng sự kiện, tên, giờ diễn; gọi đúng đường dẫn nội bộ</t>
        </is>
      </c>
      <c r="H2936" s="17" t="inlineStr">
        <is>
          <t>doc_duoc_suat</t>
        </is>
      </c>
      <c r="I2936" s="16" t="inlineStr">
        <is>
          <t>Đạt</t>
        </is>
      </c>
      <c r="J2936" s="16" t="n">
        <v>0.014</v>
      </c>
    </row>
    <row r="2937">
      <c r="A2937" s="16" t="n">
        <v>2933</v>
      </c>
      <c r="B2937" s="16" t="inlineStr">
        <is>
          <t>Backend</t>
        </is>
      </c>
      <c r="C2937" s="17" t="inlineStr">
        <is>
          <t>ticketing-service</t>
        </is>
      </c>
      <c r="D2937" s="16" t="inlineStr">
        <is>
          <t>Unit</t>
        </is>
      </c>
      <c r="E2937" s="17" t="inlineStr">
        <is>
          <t>HttpAdaptersTest › Catalog</t>
        </is>
      </c>
      <c r="F2937" s="17" t="inlineStr">
        <is>
          <t>Catalog: giờ diễn của suất</t>
        </is>
      </c>
      <c r="G2937" s="17" t="inlineStr">
        <is>
          <t>Lỗi không được cache: catalog sống lại thì lần quét kế tiếp thấy ngay</t>
        </is>
      </c>
      <c r="H2937" s="17" t="inlineStr">
        <is>
          <t>loi_khong_cache</t>
        </is>
      </c>
      <c r="I2937" s="16" t="inlineStr">
        <is>
          <t>Đạt</t>
        </is>
      </c>
      <c r="J2937" s="16" t="n">
        <v>0.013</v>
      </c>
    </row>
    <row r="2938">
      <c r="A2938" s="16" t="n">
        <v>2934</v>
      </c>
      <c r="B2938" s="16" t="inlineStr">
        <is>
          <t>Backend</t>
        </is>
      </c>
      <c r="C2938" s="17" t="inlineStr">
        <is>
          <t>ticketing-service</t>
        </is>
      </c>
      <c r="D2938" s="16" t="inlineStr">
        <is>
          <t>Unit</t>
        </is>
      </c>
      <c r="E2938" s="17" t="inlineStr">
        <is>
          <t>HttpAdaptersTest › Catalog</t>
        </is>
      </c>
      <c r="F2938" s="17" t="inlineStr">
        <is>
          <t>Catalog: giờ diễn của suất</t>
        </is>
      </c>
      <c r="G2938" s="17" t="inlineStr">
        <is>
          <t>404, thiếu eventId hoặc thiếu giờ diễn: rỗng, không ném</t>
        </is>
      </c>
      <c r="H2938" s="17" t="inlineStr">
        <is>
          <t>thieu_du_lieu_thi_rong</t>
        </is>
      </c>
      <c r="I2938" s="16" t="inlineStr">
        <is>
          <t>Đạt</t>
        </is>
      </c>
      <c r="J2938" s="16" t="n">
        <v>0.015</v>
      </c>
    </row>
    <row r="2939">
      <c r="A2939" s="16" t="n">
        <v>2935</v>
      </c>
      <c r="B2939" s="16" t="inlineStr">
        <is>
          <t>Backend</t>
        </is>
      </c>
      <c r="C2939" s="17" t="inlineStr">
        <is>
          <t>ticketing-service</t>
        </is>
      </c>
      <c r="D2939" s="16" t="inlineStr">
        <is>
          <t>Unit</t>
        </is>
      </c>
      <c r="E2939" s="17" t="inlineStr">
        <is>
          <t>HttpAdaptersTest › Catalog</t>
        </is>
      </c>
      <c r="F2939" s="17" t="inlineStr">
        <is>
          <t>Catalog: giờ diễn của suất</t>
        </is>
      </c>
      <c r="G2939" s="17" t="inlineStr">
        <is>
          <t>Catalog sập hẳn (không kết nối được): rỗng, không ném</t>
        </is>
      </c>
      <c r="H2939" s="17" t="inlineStr">
        <is>
          <t>mat_ket_noi</t>
        </is>
      </c>
      <c r="I2939" s="16" t="inlineStr">
        <is>
          <t>Đạt</t>
        </is>
      </c>
      <c r="J2939" s="16" t="n">
        <v>0.007</v>
      </c>
    </row>
    <row r="2940">
      <c r="A2940" s="16" t="n">
        <v>2936</v>
      </c>
      <c r="B2940" s="16" t="inlineStr">
        <is>
          <t>Backend</t>
        </is>
      </c>
      <c r="C2940" s="17" t="inlineStr">
        <is>
          <t>ticketing-service</t>
        </is>
      </c>
      <c r="D2940" s="16" t="inlineStr">
        <is>
          <t>Unit</t>
        </is>
      </c>
      <c r="E2940" s="17" t="inlineStr">
        <is>
          <t>HttpAdaptersTest › Identity</t>
        </is>
      </c>
      <c r="F2940" s="17" t="inlineStr">
        <is>
          <t>Identity: tên người mua</t>
        </is>
      </c>
      <c r="G2940" s="17" t="inlineStr">
        <is>
          <t>200 có tên: trả tên</t>
        </is>
      </c>
      <c r="H2940" s="17" t="inlineStr">
        <is>
          <t>co_ten</t>
        </is>
      </c>
      <c r="I2940" s="16" t="inlineStr">
        <is>
          <t>Đạt</t>
        </is>
      </c>
      <c r="J2940" s="16" t="n">
        <v>0.017</v>
      </c>
    </row>
    <row r="2941">
      <c r="A2941" s="16" t="n">
        <v>2937</v>
      </c>
      <c r="B2941" s="16" t="inlineStr">
        <is>
          <t>Backend</t>
        </is>
      </c>
      <c r="C2941" s="17" t="inlineStr">
        <is>
          <t>ticketing-service</t>
        </is>
      </c>
      <c r="D2941" s="16" t="inlineStr">
        <is>
          <t>Unit</t>
        </is>
      </c>
      <c r="E2941" s="17" t="inlineStr">
        <is>
          <t>HttpAdaptersTest › Identity</t>
        </is>
      </c>
      <c r="F2941" s="17" t="inlineStr">
        <is>
          <t>Identity: tên người mua</t>
        </is>
      </c>
      <c r="G2941" s="17" t="inlineStr">
        <is>
          <t>Tên trống, 404 hay 500: đều là rỗng — vé vẫn phát được</t>
        </is>
      </c>
      <c r="H2941" s="17" t="inlineStr">
        <is>
          <t>moi_kieu_hong_deu_rong</t>
        </is>
      </c>
      <c r="I2941" s="16" t="inlineStr">
        <is>
          <t>Đạt</t>
        </is>
      </c>
      <c r="J2941" s="16" t="n">
        <v>0.019</v>
      </c>
    </row>
    <row r="2942">
      <c r="A2942" s="16" t="n">
        <v>2938</v>
      </c>
      <c r="B2942" s="16" t="inlineStr">
        <is>
          <t>Backend</t>
        </is>
      </c>
      <c r="C2942" s="17" t="inlineStr">
        <is>
          <t>ticketing-service</t>
        </is>
      </c>
      <c r="D2942" s="16" t="inlineStr">
        <is>
          <t>Unit</t>
        </is>
      </c>
      <c r="E2942" s="17" t="inlineStr">
        <is>
          <t>HttpAdaptersTest › NhatKy</t>
        </is>
      </c>
      <c r="F2942" s="17" t="inlineStr">
        <is>
          <t>Nhật ký xuất danh sách người mua</t>
        </is>
      </c>
      <c r="G2942" s="17" t="inlineStr">
        <is>
          <t>Identity trả 4xx cũng NỔ — mọi lần không ghi được đều chặn lượt xuất</t>
        </is>
      </c>
      <c r="H2942" s="17" t="inlineStr">
        <is>
          <t>bon_tram_cung_no</t>
        </is>
      </c>
      <c r="I2942" s="16" t="inlineStr">
        <is>
          <t>Đạt</t>
        </is>
      </c>
      <c r="J2942" s="16" t="n">
        <v>0.031</v>
      </c>
    </row>
    <row r="2943">
      <c r="A2943" s="16" t="n">
        <v>2939</v>
      </c>
      <c r="B2943" s="16" t="inlineStr">
        <is>
          <t>Backend</t>
        </is>
      </c>
      <c r="C2943" s="17" t="inlineStr">
        <is>
          <t>ticketing-service</t>
        </is>
      </c>
      <c r="D2943" s="16" t="inlineStr">
        <is>
          <t>Unit</t>
        </is>
      </c>
      <c r="E2943" s="17" t="inlineStr">
        <is>
          <t>HttpAdaptersTest › NhatKy</t>
        </is>
      </c>
      <c r="F2943" s="17" t="inlineStr">
        <is>
          <t>Nhật ký xuất danh sách người mua</t>
        </is>
      </c>
      <c r="G2943" s="17" t="inlineStr">
        <is>
          <t>Identity trả 500: NỔ AuditUnavailableException, không nuốt</t>
        </is>
      </c>
      <c r="H2943" s="17" t="inlineStr">
        <is>
          <t>loi_thi_no</t>
        </is>
      </c>
      <c r="I2943" s="16" t="inlineStr">
        <is>
          <t>Đạt</t>
        </is>
      </c>
      <c r="J2943" s="16" t="n">
        <v>0.012</v>
      </c>
    </row>
    <row r="2944">
      <c r="A2944" s="16" t="n">
        <v>2940</v>
      </c>
      <c r="B2944" s="16" t="inlineStr">
        <is>
          <t>Backend</t>
        </is>
      </c>
      <c r="C2944" s="17" t="inlineStr">
        <is>
          <t>ticketing-service</t>
        </is>
      </c>
      <c r="D2944" s="16" t="inlineStr">
        <is>
          <t>Unit</t>
        </is>
      </c>
      <c r="E2944" s="17" t="inlineStr">
        <is>
          <t>HttpAdaptersTest › NhatKy</t>
        </is>
      </c>
      <c r="F2944" s="17" t="inlineStr">
        <is>
          <t>Nhật ký xuất danh sách người mua</t>
        </is>
      </c>
      <c r="G2944" s="17" t="inlineStr">
        <is>
          <t>Gửi đúng hành động, tổ chức, người thực hiện và chi tiết sang identity</t>
        </is>
      </c>
      <c r="H2944" s="17" t="inlineStr">
        <is>
          <t>gui_dung_noi_dung</t>
        </is>
      </c>
      <c r="I2944" s="16" t="inlineStr">
        <is>
          <t>Đạt</t>
        </is>
      </c>
      <c r="J2944" s="16" t="n">
        <v>0.017</v>
      </c>
    </row>
    <row r="2945">
      <c r="A2945" s="16" t="n">
        <v>2941</v>
      </c>
      <c r="B2945" s="16" t="inlineStr">
        <is>
          <t>Backend</t>
        </is>
      </c>
      <c r="C2945" s="17" t="inlineStr">
        <is>
          <t>ticketing-service</t>
        </is>
      </c>
      <c r="D2945" s="16" t="inlineStr">
        <is>
          <t>Unit</t>
        </is>
      </c>
      <c r="E2945" s="17" t="inlineStr">
        <is>
          <t>HttpAdaptersTest › Ordering</t>
        </is>
      </c>
      <c r="F2945" s="17" t="inlineStr">
        <is>
          <t>Ordering: chi tiết đơn và trạng thái</t>
        </is>
      </c>
      <c r="G2945" s="17" t="inlineStr">
        <is>
          <t>200 mà thân rỗng: tạm thời (giao lại), không phải 'đơn không tồn tại'</t>
        </is>
      </c>
      <c r="H2945" s="17" t="inlineStr">
        <is>
          <t>than_rong_la_tam_thoi</t>
        </is>
      </c>
      <c r="I2945" s="16" t="inlineStr">
        <is>
          <t>Đạt</t>
        </is>
      </c>
      <c r="J2945" s="16" t="n">
        <v>1.115</v>
      </c>
    </row>
    <row r="2946">
      <c r="A2946" s="16" t="n">
        <v>2942</v>
      </c>
      <c r="B2946" s="16" t="inlineStr">
        <is>
          <t>Backend</t>
        </is>
      </c>
      <c r="C2946" s="17" t="inlineStr">
        <is>
          <t>ticketing-service</t>
        </is>
      </c>
      <c r="D2946" s="16" t="inlineStr">
        <is>
          <t>Unit</t>
        </is>
      </c>
      <c r="E2946" s="17" t="inlineStr">
        <is>
          <t>HttpAdaptersTest › Ordering</t>
        </is>
      </c>
      <c r="F2946" s="17" t="inlineStr">
        <is>
          <t>Ordering: chi tiết đơn và trạng thái</t>
        </is>
      </c>
      <c r="G2946" s="17" t="inlineStr">
        <is>
          <t>Đơn không có trường items: danh sách dòng rỗng chứ không null</t>
        </is>
      </c>
      <c r="H2946" s="17" t="inlineStr">
        <is>
          <t>khong_co_items</t>
        </is>
      </c>
      <c r="I2946" s="16" t="inlineStr">
        <is>
          <t>Đạt</t>
        </is>
      </c>
      <c r="J2946" s="16" t="n">
        <v>0.17</v>
      </c>
    </row>
    <row r="2947">
      <c r="A2947" s="16" t="n">
        <v>2943</v>
      </c>
      <c r="B2947" s="16" t="inlineStr">
        <is>
          <t>Backend</t>
        </is>
      </c>
      <c r="C2947" s="17" t="inlineStr">
        <is>
          <t>ticketing-service</t>
        </is>
      </c>
      <c r="D2947" s="16" t="inlineStr">
        <is>
          <t>Unit</t>
        </is>
      </c>
      <c r="E2947" s="17" t="inlineStr">
        <is>
          <t>HttpAdaptersTest › Ordering</t>
        </is>
      </c>
      <c r="F2947" s="17" t="inlineStr">
        <is>
          <t>Ordering: chi tiết đơn và trạng thái</t>
        </is>
      </c>
      <c r="G2947" s="17" t="inlineStr">
        <is>
          <t>Trạng thái nhiều đơn: 200 trả map; 500 trả map rỗng, không ném</t>
        </is>
      </c>
      <c r="H2947" s="17" t="inlineStr">
        <is>
          <t>trang_thai_nhieu_don</t>
        </is>
      </c>
      <c r="I2947" s="16" t="inlineStr">
        <is>
          <t>Đạt</t>
        </is>
      </c>
      <c r="J2947" s="16" t="n">
        <v>0.125</v>
      </c>
    </row>
    <row r="2948">
      <c r="A2948" s="16" t="n">
        <v>2944</v>
      </c>
      <c r="B2948" s="16" t="inlineStr">
        <is>
          <t>Backend</t>
        </is>
      </c>
      <c r="C2948" s="17" t="inlineStr">
        <is>
          <t>ticketing-service</t>
        </is>
      </c>
      <c r="D2948" s="16" t="inlineStr">
        <is>
          <t>Unit</t>
        </is>
      </c>
      <c r="E2948" s="17" t="inlineStr">
        <is>
          <t>HttpAdaptersTest › Ordering</t>
        </is>
      </c>
      <c r="F2948" s="17" t="inlineStr">
        <is>
          <t>Ordering: chi tiết đơn và trạng thái</t>
        </is>
      </c>
      <c r="G2948" s="17" t="inlineStr">
        <is>
          <t>Trạng thái nhiều đơn: không có đơn nào thì không gọi mạng</t>
        </is>
      </c>
      <c r="H2948" s="17" t="inlineStr">
        <is>
          <t>khong_co_don_khong_goi</t>
        </is>
      </c>
      <c r="I2948" s="16" t="inlineStr">
        <is>
          <t>Đạt</t>
        </is>
      </c>
      <c r="J2948" s="16" t="n">
        <v>0.007</v>
      </c>
    </row>
    <row r="2949">
      <c r="A2949" s="16" t="n">
        <v>2945</v>
      </c>
      <c r="B2949" s="16" t="inlineStr">
        <is>
          <t>Backend</t>
        </is>
      </c>
      <c r="C2949" s="17" t="inlineStr">
        <is>
          <t>ticketing-service</t>
        </is>
      </c>
      <c r="D2949" s="16" t="inlineStr">
        <is>
          <t>Unit</t>
        </is>
      </c>
      <c r="E2949" s="17" t="inlineStr">
        <is>
          <t>HttpAdaptersTest › Ordering</t>
        </is>
      </c>
      <c r="F2949" s="17" t="inlineStr">
        <is>
          <t>Ordering: chi tiết đơn và trạng thái</t>
        </is>
      </c>
      <c r="G2949" s="17" t="inlineStr">
        <is>
          <t>200: dịch đơn sang PaidOrder kèm từng dòng</t>
        </is>
      </c>
      <c r="H2949" s="17" t="inlineStr">
        <is>
          <t>doc_don</t>
        </is>
      </c>
      <c r="I2949" s="16" t="inlineStr">
        <is>
          <t>Đạt</t>
        </is>
      </c>
      <c r="J2949" s="16" t="n">
        <v>0.022</v>
      </c>
    </row>
    <row r="2950">
      <c r="A2950" s="16" t="n">
        <v>2946</v>
      </c>
      <c r="B2950" s="16" t="inlineStr">
        <is>
          <t>Backend</t>
        </is>
      </c>
      <c r="C2950" s="17" t="inlineStr">
        <is>
          <t>ticketing-service</t>
        </is>
      </c>
      <c r="D2950" s="16" t="inlineStr">
        <is>
          <t>Unit</t>
        </is>
      </c>
      <c r="E2950" s="17" t="inlineStr">
        <is>
          <t>OrderPaidListenerTest › DuongThuong</t>
        </is>
      </c>
      <c r="F2950" s="17" t="inlineStr">
        <is>
          <t>Đường thường</t>
        </is>
      </c>
      <c r="G2950" s="17" t="inlineStr">
        <is>
          <t>Message trùng (RabbitMQ giao lại): bỏ qua, không gọi Ordering lần nữa</t>
        </is>
      </c>
      <c r="H2950" s="17" t="inlineStr">
        <is>
          <t>message_trung</t>
        </is>
      </c>
      <c r="I2950" s="16" t="inlineStr">
        <is>
          <t>Đạt</t>
        </is>
      </c>
      <c r="J2950" s="16" t="n">
        <v>0.003</v>
      </c>
    </row>
    <row r="2951">
      <c r="A2951" s="16" t="n">
        <v>2947</v>
      </c>
      <c r="B2951" s="16" t="inlineStr">
        <is>
          <t>Backend</t>
        </is>
      </c>
      <c r="C2951" s="17" t="inlineStr">
        <is>
          <t>ticketing-service</t>
        </is>
      </c>
      <c r="D2951" s="16" t="inlineStr">
        <is>
          <t>Unit</t>
        </is>
      </c>
      <c r="E2951" s="17" t="inlineStr">
        <is>
          <t>OrderPaidListenerTest › DuongThuong</t>
        </is>
      </c>
      <c r="F2951" s="17" t="inlineStr">
        <is>
          <t>Đường thường</t>
        </is>
      </c>
      <c r="G2951" s="17" t="inlineStr">
        <is>
          <t>Message mới: đánh dấu đã xử lý theo messageId rồi phát vé cho đúng đơn</t>
        </is>
      </c>
      <c r="H2951" s="17" t="inlineStr">
        <is>
          <t>message_moi</t>
        </is>
      </c>
      <c r="I2951" s="16" t="inlineStr">
        <is>
          <t>Đạt</t>
        </is>
      </c>
      <c r="J2951" s="16" t="n">
        <v>0.003</v>
      </c>
    </row>
    <row r="2952">
      <c r="A2952" s="16" t="n">
        <v>2948</v>
      </c>
      <c r="B2952" s="16" t="inlineStr">
        <is>
          <t>Backend</t>
        </is>
      </c>
      <c r="C2952" s="17" t="inlineStr">
        <is>
          <t>ticketing-service</t>
        </is>
      </c>
      <c r="D2952" s="16" t="inlineStr">
        <is>
          <t>Unit</t>
        </is>
      </c>
      <c r="E2952" s="17" t="inlineStr">
        <is>
          <t>OrderPaidListenerTest › MessageHong</t>
        </is>
      </c>
      <c r="F2952" s="17" t="inlineStr">
        <is>
          <t>Message hỏng</t>
        </is>
      </c>
      <c r="G2952" s="17" t="inlineStr">
        <is>
          <t>orderId không phải UUID: KHÔNG được ném lỗi khiến message bị giao lại vô hạn</t>
        </is>
      </c>
      <c r="H2952" s="17" t="inlineStr">
        <is>
          <t>order_id_khong_phai_uuid</t>
        </is>
      </c>
      <c r="I2952" s="16" t="inlineStr">
        <is>
          <t>Đạt</t>
        </is>
      </c>
      <c r="J2952" s="16" t="n">
        <v>0.004</v>
      </c>
    </row>
    <row r="2953">
      <c r="A2953" s="16" t="n">
        <v>2949</v>
      </c>
      <c r="B2953" s="16" t="inlineStr">
        <is>
          <t>Backend</t>
        </is>
      </c>
      <c r="C2953" s="17" t="inlineStr">
        <is>
          <t>ticketing-service</t>
        </is>
      </c>
      <c r="D2953" s="16" t="inlineStr">
        <is>
          <t>Unit</t>
        </is>
      </c>
      <c r="E2953" s="17" t="inlineStr">
        <is>
          <t>OrderPaidListenerTest › MessageHong</t>
        </is>
      </c>
      <c r="F2953" s="17" t="inlineStr">
        <is>
          <t>Message hỏng</t>
        </is>
      </c>
      <c r="G2953" s="17" t="inlineStr">
        <is>
          <t>Thân không phải JSON: bỏ, không ném để khỏi bị giao lại mãi</t>
        </is>
      </c>
      <c r="H2953" s="17" t="inlineStr">
        <is>
          <t>than_khong_phai_json</t>
        </is>
      </c>
      <c r="I2953" s="16" t="inlineStr">
        <is>
          <t>Đạt</t>
        </is>
      </c>
      <c r="J2953" s="16" t="n">
        <v>0.004</v>
      </c>
    </row>
    <row r="2954">
      <c r="A2954" s="16" t="n">
        <v>2950</v>
      </c>
      <c r="B2954" s="16" t="inlineStr">
        <is>
          <t>Backend</t>
        </is>
      </c>
      <c r="C2954" s="17" t="inlineStr">
        <is>
          <t>ticketing-service</t>
        </is>
      </c>
      <c r="D2954" s="16" t="inlineStr">
        <is>
          <t>Unit</t>
        </is>
      </c>
      <c r="E2954" s="17" t="inlineStr">
        <is>
          <t>OrderPaidListenerTest › MessageHong</t>
        </is>
      </c>
      <c r="F2954" s="17" t="inlineStr">
        <is>
          <t>Message hỏng</t>
        </is>
      </c>
      <c r="G2954" s="17" t="inlineStr">
        <is>
          <t>Thiếu orderId: bỏ, không phát vé</t>
        </is>
      </c>
      <c r="H2954" s="17" t="inlineStr">
        <is>
          <t>thieu_order_id</t>
        </is>
      </c>
      <c r="I2954" s="16" t="inlineStr">
        <is>
          <t>Đạt</t>
        </is>
      </c>
      <c r="J2954" s="16" t="n">
        <v>0.004</v>
      </c>
    </row>
    <row r="2955">
      <c r="A2955" s="16" t="n">
        <v>2951</v>
      </c>
      <c r="B2955" s="16" t="inlineStr">
        <is>
          <t>Backend</t>
        </is>
      </c>
      <c r="C2955" s="17" t="inlineStr">
        <is>
          <t>ticketing-service</t>
        </is>
      </c>
      <c r="D2955" s="16" t="inlineStr">
        <is>
          <t>Unit</t>
        </is>
      </c>
      <c r="E2955" s="17" t="inlineStr">
        <is>
          <t>OrderPaidListenerTest › MessageHong</t>
        </is>
      </c>
      <c r="F2955" s="17" t="inlineStr">
        <is>
          <t>Message hỏng</t>
        </is>
      </c>
      <c r="G2955" s="17" t="inlineStr">
        <is>
          <t>Không có messageId: bỏ, không chống trùng được thì không xử lý</t>
        </is>
      </c>
      <c r="H2955" s="17" t="inlineStr">
        <is>
          <t>khong_co_message_id</t>
        </is>
      </c>
      <c r="I2955" s="16" t="inlineStr">
        <is>
          <t>Đạt</t>
        </is>
      </c>
      <c r="J2955" s="16" t="n">
        <v>0.002</v>
      </c>
    </row>
    <row r="2956">
      <c r="A2956" s="16" t="n">
        <v>2952</v>
      </c>
      <c r="B2956" s="16" t="inlineStr">
        <is>
          <t>Backend</t>
        </is>
      </c>
      <c r="C2956" s="17" t="inlineStr">
        <is>
          <t>ticketing-service</t>
        </is>
      </c>
      <c r="D2956" s="16" t="inlineStr">
        <is>
          <t>Unit</t>
        </is>
      </c>
      <c r="E2956" s="17" t="inlineStr">
        <is>
          <t>OrderPaidListenerTest › OrderingTraLoi</t>
        </is>
      </c>
      <c r="F2956" s="17" t="inlineStr">
        <is>
          <t>Ordering trả lời khác nhau</t>
        </is>
      </c>
      <c r="G2956" s="17" t="inlineStr">
        <is>
          <t>Ordering nói đơn không tồn tại: đẩy sang DLQ, không giao lại</t>
        </is>
      </c>
      <c r="H2956" s="17" t="inlineStr">
        <is>
          <t>don_khong_ton_tai</t>
        </is>
      </c>
      <c r="I2956" s="16" t="inlineStr">
        <is>
          <t>Đạt</t>
        </is>
      </c>
      <c r="J2956" s="16" t="n">
        <v>0.089</v>
      </c>
    </row>
    <row r="2957">
      <c r="A2957" s="16" t="n">
        <v>2953</v>
      </c>
      <c r="B2957" s="16" t="inlineStr">
        <is>
          <t>Backend</t>
        </is>
      </c>
      <c r="C2957" s="17" t="inlineStr">
        <is>
          <t>ticketing-service</t>
        </is>
      </c>
      <c r="D2957" s="16" t="inlineStr">
        <is>
          <t>Unit</t>
        </is>
      </c>
      <c r="E2957" s="17" t="inlineStr">
        <is>
          <t>OrderPaidListenerTest › OrderingTraLoi</t>
        </is>
      </c>
      <c r="F2957" s="17" t="inlineStr">
        <is>
          <t>Ordering trả lời khác nhau</t>
        </is>
      </c>
      <c r="G2957" s="17" t="inlineStr">
        <is>
          <t>Ordering tạm thời không trả lời: ném nguyên để transaction rollback và message được giao lại</t>
        </is>
      </c>
      <c r="H2957" s="17" t="inlineStr">
        <is>
          <t>ordering_tam_thoi_hong</t>
        </is>
      </c>
      <c r="I2957" s="16" t="inlineStr">
        <is>
          <t>Đạt</t>
        </is>
      </c>
      <c r="J2957" s="16" t="n">
        <v>0.004</v>
      </c>
    </row>
    <row r="2958">
      <c r="A2958" s="16" t="n">
        <v>2954</v>
      </c>
      <c r="B2958" s="16" t="inlineStr">
        <is>
          <t>Backend</t>
        </is>
      </c>
      <c r="C2958" s="17" t="inlineStr">
        <is>
          <t>ticketing-service</t>
        </is>
      </c>
      <c r="D2958" s="16" t="inlineStr">
        <is>
          <t>Unit</t>
        </is>
      </c>
      <c r="E2958" s="17" t="inlineStr">
        <is>
          <t>TicketSigningTest › KhoKhoa</t>
        </is>
      </c>
      <c r="F2958" s="17" t="inlineStr">
        <is>
          <t>Kho khoá</t>
        </is>
      </c>
      <c r="G2958" s="17" t="inlineStr">
        <is>
          <t>Chưa có khoá đang hoạt động: ký bị từ chối với NO_SIGNING_KEY</t>
        </is>
      </c>
      <c r="H2958" s="17" t="inlineStr">
        <is>
          <t>khong_co_khoa</t>
        </is>
      </c>
      <c r="I2958" s="16" t="inlineStr">
        <is>
          <t>Đạt</t>
        </is>
      </c>
      <c r="J2958" s="16" t="n">
        <v>0.083</v>
      </c>
    </row>
    <row r="2959">
      <c r="A2959" s="16" t="n">
        <v>2955</v>
      </c>
      <c r="B2959" s="16" t="inlineStr">
        <is>
          <t>Backend</t>
        </is>
      </c>
      <c r="C2959" s="17" t="inlineStr">
        <is>
          <t>ticketing-service</t>
        </is>
      </c>
      <c r="D2959" s="16" t="inlineStr">
        <is>
          <t>Unit</t>
        </is>
      </c>
      <c r="E2959" s="17" t="inlineStr">
        <is>
          <t>TicketSigningTest › KhoKhoa</t>
        </is>
      </c>
      <c r="F2959" s="17" t="inlineStr">
        <is>
          <t>Kho khoá</t>
        </is>
      </c>
      <c r="G2959" s="17" t="inlineStr">
        <is>
          <t>Khoá đang hoạt động được đưa vào cache để verify không phải đọc database</t>
        </is>
      </c>
      <c r="H2959" s="17" t="inlineStr">
        <is>
          <t>khoa_dang_hoat_dong_vao_cache</t>
        </is>
      </c>
      <c r="I2959" s="16" t="inlineStr">
        <is>
          <t>Đạt</t>
        </is>
      </c>
      <c r="J2959" s="16" t="n">
        <v>0.011</v>
      </c>
    </row>
    <row r="2960">
      <c r="A2960" s="16" t="n">
        <v>2956</v>
      </c>
      <c r="B2960" s="16" t="inlineStr">
        <is>
          <t>Backend</t>
        </is>
      </c>
      <c r="C2960" s="17" t="inlineStr">
        <is>
          <t>ticketing-service</t>
        </is>
      </c>
      <c r="D2960" s="16" t="inlineStr">
        <is>
          <t>Unit</t>
        </is>
      </c>
      <c r="E2960" s="17" t="inlineStr">
        <is>
          <t>TicketSigningTest › KhoKhoa</t>
        </is>
      </c>
      <c r="F2960" s="17" t="inlineStr">
        <is>
          <t>Kho khoá</t>
        </is>
      </c>
      <c r="G2960" s="17" t="inlineStr">
        <is>
          <t>kid không tồn tại không được cache: khoá mới thêm vào thì thấy ngay</t>
        </is>
      </c>
      <c r="H2960" s="17" t="inlineStr">
        <is>
          <t>kid_khong_ton_tai_khong_cache</t>
        </is>
      </c>
      <c r="I2960" s="16" t="inlineStr">
        <is>
          <t>Đạt</t>
        </is>
      </c>
      <c r="J2960" s="16" t="n">
        <v>0.006</v>
      </c>
    </row>
    <row r="2961">
      <c r="A2961" s="16" t="n">
        <v>2957</v>
      </c>
      <c r="B2961" s="16" t="inlineStr">
        <is>
          <t>Backend</t>
        </is>
      </c>
      <c r="C2961" s="17" t="inlineStr">
        <is>
          <t>ticketing-service</t>
        </is>
      </c>
      <c r="D2961" s="16" t="inlineStr">
        <is>
          <t>Unit</t>
        </is>
      </c>
      <c r="E2961" s="17" t="inlineStr">
        <is>
          <t>TicketSigningTest › KhoKhoa</t>
        </is>
      </c>
      <c r="F2961" s="17" t="inlineStr">
        <is>
          <t>Kho khoá</t>
        </is>
      </c>
      <c r="G2961" s="17" t="inlineStr">
        <is>
          <t>Tra theo kid: lần đầu đọc database, các lần sau đọc cache</t>
        </is>
      </c>
      <c r="H2961" s="17" t="inlineStr">
        <is>
          <t>tra_theo_kid_co_cache</t>
        </is>
      </c>
      <c r="I2961" s="16" t="inlineStr">
        <is>
          <t>Đạt</t>
        </is>
      </c>
      <c r="J2961" s="16" t="n">
        <v>0.006</v>
      </c>
    </row>
    <row r="2962">
      <c r="A2962" s="16" t="n">
        <v>2958</v>
      </c>
      <c r="B2962" s="16" t="inlineStr">
        <is>
          <t>Backend</t>
        </is>
      </c>
      <c r="C2962" s="17" t="inlineStr">
        <is>
          <t>ticketing-service</t>
        </is>
      </c>
      <c r="D2962" s="16" t="inlineStr">
        <is>
          <t>Unit</t>
        </is>
      </c>
      <c r="E2962" s="17" t="inlineStr">
        <is>
          <t>TicketSigningTest › KyRoiKiem</t>
        </is>
      </c>
      <c r="F2962" s="17" t="inlineStr">
        <is>
          <t>Ký rồi kiểm</t>
        </is>
      </c>
      <c r="G2962" s="17" t="inlineStr">
        <is>
          <t>Token vừa ký kiểm lại được, đúng jti và exp; header mang alg EdDSA và kid của khoá</t>
        </is>
      </c>
      <c r="H2962" s="17" t="inlineStr">
        <is>
          <t>ky_roi_kiem</t>
        </is>
      </c>
      <c r="I2962" s="16" t="inlineStr">
        <is>
          <t>Đạt</t>
        </is>
      </c>
      <c r="J2962" s="16" t="n">
        <v>0.014</v>
      </c>
    </row>
    <row r="2963">
      <c r="A2963" s="16" t="n">
        <v>2959</v>
      </c>
      <c r="B2963" s="16" t="inlineStr">
        <is>
          <t>Backend</t>
        </is>
      </c>
      <c r="C2963" s="17" t="inlineStr">
        <is>
          <t>ticketing-service</t>
        </is>
      </c>
      <c r="D2963" s="16" t="inlineStr">
        <is>
          <t>Unit</t>
        </is>
      </c>
      <c r="E2963" s="17" t="inlineStr">
        <is>
          <t>TicketSigningTest › KyRoiKiem</t>
        </is>
      </c>
      <c r="F2963" s="17" t="inlineStr">
        <is>
          <t>Ký rồi kiểm</t>
        </is>
      </c>
      <c r="G2963" s="17" t="inlineStr">
        <is>
          <t>Khoá đã nghỉ hưu, chỉ còn khoá công khai, vẫn kiểm được vé cũ</t>
        </is>
      </c>
      <c r="H2963" s="17" t="inlineStr">
        <is>
          <t>khoa_nghi_huu_chi_con_khoa_cong_khai</t>
        </is>
      </c>
      <c r="I2963" s="16" t="inlineStr">
        <is>
          <t>Đạt</t>
        </is>
      </c>
      <c r="J2963" s="16" t="n">
        <v>0.012</v>
      </c>
    </row>
    <row r="2964">
      <c r="A2964" s="16" t="n">
        <v>2960</v>
      </c>
      <c r="B2964" s="16" t="inlineStr">
        <is>
          <t>Backend</t>
        </is>
      </c>
      <c r="C2964" s="17" t="inlineStr">
        <is>
          <t>ticketing-service</t>
        </is>
      </c>
      <c r="D2964" s="16" t="inlineStr">
        <is>
          <t>Unit</t>
        </is>
      </c>
      <c r="E2964" s="17" t="inlineStr">
        <is>
          <t>TicketSigningTest › VeGia</t>
        </is>
      </c>
      <c r="F2964" s="17" t="inlineStr">
        <is>
          <t>Vé giả</t>
        </is>
      </c>
      <c r="G2964" s="17" t="inlineStr">
        <is>
          <t>Kéo dài hạn bằng cách sửa exp trong payload: từ chối</t>
        </is>
      </c>
      <c r="H2964" s="17" t="inlineStr">
        <is>
          <t>sua_exp</t>
        </is>
      </c>
      <c r="I2964" s="16" t="inlineStr">
        <is>
          <t>Đạt</t>
        </is>
      </c>
      <c r="J2964" s="16" t="n">
        <v>0.042</v>
      </c>
    </row>
    <row r="2965">
      <c r="A2965" s="16" t="n">
        <v>2961</v>
      </c>
      <c r="B2965" s="16" t="inlineStr">
        <is>
          <t>Backend</t>
        </is>
      </c>
      <c r="C2965" s="17" t="inlineStr">
        <is>
          <t>ticketing-service</t>
        </is>
      </c>
      <c r="D2965" s="16" t="inlineStr">
        <is>
          <t>Unit</t>
        </is>
      </c>
      <c r="E2965" s="17" t="inlineStr">
        <is>
          <t>TicketSigningTest › VeGia</t>
        </is>
      </c>
      <c r="F2965" s="17" t="inlineStr">
        <is>
          <t>Vé giả</t>
        </is>
      </c>
      <c r="G2965" s="17" t="inlineStr">
        <is>
          <t>kid không có trong kho: từ chối</t>
        </is>
      </c>
      <c r="H2965" s="17" t="inlineStr">
        <is>
          <t>kid_la</t>
        </is>
      </c>
      <c r="I2965" s="16" t="inlineStr">
        <is>
          <t>Đạt</t>
        </is>
      </c>
      <c r="J2965" s="16" t="n">
        <v>0.012</v>
      </c>
    </row>
    <row r="2966">
      <c r="A2966" s="16" t="n">
        <v>2962</v>
      </c>
      <c r="B2966" s="16" t="inlineStr">
        <is>
          <t>Backend</t>
        </is>
      </c>
      <c r="C2966" s="17" t="inlineStr">
        <is>
          <t>ticketing-service</t>
        </is>
      </c>
      <c r="D2966" s="16" t="inlineStr">
        <is>
          <t>Unit</t>
        </is>
      </c>
      <c r="E2966" s="17" t="inlineStr">
        <is>
          <t>TicketSigningTest › VeGia</t>
        </is>
      </c>
      <c r="F2966" s="17" t="inlineStr">
        <is>
          <t>Vé giả</t>
        </is>
      </c>
      <c r="G2966" s="17" t="inlineStr">
        <is>
          <t>Header không có kid, hoặc không phải JSON: từ chối, không ném</t>
        </is>
      </c>
      <c r="H2966" s="17" t="inlineStr">
        <is>
          <t>header_hong</t>
        </is>
      </c>
      <c r="I2966" s="16" t="inlineStr">
        <is>
          <t>Đạt</t>
        </is>
      </c>
      <c r="J2966" s="16" t="n">
        <v>0.01</v>
      </c>
    </row>
    <row r="2967">
      <c r="A2967" s="16" t="n">
        <v>2963</v>
      </c>
      <c r="B2967" s="16" t="inlineStr">
        <is>
          <t>Backend</t>
        </is>
      </c>
      <c r="C2967" s="17" t="inlineStr">
        <is>
          <t>ticketing-service</t>
        </is>
      </c>
      <c r="D2967" s="16" t="inlineStr">
        <is>
          <t>Unit</t>
        </is>
      </c>
      <c r="E2967" s="17" t="inlineStr">
        <is>
          <t>TicketSigningTest › VeGia</t>
        </is>
      </c>
      <c r="F2967" s="17" t="inlineStr">
        <is>
          <t>Vé giả</t>
        </is>
      </c>
      <c r="G2967" s="17" t="inlineStr">
        <is>
          <t>alg: none không chữ ký: từ chối</t>
        </is>
      </c>
      <c r="H2967" s="17" t="inlineStr">
        <is>
          <t>alg_none</t>
        </is>
      </c>
      <c r="I2967" s="16" t="inlineStr">
        <is>
          <t>Đạt</t>
        </is>
      </c>
      <c r="J2967" s="16" t="n">
        <v>0.004</v>
      </c>
    </row>
    <row r="2968">
      <c r="A2968" s="16" t="n">
        <v>2964</v>
      </c>
      <c r="B2968" s="16" t="inlineStr">
        <is>
          <t>Backend</t>
        </is>
      </c>
      <c r="C2968" s="17" t="inlineStr">
        <is>
          <t>ticketing-service</t>
        </is>
      </c>
      <c r="D2968" s="16" t="inlineStr">
        <is>
          <t>Unit</t>
        </is>
      </c>
      <c r="E2968" s="17" t="inlineStr">
        <is>
          <t>TicketSigningTest › VeGia</t>
        </is>
      </c>
      <c r="F2968" s="17" t="inlineStr">
        <is>
          <t>Vé giả</t>
        </is>
      </c>
      <c r="G2968" s="17" t="inlineStr">
        <is>
          <t>Ghép chữ ký của vé A vào nội dung của vé B: từ chối</t>
        </is>
      </c>
      <c r="H2968" s="17" t="inlineStr">
        <is>
          <t>ghep_chu_ky</t>
        </is>
      </c>
      <c r="I2968" s="16" t="inlineStr">
        <is>
          <t>Đạt</t>
        </is>
      </c>
      <c r="J2968" s="16" t="n">
        <v>0.018</v>
      </c>
    </row>
    <row r="2969">
      <c r="A2969" s="16" t="n">
        <v>2965</v>
      </c>
      <c r="B2969" s="16" t="inlineStr">
        <is>
          <t>Backend</t>
        </is>
      </c>
      <c r="C2969" s="17" t="inlineStr">
        <is>
          <t>ticketing-service</t>
        </is>
      </c>
      <c r="D2969" s="16" t="inlineStr">
        <is>
          <t>Unit</t>
        </is>
      </c>
      <c r="E2969" s="17" t="inlineStr">
        <is>
          <t>TicketSigningTest › VeGia</t>
        </is>
      </c>
      <c r="F2969" s="17" t="inlineStr">
        <is>
          <t>Vé giả</t>
        </is>
      </c>
      <c r="G2969" s="17" t="inlineStr">
        <is>
          <t>Hết hạn đúng tại giây exp: từ chối</t>
        </is>
      </c>
      <c r="H2969" s="17" t="inlineStr">
        <is>
          <t>het_han_dung_giay_exp</t>
        </is>
      </c>
      <c r="I2969" s="16" t="inlineStr">
        <is>
          <t>Đạt</t>
        </is>
      </c>
      <c r="J2969" s="16" t="n">
        <v>0.013</v>
      </c>
    </row>
    <row r="2970">
      <c r="A2970" s="16" t="n">
        <v>2966</v>
      </c>
      <c r="B2970" s="16" t="inlineStr">
        <is>
          <t>Backend</t>
        </is>
      </c>
      <c r="C2970" s="17" t="inlineStr">
        <is>
          <t>ticketing-service</t>
        </is>
      </c>
      <c r="D2970" s="16" t="inlineStr">
        <is>
          <t>Unit</t>
        </is>
      </c>
      <c r="E2970" s="17" t="inlineStr">
        <is>
          <t>TicketSigningTest › VeGia</t>
        </is>
      </c>
      <c r="F2970" s="17" t="inlineStr">
        <is>
          <t>Vé giả</t>
        </is>
      </c>
      <c r="G2970" s="17" t="inlineStr">
        <is>
          <t>Ký bằng khoá khác nhưng mạo danh kid của hệ thống: từ chối</t>
        </is>
      </c>
      <c r="H2970" s="17" t="inlineStr">
        <is>
          <t>khoa_sai_mao_danh_kid</t>
        </is>
      </c>
      <c r="I2970" s="16" t="inlineStr">
        <is>
          <t>Đạt</t>
        </is>
      </c>
      <c r="J2970" s="16" t="n">
        <v>0.013</v>
      </c>
    </row>
    <row r="2971">
      <c r="A2971" s="16" t="n">
        <v>2967</v>
      </c>
      <c r="B2971" s="16" t="inlineStr">
        <is>
          <t>Backend</t>
        </is>
      </c>
      <c r="C2971" s="17" t="inlineStr">
        <is>
          <t>ticketing-service</t>
        </is>
      </c>
      <c r="D2971" s="16" t="inlineStr">
        <is>
          <t>Unit</t>
        </is>
      </c>
      <c r="E2971" s="17" t="inlineStr">
        <is>
          <t>OrderingFailureKindTest</t>
        </is>
      </c>
      <c r="F2971" s="17" t="inlineStr"/>
      <c r="G2971" s="17" t="inlineStr">
        <is>
          <t>500: tạm thời — Ordering trục trặc, lát nữa hỏi lại là được</t>
        </is>
      </c>
      <c r="H2971" s="17" t="inlineStr">
        <is>
          <t>nam_tram_la_tam_thoi</t>
        </is>
      </c>
      <c r="I2971" s="16" t="inlineStr">
        <is>
          <t>Đạt</t>
        </is>
      </c>
      <c r="J2971" s="16" t="n">
        <v>0.015</v>
      </c>
    </row>
    <row r="2972">
      <c r="A2972" s="16" t="n">
        <v>2968</v>
      </c>
      <c r="B2972" s="16" t="inlineStr">
        <is>
          <t>Backend</t>
        </is>
      </c>
      <c r="C2972" s="17" t="inlineStr">
        <is>
          <t>ticketing-service</t>
        </is>
      </c>
      <c r="D2972" s="16" t="inlineStr">
        <is>
          <t>Unit</t>
        </is>
      </c>
      <c r="E2972" s="17" t="inlineStr">
        <is>
          <t>OrderingFailureKindTest</t>
        </is>
      </c>
      <c r="F2972" s="17" t="inlineStr"/>
      <c r="G2972" s="17" t="inlineStr">
        <is>
          <t>400: dứt khoát — request của ta sai, gửi lại y hệt thì vẫn sai</t>
        </is>
      </c>
      <c r="H2972" s="17" t="inlineStr">
        <is>
          <t>bon_tram_la_dut_khoat</t>
        </is>
      </c>
      <c r="I2972" s="16" t="inlineStr">
        <is>
          <t>Đạt</t>
        </is>
      </c>
      <c r="J2972" s="16" t="n">
        <v>0.012</v>
      </c>
    </row>
    <row r="2973">
      <c r="A2973" s="16" t="n">
        <v>2969</v>
      </c>
      <c r="B2973" s="16" t="inlineStr">
        <is>
          <t>Backend</t>
        </is>
      </c>
      <c r="C2973" s="17" t="inlineStr">
        <is>
          <t>ticketing-service</t>
        </is>
      </c>
      <c r="D2973" s="16" t="inlineStr">
        <is>
          <t>Unit</t>
        </is>
      </c>
      <c r="E2973" s="17" t="inlineStr">
        <is>
          <t>OrderingFailureKindTest</t>
        </is>
      </c>
      <c r="F2973" s="17" t="inlineStr"/>
      <c r="G2973" s="17" t="inlineStr">
        <is>
          <t>429: tạm thời, dù là 4xx — 'chậm lại' nghĩa là thử lại được</t>
        </is>
      </c>
      <c r="H2973" s="17" t="inlineStr">
        <is>
          <t>bon_hai_chin_la_tam_thoi</t>
        </is>
      </c>
      <c r="I2973" s="16" t="inlineStr">
        <is>
          <t>Đạt</t>
        </is>
      </c>
      <c r="J2973" s="16" t="n">
        <v>0.011</v>
      </c>
    </row>
    <row r="2974">
      <c r="A2974" s="16" t="n">
        <v>2970</v>
      </c>
      <c r="B2974" s="16" t="inlineStr">
        <is>
          <t>Backend</t>
        </is>
      </c>
      <c r="C2974" s="17" t="inlineStr">
        <is>
          <t>ticketing-service</t>
        </is>
      </c>
      <c r="D2974" s="16" t="inlineStr">
        <is>
          <t>Unit</t>
        </is>
      </c>
      <c r="E2974" s="17" t="inlineStr">
        <is>
          <t>OrderingFailureKindTest</t>
        </is>
      </c>
      <c r="F2974" s="17" t="inlineStr"/>
      <c r="G2974" s="17" t="inlineStr">
        <is>
          <t>404: dứt khoát — hỏi lại lần thứ một nghìn cũng vẫn 404</t>
        </is>
      </c>
      <c r="H2974" s="17" t="inlineStr">
        <is>
          <t>bon_khong_bon_la_dut_khoat</t>
        </is>
      </c>
      <c r="I2974" s="16" t="inlineStr">
        <is>
          <t>Đạt</t>
        </is>
      </c>
      <c r="J2974" s="16" t="n">
        <v>0.011</v>
      </c>
    </row>
    <row r="2975">
      <c r="A2975" s="16" t="n">
        <v>2971</v>
      </c>
      <c r="B2975" s="16" t="inlineStr">
        <is>
          <t>Backend</t>
        </is>
      </c>
      <c r="C2975" s="17" t="inlineStr">
        <is>
          <t>ticketing-service</t>
        </is>
      </c>
      <c r="D2975" s="16" t="inlineStr">
        <is>
          <t>Unit</t>
        </is>
      </c>
      <c r="E2975" s="17" t="inlineStr">
        <is>
          <t>OrderingFailureKindTest</t>
        </is>
      </c>
      <c r="F2975" s="17" t="inlineStr"/>
      <c r="G2975" s="17" t="inlineStr">
        <is>
          <t>không kết nối được: tạm thời</t>
        </is>
      </c>
      <c r="H2975" s="17" t="inlineStr">
        <is>
          <t>mat_ket_noi_la_tam_thoi</t>
        </is>
      </c>
      <c r="I2975" s="16" t="inlineStr">
        <is>
          <t>Đạt</t>
        </is>
      </c>
      <c r="J2975" s="16" t="n">
        <v>0.008999999999999999</v>
      </c>
    </row>
    <row r="2976">
      <c r="A2976" s="16" t="n">
        <v>2972</v>
      </c>
      <c r="B2976" s="16" t="inlineStr">
        <is>
          <t>Backend</t>
        </is>
      </c>
      <c r="C2976" s="17" t="inlineStr">
        <is>
          <t>ticketing-service</t>
        </is>
      </c>
      <c r="D2976" s="16" t="inlineStr">
        <is>
          <t>API slice</t>
        </is>
      </c>
      <c r="E2976" s="17" t="inlineStr">
        <is>
          <t>CheckinControllerWebTest › ChoVaoThuCong</t>
        </is>
      </c>
      <c r="F2976" s="17" t="inlineStr">
        <is>
          <t>Cho vào thủ công</t>
        </is>
      </c>
      <c r="G2976" s="17" t="inlineStr">
        <is>
          <t>Quản lý ghi đè có lý do: handler nhận cờ ghi đè và lý do</t>
        </is>
      </c>
      <c r="H2976" s="17" t="inlineStr">
        <is>
          <t>ghi_de_co_ly_do</t>
        </is>
      </c>
      <c r="I2976" s="16" t="inlineStr">
        <is>
          <t>Đạt</t>
        </is>
      </c>
      <c r="J2976" s="16" t="n">
        <v>0.008</v>
      </c>
    </row>
    <row r="2977">
      <c r="A2977" s="16" t="n">
        <v>2973</v>
      </c>
      <c r="B2977" s="16" t="inlineStr">
        <is>
          <t>Backend</t>
        </is>
      </c>
      <c r="C2977" s="17" t="inlineStr">
        <is>
          <t>ticketing-service</t>
        </is>
      </c>
      <c r="D2977" s="16" t="inlineStr">
        <is>
          <t>API slice</t>
        </is>
      </c>
      <c r="E2977" s="17" t="inlineStr">
        <is>
          <t>CheckinControllerWebTest › ChoVaoThuCong</t>
        </is>
      </c>
      <c r="F2977" s="17" t="inlineStr">
        <is>
          <t>Cho vào thủ công</t>
        </is>
      </c>
      <c r="G2977" s="17" t="inlineStr">
        <is>
          <t>Nhân viên soát vé thường không được ghi đè: 403</t>
        </is>
      </c>
      <c r="H2977" s="17" t="inlineStr">
        <is>
          <t>nhan_vien_khong_duoc_ghi_de</t>
        </is>
      </c>
      <c r="I2977" s="16" t="inlineStr">
        <is>
          <t>Đạt</t>
        </is>
      </c>
      <c r="J2977" s="16" t="n">
        <v>0.008999999999999999</v>
      </c>
    </row>
    <row r="2978">
      <c r="A2978" s="16" t="n">
        <v>2974</v>
      </c>
      <c r="B2978" s="16" t="inlineStr">
        <is>
          <t>Backend</t>
        </is>
      </c>
      <c r="C2978" s="17" t="inlineStr">
        <is>
          <t>ticketing-service</t>
        </is>
      </c>
      <c r="D2978" s="16" t="inlineStr">
        <is>
          <t>API slice</t>
        </is>
      </c>
      <c r="E2978" s="17" t="inlineStr">
        <is>
          <t>CheckinControllerWebTest › ChoVaoThuCong</t>
        </is>
      </c>
      <c r="F2978" s="17" t="inlineStr">
        <is>
          <t>Cho vào thủ công</t>
        </is>
      </c>
      <c r="G2978" s="17" t="inlineStr">
        <is>
          <t>Quản lý ghi đè mà không có lý do: 400 OVERRIDE_REASON_REQUIRED</t>
        </is>
      </c>
      <c r="H2978" s="17" t="inlineStr">
        <is>
          <t>ghi_de_khong_ly_do</t>
        </is>
      </c>
      <c r="I2978" s="16" t="inlineStr">
        <is>
          <t>Đạt</t>
        </is>
      </c>
      <c r="J2978" s="16" t="n">
        <v>0.011</v>
      </c>
    </row>
    <row r="2979">
      <c r="A2979" s="16" t="n">
        <v>2975</v>
      </c>
      <c r="B2979" s="16" t="inlineStr">
        <is>
          <t>Backend</t>
        </is>
      </c>
      <c r="C2979" s="17" t="inlineStr">
        <is>
          <t>ticketing-service</t>
        </is>
      </c>
      <c r="D2979" s="16" t="inlineStr">
        <is>
          <t>API slice</t>
        </is>
      </c>
      <c r="E2979" s="17" t="inlineStr">
        <is>
          <t>CheckinControllerWebTest › DauVao</t>
        </is>
      </c>
      <c r="F2979" s="17" t="inlineStr">
        <is>
          <t>Kiểm tra đầu vào</t>
        </is>
      </c>
      <c r="G2979" s="17" t="inlineStr">
        <is>
          <t>JSON hỏng: 400 'Malformed request body', không phải 500</t>
        </is>
      </c>
      <c r="H2979" s="17" t="inlineStr">
        <is>
          <t>json_hong</t>
        </is>
      </c>
      <c r="I2979" s="16" t="inlineStr">
        <is>
          <t>Đạt</t>
        </is>
      </c>
      <c r="J2979" s="16" t="n">
        <v>0.01</v>
      </c>
    </row>
    <row r="2980">
      <c r="A2980" s="16" t="n">
        <v>2976</v>
      </c>
      <c r="B2980" s="16" t="inlineStr">
        <is>
          <t>Backend</t>
        </is>
      </c>
      <c r="C2980" s="17" t="inlineStr">
        <is>
          <t>ticketing-service</t>
        </is>
      </c>
      <c r="D2980" s="16" t="inlineStr">
        <is>
          <t>API slice</t>
        </is>
      </c>
      <c r="E2980" s="17" t="inlineStr">
        <is>
          <t>CheckinControllerWebTest › DauVao</t>
        </is>
      </c>
      <c r="F2980" s="17" t="inlineStr">
        <is>
          <t>Kiểm tra đầu vào</t>
        </is>
      </c>
      <c r="G2980" s="17" t="inlineStr">
        <is>
          <t>Không có thân request: 400</t>
        </is>
      </c>
      <c r="H2980" s="17" t="inlineStr">
        <is>
          <t>khong_co_than</t>
        </is>
      </c>
      <c r="I2980" s="16" t="inlineStr">
        <is>
          <t>Đạt</t>
        </is>
      </c>
      <c r="J2980" s="16" t="n">
        <v>0.008</v>
      </c>
    </row>
    <row r="2981">
      <c r="A2981" s="16" t="n">
        <v>2977</v>
      </c>
      <c r="B2981" s="16" t="inlineStr">
        <is>
          <t>Backend</t>
        </is>
      </c>
      <c r="C2981" s="17" t="inlineStr">
        <is>
          <t>ticketing-service</t>
        </is>
      </c>
      <c r="D2981" s="16" t="inlineStr">
        <is>
          <t>API slice</t>
        </is>
      </c>
      <c r="E2981" s="17" t="inlineStr">
        <is>
          <t>CheckinControllerWebTest › DauVao</t>
        </is>
      </c>
      <c r="F2981" s="17" t="inlineStr">
        <is>
          <t>Kiểm tra đầu vào</t>
        </is>
      </c>
      <c r="G2981" s="17" t="inlineStr">
        <is>
          <t>Mã vé, cổng, lý do quá dài: 400 kèm đủ ba trường</t>
        </is>
      </c>
      <c r="H2981" s="17" t="inlineStr">
        <is>
          <t>truong_qua_dai</t>
        </is>
      </c>
      <c r="I2981" s="16" t="inlineStr">
        <is>
          <t>Đạt</t>
        </is>
      </c>
      <c r="J2981" s="16" t="n">
        <v>0.03</v>
      </c>
    </row>
    <row r="2982">
      <c r="A2982" s="16" t="n">
        <v>2978</v>
      </c>
      <c r="B2982" s="16" t="inlineStr">
        <is>
          <t>Backend</t>
        </is>
      </c>
      <c r="C2982" s="17" t="inlineStr">
        <is>
          <t>ticketing-service</t>
        </is>
      </c>
      <c r="D2982" s="16" t="inlineStr">
        <is>
          <t>API slice</t>
        </is>
      </c>
      <c r="E2982" s="17" t="inlineStr">
        <is>
          <t>CheckinControllerWebTest › DauVao</t>
        </is>
      </c>
      <c r="F2982" s="17" t="inlineStr">
        <is>
          <t>Kiểm tra đầu vào</t>
        </is>
      </c>
      <c r="G2982" s="17" t="inlineStr">
        <is>
          <t>Hướng quét không phải IN/OUT: 400 VALIDATION_FAILED, chỉ ra trường sai</t>
        </is>
      </c>
      <c r="H2982" s="17" t="inlineStr">
        <is>
          <t>huong_sai</t>
        </is>
      </c>
      <c r="I2982" s="16" t="inlineStr">
        <is>
          <t>Đạt</t>
        </is>
      </c>
      <c r="J2982" s="16" t="n">
        <v>0.01</v>
      </c>
    </row>
    <row r="2983">
      <c r="A2983" s="16" t="n">
        <v>2979</v>
      </c>
      <c r="B2983" s="16" t="inlineStr">
        <is>
          <t>Backend</t>
        </is>
      </c>
      <c r="C2983" s="17" t="inlineStr">
        <is>
          <t>ticketing-service</t>
        </is>
      </c>
      <c r="D2983" s="16" t="inlineStr">
        <is>
          <t>API slice</t>
        </is>
      </c>
      <c r="E2983" s="17" t="inlineStr">
        <is>
          <t>CheckinControllerWebTest › DauVao</t>
        </is>
      </c>
      <c r="F2983" s="17" t="inlineStr">
        <is>
          <t>Kiểm tra đầu vào</t>
        </is>
      </c>
      <c r="G2983" s="17" t="inlineStr">
        <is>
          <t>Mã suất trên đường dẫn không phải UUID: 400, không phải 500</t>
        </is>
      </c>
      <c r="H2983" s="17" t="inlineStr">
        <is>
          <t>ma_suat_khong_phai_uuid</t>
        </is>
      </c>
      <c r="I2983" s="16" t="inlineStr">
        <is>
          <t>Đạt</t>
        </is>
      </c>
      <c r="J2983" s="16" t="n">
        <v>0.008</v>
      </c>
    </row>
    <row r="2984">
      <c r="A2984" s="16" t="n">
        <v>2980</v>
      </c>
      <c r="B2984" s="16" t="inlineStr">
        <is>
          <t>Backend</t>
        </is>
      </c>
      <c r="C2984" s="17" t="inlineStr">
        <is>
          <t>ticketing-service</t>
        </is>
      </c>
      <c r="D2984" s="16" t="inlineStr">
        <is>
          <t>API slice</t>
        </is>
      </c>
      <c r="E2984" s="17" t="inlineStr">
        <is>
          <t>CheckinControllerWebTest › DoiDau</t>
        </is>
      </c>
      <c r="F2984" s="17" t="inlineStr">
        <is>
          <t>Tương thích máy soát vé đời đầu</t>
        </is>
      </c>
      <c r="G2984" s="17" t="inlineStr">
        <is>
          <t>Không gửi hướng: NOT_OPEN_YET quy về WRONG_SESSION, lý do thật vẫn nằm trong note</t>
        </is>
      </c>
      <c r="H2984" s="17" t="inlineStr">
        <is>
          <t>khong_gui_huong_quy_doi</t>
        </is>
      </c>
      <c r="I2984" s="16" t="inlineStr">
        <is>
          <t>Đạt</t>
        </is>
      </c>
      <c r="J2984" s="16" t="n">
        <v>0.008999999999999999</v>
      </c>
    </row>
    <row r="2985">
      <c r="A2985" s="16" t="n">
        <v>2981</v>
      </c>
      <c r="B2985" s="16" t="inlineStr">
        <is>
          <t>Backend</t>
        </is>
      </c>
      <c r="C2985" s="17" t="inlineStr">
        <is>
          <t>ticketing-service</t>
        </is>
      </c>
      <c r="D2985" s="16" t="inlineStr">
        <is>
          <t>API slice</t>
        </is>
      </c>
      <c r="E2985" s="17" t="inlineStr">
        <is>
          <t>CheckinControllerWebTest › DoiDau</t>
        </is>
      </c>
      <c r="F2985" s="17" t="inlineStr">
        <is>
          <t>Tương thích máy soát vé đời đầu</t>
        </is>
      </c>
      <c r="G2985" s="17" t="inlineStr">
        <is>
          <t>Có gửi hướng: trả nguyên kết quả, không quy đổi</t>
        </is>
      </c>
      <c r="H2985" s="17" t="inlineStr">
        <is>
          <t>co_gui_huong_khong_quy_doi</t>
        </is>
      </c>
      <c r="I2985" s="16" t="inlineStr">
        <is>
          <t>Đạt</t>
        </is>
      </c>
      <c r="J2985" s="16" t="n">
        <v>0.008999999999999999</v>
      </c>
    </row>
    <row r="2986">
      <c r="A2986" s="16" t="n">
        <v>2982</v>
      </c>
      <c r="B2986" s="16" t="inlineStr">
        <is>
          <t>Backend</t>
        </is>
      </c>
      <c r="C2986" s="17" t="inlineStr">
        <is>
          <t>ticketing-service</t>
        </is>
      </c>
      <c r="D2986" s="16" t="inlineStr">
        <is>
          <t>API slice</t>
        </is>
      </c>
      <c r="E2986" s="17" t="inlineStr">
        <is>
          <t>CheckinControllerWebTest › DoiDau</t>
        </is>
      </c>
      <c r="F2986" s="17" t="inlineStr">
        <is>
          <t>Tương thích máy soát vé đời đầu</t>
        </is>
      </c>
      <c r="G2986" s="17" t="inlineStr">
        <is>
          <t>Không gửi hướng: REENTRY_NOT_ALLOWED quy về ALREADY_CHECKED_IN</t>
        </is>
      </c>
      <c r="H2986" s="17" t="inlineStr">
        <is>
          <t>vao_lai_quy_doi</t>
        </is>
      </c>
      <c r="I2986" s="16" t="inlineStr">
        <is>
          <t>Đạt</t>
        </is>
      </c>
      <c r="J2986" s="16" t="n">
        <v>0.008</v>
      </c>
    </row>
    <row r="2987">
      <c r="A2987" s="16" t="n">
        <v>2983</v>
      </c>
      <c r="B2987" s="16" t="inlineStr">
        <is>
          <t>Backend</t>
        </is>
      </c>
      <c r="C2987" s="17" t="inlineStr">
        <is>
          <t>ticketing-service</t>
        </is>
      </c>
      <c r="D2987" s="16" t="inlineStr">
        <is>
          <t>API slice</t>
        </is>
      </c>
      <c r="E2987" s="17" t="inlineStr">
        <is>
          <t>CheckinControllerWebTest › DoiDau</t>
        </is>
      </c>
      <c r="F2987" s="17" t="inlineStr">
        <is>
          <t>Tương thích máy soát vé đời đầu</t>
        </is>
      </c>
      <c r="G2987" s="17" t="inlineStr">
        <is>
          <t>Vé bị từ chối vẫn là 200 kèm lý do — máy ở cửa cần đọc được lý do</t>
        </is>
      </c>
      <c r="H2987" s="17" t="inlineStr">
        <is>
          <t>tu_choi_van_200</t>
        </is>
      </c>
      <c r="I2987" s="16" t="inlineStr">
        <is>
          <t>Đạt</t>
        </is>
      </c>
      <c r="J2987" s="16" t="n">
        <v>0.013</v>
      </c>
    </row>
    <row r="2988">
      <c r="A2988" s="16" t="n">
        <v>2984</v>
      </c>
      <c r="B2988" s="16" t="inlineStr">
        <is>
          <t>Backend</t>
        </is>
      </c>
      <c r="C2988" s="17" t="inlineStr">
        <is>
          <t>ticketing-service</t>
        </is>
      </c>
      <c r="D2988" s="16" t="inlineStr">
        <is>
          <t>API slice</t>
        </is>
      </c>
      <c r="E2988" s="17" t="inlineStr">
        <is>
          <t>CheckinControllerWebTest › DuongCu</t>
        </is>
      </c>
      <c r="F2988" s="17" t="inlineStr">
        <is>
          <t>Đường soát vé không mang tổ chức</t>
        </is>
      </c>
      <c r="G2988" s="17" t="inlineStr">
        <is>
          <t>Nhân viên thuộc đúng một tổ chức, đã được gán: soát được qua /v1/sessions/{id}/checkins</t>
        </is>
      </c>
      <c r="H2988" s="17" t="inlineStr">
        <is>
          <t>nhan_vien_mot_to_chuc_soat_duoc</t>
        </is>
      </c>
      <c r="I2988" s="16" t="inlineStr">
        <is>
          <t>Đạt</t>
        </is>
      </c>
      <c r="J2988" s="16" t="n">
        <v>0.012</v>
      </c>
    </row>
    <row r="2989">
      <c r="A2989" s="16" t="n">
        <v>2985</v>
      </c>
      <c r="B2989" s="16" t="inlineStr">
        <is>
          <t>Backend</t>
        </is>
      </c>
      <c r="C2989" s="17" t="inlineStr">
        <is>
          <t>ticketing-service</t>
        </is>
      </c>
      <c r="D2989" s="16" t="inlineStr">
        <is>
          <t>API slice</t>
        </is>
      </c>
      <c r="E2989" s="17" t="inlineStr">
        <is>
          <t>CheckinControllerWebTest › DuongCu</t>
        </is>
      </c>
      <c r="F2989" s="17" t="inlineStr">
        <is>
          <t>Đường soát vé không mang tổ chức</t>
        </is>
      </c>
      <c r="G2989" s="17" t="inlineStr">
        <is>
          <t>Không có token: 401</t>
        </is>
      </c>
      <c r="H2989" s="17" t="inlineStr">
        <is>
          <t>khong_token</t>
        </is>
      </c>
      <c r="I2989" s="16" t="inlineStr">
        <is>
          <t>Đạt</t>
        </is>
      </c>
      <c r="J2989" s="16" t="n">
        <v>0.008999999999999999</v>
      </c>
    </row>
    <row r="2990">
      <c r="A2990" s="16" t="n">
        <v>2986</v>
      </c>
      <c r="B2990" s="16" t="inlineStr">
        <is>
          <t>Backend</t>
        </is>
      </c>
      <c r="C2990" s="17" t="inlineStr">
        <is>
          <t>ticketing-service</t>
        </is>
      </c>
      <c r="D2990" s="16" t="inlineStr">
        <is>
          <t>API slice</t>
        </is>
      </c>
      <c r="E2990" s="17" t="inlineStr">
        <is>
          <t>CheckinControllerWebTest › DuongCuVanKiemQuyen</t>
        </is>
      </c>
      <c r="F2990" s="17" t="inlineStr">
        <is>
          <t>Đường cũ vẫn kiểm quyền (đã bỏ @RequiresPermission, không bỏ kiểm quyền)</t>
        </is>
      </c>
      <c r="G2990" s="17" t="inlineStr">
        <is>
          <t>Nhân viên chưa được gán sự kiện: 403 NOT_YOUR_EVENT, handler không chạy</t>
        </is>
      </c>
      <c r="H2990" s="17" t="inlineStr">
        <is>
          <t>chua_duoc_gan</t>
        </is>
      </c>
      <c r="I2990" s="16" t="inlineStr">
        <is>
          <t>Đạt</t>
        </is>
      </c>
      <c r="J2990" s="16" t="n">
        <v>0.014</v>
      </c>
    </row>
    <row r="2991">
      <c r="A2991" s="16" t="n">
        <v>2987</v>
      </c>
      <c r="B2991" s="16" t="inlineStr">
        <is>
          <t>Backend</t>
        </is>
      </c>
      <c r="C2991" s="17" t="inlineStr">
        <is>
          <t>ticketing-service</t>
        </is>
      </c>
      <c r="D2991" s="16" t="inlineStr">
        <is>
          <t>API slice</t>
        </is>
      </c>
      <c r="E2991" s="17" t="inlineStr">
        <is>
          <t>CheckinControllerWebTest › DuongCuVanKiemQuyen</t>
        </is>
      </c>
      <c r="F2991" s="17" t="inlineStr">
        <is>
          <t>Đường cũ vẫn kiểm quyền (đã bỏ @RequiresPermission, không bỏ kiểm quyền)</t>
        </is>
      </c>
      <c r="G2991" s="17" t="inlineStr">
        <is>
          <t>Vai trò không có quyền soát vé (EVENT_MANAGER hợp lệ nhưng khách không): khách bị từ chối</t>
        </is>
      </c>
      <c r="H2991" s="17" t="inlineStr">
        <is>
          <t>khach_khong_soat_duoc</t>
        </is>
      </c>
      <c r="I2991" s="16" t="inlineStr">
        <is>
          <t>Đạt</t>
        </is>
      </c>
      <c r="J2991" s="16" t="n">
        <v>0.011</v>
      </c>
    </row>
    <row r="2992">
      <c r="A2992" s="16" t="n">
        <v>2988</v>
      </c>
      <c r="B2992" s="16" t="inlineStr">
        <is>
          <t>Backend</t>
        </is>
      </c>
      <c r="C2992" s="17" t="inlineStr">
        <is>
          <t>ticketing-service</t>
        </is>
      </c>
      <c r="D2992" s="16" t="inlineStr">
        <is>
          <t>API slice</t>
        </is>
      </c>
      <c r="E2992" s="17" t="inlineStr">
        <is>
          <t>CheckinControllerWebTest › GanSuKien</t>
        </is>
      </c>
      <c r="F2992" s="17" t="inlineStr">
        <is>
          <t>Gán sự kiện</t>
        </is>
      </c>
      <c r="G2992" s="17" t="inlineStr">
        <is>
          <t>Catalog không trả lời: nhân viên KHÔNG lọt qua bước kiểm quyền</t>
        </is>
      </c>
      <c r="H2992" s="17" t="inlineStr">
        <is>
          <t>catalog_im_lang</t>
        </is>
      </c>
      <c r="I2992" s="16" t="inlineStr">
        <is>
          <t>Đạt</t>
        </is>
      </c>
      <c r="J2992" s="16" t="n">
        <v>0.01</v>
      </c>
    </row>
    <row r="2993">
      <c r="A2993" s="16" t="n">
        <v>2989</v>
      </c>
      <c r="B2993" s="16" t="inlineStr">
        <is>
          <t>Backend</t>
        </is>
      </c>
      <c r="C2993" s="17" t="inlineStr">
        <is>
          <t>ticketing-service</t>
        </is>
      </c>
      <c r="D2993" s="16" t="inlineStr">
        <is>
          <t>API slice</t>
        </is>
      </c>
      <c r="E2993" s="17" t="inlineStr">
        <is>
          <t>CheckinControllerWebTest › GanSuKien</t>
        </is>
      </c>
      <c r="F2993" s="17" t="inlineStr">
        <is>
          <t>Gán sự kiện</t>
        </is>
      </c>
      <c r="G2993" s="17" t="inlineStr">
        <is>
          <t>Nhân viên CHƯA được gán sự kiện: 403 NOT_YOUR_EVENT, không tới handler</t>
        </is>
      </c>
      <c r="H2993" s="17" t="inlineStr">
        <is>
          <t>nhan_vien_chua_duoc_gan</t>
        </is>
      </c>
      <c r="I2993" s="16" t="inlineStr">
        <is>
          <t>Đạt</t>
        </is>
      </c>
      <c r="J2993" s="16" t="n">
        <v>0.013</v>
      </c>
    </row>
    <row r="2994">
      <c r="A2994" s="16" t="n">
        <v>2990</v>
      </c>
      <c r="B2994" s="16" t="inlineStr">
        <is>
          <t>Backend</t>
        </is>
      </c>
      <c r="C2994" s="17" t="inlineStr">
        <is>
          <t>ticketing-service</t>
        </is>
      </c>
      <c r="D2994" s="16" t="inlineStr">
        <is>
          <t>API slice</t>
        </is>
      </c>
      <c r="E2994" s="17" t="inlineStr">
        <is>
          <t>CheckinControllerWebTest › GanSuKien</t>
        </is>
      </c>
      <c r="F2994" s="17" t="inlineStr">
        <is>
          <t>Gán sự kiện</t>
        </is>
      </c>
      <c r="G2994" s="17" t="inlineStr">
        <is>
          <t>Người quản lý sự kiện: soát được mà không cần gán</t>
        </is>
      </c>
      <c r="H2994" s="17" t="inlineStr">
        <is>
          <t>quan_ly_khong_can_gan</t>
        </is>
      </c>
      <c r="I2994" s="16" t="inlineStr">
        <is>
          <t>Đạt</t>
        </is>
      </c>
      <c r="J2994" s="16" t="n">
        <v>0.011</v>
      </c>
    </row>
    <row r="2995">
      <c r="A2995" s="16" t="n">
        <v>2991</v>
      </c>
      <c r="B2995" s="16" t="inlineStr">
        <is>
          <t>Backend</t>
        </is>
      </c>
      <c r="C2995" s="17" t="inlineStr">
        <is>
          <t>ticketing-service</t>
        </is>
      </c>
      <c r="D2995" s="16" t="inlineStr">
        <is>
          <t>API slice</t>
        </is>
      </c>
      <c r="E2995" s="17" t="inlineStr">
        <is>
          <t>CheckinControllerWebTest › GanSuKien</t>
        </is>
      </c>
      <c r="F2995" s="17" t="inlineStr">
        <is>
          <t>Gán sự kiện</t>
        </is>
      </c>
      <c r="G2995" s="17" t="inlineStr">
        <is>
          <t>Nhân viên được gán sự kiện: 200; tổ chức lấy từ đường dẫn, nhân viên lấy từ token</t>
        </is>
      </c>
      <c r="H2995" s="17" t="inlineStr">
        <is>
          <t>nhan_vien_duoc_gan</t>
        </is>
      </c>
      <c r="I2995" s="16" t="inlineStr">
        <is>
          <t>Đạt</t>
        </is>
      </c>
      <c r="J2995" s="16" t="n">
        <v>0.011</v>
      </c>
    </row>
    <row r="2996">
      <c r="A2996" s="16" t="n">
        <v>2992</v>
      </c>
      <c r="B2996" s="16" t="inlineStr">
        <is>
          <t>Backend</t>
        </is>
      </c>
      <c r="C2996" s="17" t="inlineStr">
        <is>
          <t>ticketing-service</t>
        </is>
      </c>
      <c r="D2996" s="16" t="inlineStr">
        <is>
          <t>API slice</t>
        </is>
      </c>
      <c r="E2996" s="17" t="inlineStr">
        <is>
          <t>CheckinControllerWebTest › LichSu</t>
        </is>
      </c>
      <c r="F2996" s="17" t="inlineStr">
        <is>
          <t>Lịch sử quét</t>
        </is>
      </c>
      <c r="G2996" s="17" t="inlineStr">
        <is>
          <t>Nhân viên chưa được gán: 403 — lịch sử mang tên khách, không lỏng hơn lượt quét</t>
        </is>
      </c>
      <c r="H2996" s="17" t="inlineStr">
        <is>
          <t>chua_duoc_gan</t>
        </is>
      </c>
      <c r="I2996" s="16" t="inlineStr">
        <is>
          <t>Đạt</t>
        </is>
      </c>
      <c r="J2996" s="16" t="n">
        <v>0.214</v>
      </c>
    </row>
    <row r="2997">
      <c r="A2997" s="16" t="n">
        <v>2993</v>
      </c>
      <c r="B2997" s="16" t="inlineStr">
        <is>
          <t>Backend</t>
        </is>
      </c>
      <c r="C2997" s="17" t="inlineStr">
        <is>
          <t>ticketing-service</t>
        </is>
      </c>
      <c r="D2997" s="16" t="inlineStr">
        <is>
          <t>API slice</t>
        </is>
      </c>
      <c r="E2997" s="17" t="inlineStr">
        <is>
          <t>CheckinControllerWebTest › LichSu</t>
        </is>
      </c>
      <c r="F2997" s="17" t="inlineStr">
        <is>
          <t>Lịch sử quét</t>
        </is>
      </c>
      <c r="G2997" s="17" t="inlineStr">
        <is>
          <t>Trang không phải số: 400, không phải 500</t>
        </is>
      </c>
      <c r="H2997" s="17" t="inlineStr">
        <is>
          <t>trang_khong_phai_so</t>
        </is>
      </c>
      <c r="I2997" s="16" t="inlineStr">
        <is>
          <t>Đạt</t>
        </is>
      </c>
      <c r="J2997" s="16" t="n">
        <v>0.015</v>
      </c>
    </row>
    <row r="2998">
      <c r="A2998" s="16" t="n">
        <v>2994</v>
      </c>
      <c r="B2998" s="16" t="inlineStr">
        <is>
          <t>Backend</t>
        </is>
      </c>
      <c r="C2998" s="17" t="inlineStr">
        <is>
          <t>ticketing-service</t>
        </is>
      </c>
      <c r="D2998" s="16" t="inlineStr">
        <is>
          <t>API slice</t>
        </is>
      </c>
      <c r="E2998" s="17" t="inlineStr">
        <is>
          <t>CheckinControllerWebTest › LichSu</t>
        </is>
      </c>
      <c r="F2998" s="17" t="inlineStr">
        <is>
          <t>Lịch sử quét</t>
        </is>
      </c>
      <c r="G2998" s="17" t="inlineStr">
        <is>
          <t>Nhân viên được gán: đọc được, tham số phân trang và tìm kiếm đi thẳng xuống query</t>
        </is>
      </c>
      <c r="H2998" s="17" t="inlineStr">
        <is>
          <t>doc_duoc</t>
        </is>
      </c>
      <c r="I2998" s="16" t="inlineStr">
        <is>
          <t>Đạt</t>
        </is>
      </c>
      <c r="J2998" s="16" t="n">
        <v>0.022</v>
      </c>
    </row>
    <row r="2999">
      <c r="A2999" s="16" t="n">
        <v>2995</v>
      </c>
      <c r="B2999" s="16" t="inlineStr">
        <is>
          <t>Backend</t>
        </is>
      </c>
      <c r="C2999" s="17" t="inlineStr">
        <is>
          <t>ticketing-service</t>
        </is>
      </c>
      <c r="D2999" s="16" t="inlineStr">
        <is>
          <t>API slice</t>
        </is>
      </c>
      <c r="E2999" s="17" t="inlineStr">
        <is>
          <t>CheckinControllerWebTest › NgoaiCa</t>
        </is>
      </c>
      <c r="F2999" s="17" t="inlineStr">
        <is>
          <t>Ca trực (mobile-v2)</t>
        </is>
      </c>
      <c r="G2999" s="17" t="inlineStr">
        <is>
          <t>Nhân viên ĐÃ được gán sự kiện nhưng KHÔNG trong ca: 403 SHIFT_NOT_ACTIVE, handler không chạy</t>
        </is>
      </c>
      <c r="H2999" s="17" t="inlineStr">
        <is>
          <t>ngoai_ca</t>
        </is>
      </c>
      <c r="I2999" s="16" t="inlineStr">
        <is>
          <t>Đạt</t>
        </is>
      </c>
      <c r="J2999" s="16" t="n">
        <v>0.106</v>
      </c>
    </row>
    <row r="3000">
      <c r="A3000" s="16" t="n">
        <v>2996</v>
      </c>
      <c r="B3000" s="16" t="inlineStr">
        <is>
          <t>Backend</t>
        </is>
      </c>
      <c r="C3000" s="17" t="inlineStr">
        <is>
          <t>ticketing-service</t>
        </is>
      </c>
      <c r="D3000" s="16" t="inlineStr">
        <is>
          <t>API slice</t>
        </is>
      </c>
      <c r="E3000" s="17" t="inlineStr">
        <is>
          <t>CheckinControllerWebTest › NgoaiCa</t>
        </is>
      </c>
      <c r="F3000" s="17" t="inlineStr">
        <is>
          <t>Ca trực (mobile-v2)</t>
        </is>
      </c>
      <c r="G3000" s="17" t="inlineStr">
        <is>
          <t>Người quản lý sự kiện quét không cần ca, và cổng lấy từ request</t>
        </is>
      </c>
      <c r="H3000" s="17" t="inlineStr">
        <is>
          <t>quan_ly_khong_can_ca</t>
        </is>
      </c>
      <c r="I3000" s="16" t="inlineStr">
        <is>
          <t>Đạt</t>
        </is>
      </c>
      <c r="J3000" s="16" t="n">
        <v>0.021</v>
      </c>
    </row>
    <row r="3001">
      <c r="A3001" s="16" t="n">
        <v>2997</v>
      </c>
      <c r="B3001" s="16" t="inlineStr">
        <is>
          <t>Backend</t>
        </is>
      </c>
      <c r="C3001" s="17" t="inlineStr">
        <is>
          <t>ticketing-service</t>
        </is>
      </c>
      <c r="D3001" s="16" t="inlineStr">
        <is>
          <t>API slice</t>
        </is>
      </c>
      <c r="E3001" s="17" t="inlineStr">
        <is>
          <t>CheckinControllerWebTest › NgoaiCa</t>
        </is>
      </c>
      <c r="F3001" s="17" t="inlineStr">
        <is>
          <t>Ca trực (mobile-v2)</t>
        </is>
      </c>
      <c r="G3001" s="17" t="inlineStr">
        <is>
          <t>Trong ca: cổng là cổng của ca — máy không tự khai cổng khác được</t>
        </is>
      </c>
      <c r="H3001" s="17" t="inlineStr">
        <is>
          <t>cong_theo_ca</t>
        </is>
      </c>
      <c r="I3001" s="16" t="inlineStr">
        <is>
          <t>Đạt</t>
        </is>
      </c>
      <c r="J3001" s="16" t="n">
        <v>0.011</v>
      </c>
    </row>
    <row r="3002">
      <c r="A3002" s="16" t="n">
        <v>2998</v>
      </c>
      <c r="B3002" s="16" t="inlineStr">
        <is>
          <t>Backend</t>
        </is>
      </c>
      <c r="C3002" s="17" t="inlineStr">
        <is>
          <t>ticketing-service</t>
        </is>
      </c>
      <c r="D3002" s="16" t="inlineStr">
        <is>
          <t>API slice</t>
        </is>
      </c>
      <c r="E3002" s="17" t="inlineStr">
        <is>
          <t>CheckinControllerWebTest › XacThuc</t>
        </is>
      </c>
      <c r="F3002" s="17" t="inlineStr">
        <is>
          <t>Xác thực và phạm vi tổ chức</t>
        </is>
      </c>
      <c r="G3002" s="17" t="inlineStr">
        <is>
          <t>Khách mua vé là thành viên CUSTOMER của tổ chức: 403, không có quyền soát vé</t>
        </is>
      </c>
      <c r="H3002" s="17" t="inlineStr">
        <is>
          <t>vai_tro_khong_co_quyen_soat</t>
        </is>
      </c>
      <c r="I3002" s="16" t="inlineStr">
        <is>
          <t>Đạt</t>
        </is>
      </c>
      <c r="J3002" s="16" t="n">
        <v>0.007</v>
      </c>
    </row>
    <row r="3003">
      <c r="A3003" s="16" t="n">
        <v>2999</v>
      </c>
      <c r="B3003" s="16" t="inlineStr">
        <is>
          <t>Backend</t>
        </is>
      </c>
      <c r="C3003" s="17" t="inlineStr">
        <is>
          <t>ticketing-service</t>
        </is>
      </c>
      <c r="D3003" s="16" t="inlineStr">
        <is>
          <t>API slice</t>
        </is>
      </c>
      <c r="E3003" s="17" t="inlineStr">
        <is>
          <t>CheckinControllerWebTest › XacThuc</t>
        </is>
      </c>
      <c r="F3003" s="17" t="inlineStr">
        <is>
          <t>Xác thực và phạm vi tổ chức</t>
        </is>
      </c>
      <c r="G3003" s="17" t="inlineStr">
        <is>
          <t>Không có token: 401, không tới handler</t>
        </is>
      </c>
      <c r="H3003" s="17" t="inlineStr">
        <is>
          <t>khong_co_token</t>
        </is>
      </c>
      <c r="I3003" s="16" t="inlineStr">
        <is>
          <t>Đạt</t>
        </is>
      </c>
      <c r="J3003" s="16" t="n">
        <v>0.006</v>
      </c>
    </row>
    <row r="3004">
      <c r="A3004" s="16" t="n">
        <v>3000</v>
      </c>
      <c r="B3004" s="16" t="inlineStr">
        <is>
          <t>Backend</t>
        </is>
      </c>
      <c r="C3004" s="17" t="inlineStr">
        <is>
          <t>ticketing-service</t>
        </is>
      </c>
      <c r="D3004" s="16" t="inlineStr">
        <is>
          <t>API slice</t>
        </is>
      </c>
      <c r="E3004" s="17" t="inlineStr">
        <is>
          <t>CheckinControllerWebTest › XacThuc</t>
        </is>
      </c>
      <c r="F3004" s="17" t="inlineStr">
        <is>
          <t>Xác thực và phạm vi tổ chức</t>
        </is>
      </c>
      <c r="G3004" s="17" t="inlineStr">
        <is>
          <t>Token hợp lệ nhưng identity không trả lời: 401 UNAUTHENTICATED dạng RFC 7807</t>
        </is>
      </c>
      <c r="H3004" s="17" t="inlineStr">
        <is>
          <t>identity_khong_tra_loi</t>
        </is>
      </c>
      <c r="I3004" s="16" t="inlineStr">
        <is>
          <t>Đạt</t>
        </is>
      </c>
      <c r="J3004" s="16" t="n">
        <v>0.008999999999999999</v>
      </c>
    </row>
    <row r="3005">
      <c r="A3005" s="16" t="n">
        <v>3001</v>
      </c>
      <c r="B3005" s="16" t="inlineStr">
        <is>
          <t>Backend</t>
        </is>
      </c>
      <c r="C3005" s="17" t="inlineStr">
        <is>
          <t>ticketing-service</t>
        </is>
      </c>
      <c r="D3005" s="16" t="inlineStr">
        <is>
          <t>API slice</t>
        </is>
      </c>
      <c r="E3005" s="17" t="inlineStr">
        <is>
          <t>CheckinControllerWebTest › XacThuc</t>
        </is>
      </c>
      <c r="F3005" s="17" t="inlineStr">
        <is>
          <t>Xác thực và phạm vi tổ chức</t>
        </is>
      </c>
      <c r="G3005" s="17" t="inlineStr">
        <is>
          <t>Nhân viên soát vé của tổ chức KHÁC: 404</t>
        </is>
      </c>
      <c r="H3005" s="17" t="inlineStr">
        <is>
          <t>nhan_vien_to_chuc_khac</t>
        </is>
      </c>
      <c r="I3005" s="16" t="inlineStr">
        <is>
          <t>Đạt</t>
        </is>
      </c>
      <c r="J3005" s="16" t="n">
        <v>0.008</v>
      </c>
    </row>
    <row r="3006">
      <c r="A3006" s="16" t="n">
        <v>3002</v>
      </c>
      <c r="B3006" s="16" t="inlineStr">
        <is>
          <t>Backend</t>
        </is>
      </c>
      <c r="C3006" s="17" t="inlineStr">
        <is>
          <t>ticketing-service</t>
        </is>
      </c>
      <c r="D3006" s="16" t="inlineStr">
        <is>
          <t>API slice</t>
        </is>
      </c>
      <c r="E3006" s="17" t="inlineStr">
        <is>
          <t>CheckinControllerWebTest › XacThuc</t>
        </is>
      </c>
      <c r="F3006" s="17" t="inlineStr">
        <is>
          <t>Xác thực và phạm vi tổ chức</t>
        </is>
      </c>
      <c r="G3006" s="17" t="inlineStr">
        <is>
          <t>Khách mua vé (không thuộc tổ chức): 404 — không xác nhận tổ chức tồn tại</t>
        </is>
      </c>
      <c r="H3006" s="17" t="inlineStr">
        <is>
          <t>khach_hang_404</t>
        </is>
      </c>
      <c r="I3006" s="16" t="inlineStr">
        <is>
          <t>Đạt</t>
        </is>
      </c>
      <c r="J3006" s="16" t="n">
        <v>0.006</v>
      </c>
    </row>
    <row r="3007">
      <c r="A3007" s="16" t="n">
        <v>3003</v>
      </c>
      <c r="B3007" s="16" t="inlineStr">
        <is>
          <t>Backend</t>
        </is>
      </c>
      <c r="C3007" s="17" t="inlineStr">
        <is>
          <t>ticketing-service</t>
        </is>
      </c>
      <c r="D3007" s="16" t="inlineStr">
        <is>
          <t>API slice</t>
        </is>
      </c>
      <c r="E3007" s="17" t="inlineStr">
        <is>
          <t>CheckinControllerWebTest › XacThuc</t>
        </is>
      </c>
      <c r="F3007" s="17" t="inlineStr">
        <is>
          <t>Xác thực và phạm vi tổ chức</t>
        </is>
      </c>
      <c r="G3007" s="17" t="inlineStr">
        <is>
          <t>Mã tổ chức mã hoá phần trăm để lách bộ lọc: 404</t>
        </is>
      </c>
      <c r="H3007" s="17" t="inlineStr">
        <is>
          <t>ma_to_chuc_ma_hoa_phan_tram</t>
        </is>
      </c>
      <c r="I3007" s="16" t="inlineStr">
        <is>
          <t>Đạt</t>
        </is>
      </c>
      <c r="J3007" s="16" t="n">
        <v>0.007</v>
      </c>
    </row>
    <row r="3008">
      <c r="A3008" s="16" t="n">
        <v>3004</v>
      </c>
      <c r="B3008" s="16" t="inlineStr">
        <is>
          <t>Backend</t>
        </is>
      </c>
      <c r="C3008" s="17" t="inlineStr">
        <is>
          <t>ticketing-service</t>
        </is>
      </c>
      <c r="D3008" s="16" t="inlineStr">
        <is>
          <t>API slice</t>
        </is>
      </c>
      <c r="E3008" s="17" t="inlineStr">
        <is>
          <t>GateStatsControllerWebTest › QuyenXem</t>
        </is>
      </c>
      <c r="F3008" s="17" t="inlineStr">
        <is>
          <t>Quyền xem số liệu</t>
        </is>
      </c>
      <c r="G3008" s="17" t="inlineStr">
        <is>
          <t>Nhân viên soát vé KHÔNG xem được số liệu của cả tổ chức: 403</t>
        </is>
      </c>
      <c r="H3008" s="17" t="inlineStr">
        <is>
          <t>nhan_vien_soat_ve_403</t>
        </is>
      </c>
      <c r="I3008" s="16" t="inlineStr">
        <is>
          <t>Đạt</t>
        </is>
      </c>
      <c r="J3008" s="16" t="n">
        <v>0.014</v>
      </c>
    </row>
    <row r="3009">
      <c r="A3009" s="16" t="n">
        <v>3005</v>
      </c>
      <c r="B3009" s="16" t="inlineStr">
        <is>
          <t>Backend</t>
        </is>
      </c>
      <c r="C3009" s="17" t="inlineStr">
        <is>
          <t>ticketing-service</t>
        </is>
      </c>
      <c r="D3009" s="16" t="inlineStr">
        <is>
          <t>API slice</t>
        </is>
      </c>
      <c r="E3009" s="17" t="inlineStr">
        <is>
          <t>GateStatsControllerWebTest › QuyenXem</t>
        </is>
      </c>
      <c r="F3009" s="17" t="inlineStr">
        <is>
          <t>Quyền xem số liệu</t>
        </is>
      </c>
      <c r="G3009" s="17" t="inlineStr">
        <is>
          <t>Thành viên tổ chức khác: 404</t>
        </is>
      </c>
      <c r="H3009" s="17" t="inlineStr">
        <is>
          <t>to_chuc_khac</t>
        </is>
      </c>
      <c r="I3009" s="16" t="inlineStr">
        <is>
          <t>Đạt</t>
        </is>
      </c>
      <c r="J3009" s="16" t="n">
        <v>0.006</v>
      </c>
    </row>
    <row r="3010">
      <c r="A3010" s="16" t="n">
        <v>3006</v>
      </c>
      <c r="B3010" s="16" t="inlineStr">
        <is>
          <t>Backend</t>
        </is>
      </c>
      <c r="C3010" s="17" t="inlineStr">
        <is>
          <t>ticketing-service</t>
        </is>
      </c>
      <c r="D3010" s="16" t="inlineStr">
        <is>
          <t>API slice</t>
        </is>
      </c>
      <c r="E3010" s="17" t="inlineStr">
        <is>
          <t>GateStatsControllerWebTest › QuyenXem</t>
        </is>
      </c>
      <c r="F3010" s="17" t="inlineStr">
        <is>
          <t>Quyền xem số liệu</t>
        </is>
      </c>
      <c r="G3010" s="17" t="inlineStr">
        <is>
          <t>Người quản lý sự kiện xem được số khách đang ở trong</t>
        </is>
      </c>
      <c r="H3010" s="17" t="inlineStr">
        <is>
          <t>quan_ly_xem_duoc</t>
        </is>
      </c>
      <c r="I3010" s="16" t="inlineStr">
        <is>
          <t>Đạt</t>
        </is>
      </c>
      <c r="J3010" s="16" t="n">
        <v>0.016</v>
      </c>
    </row>
    <row r="3011">
      <c r="A3011" s="16" t="n">
        <v>3007</v>
      </c>
      <c r="B3011" s="16" t="inlineStr">
        <is>
          <t>Backend</t>
        </is>
      </c>
      <c r="C3011" s="17" t="inlineStr">
        <is>
          <t>ticketing-service</t>
        </is>
      </c>
      <c r="D3011" s="16" t="inlineStr">
        <is>
          <t>API slice</t>
        </is>
      </c>
      <c r="E3011" s="17" t="inlineStr">
        <is>
          <t>GateStatsControllerWebTest › QuyenXem</t>
        </is>
      </c>
      <c r="F3011" s="17" t="inlineStr">
        <is>
          <t>Quyền xem số liệu</t>
        </is>
      </c>
      <c r="G3011" s="17" t="inlineStr">
        <is>
          <t>Không đăng nhập: 401</t>
        </is>
      </c>
      <c r="H3011" s="17" t="inlineStr">
        <is>
          <t>khong_dang_nhap</t>
        </is>
      </c>
      <c r="I3011" s="16" t="inlineStr">
        <is>
          <t>Đạt</t>
        </is>
      </c>
      <c r="J3011" s="16" t="n">
        <v>0.005</v>
      </c>
    </row>
    <row r="3012">
      <c r="A3012" s="16" t="n">
        <v>3008</v>
      </c>
      <c r="B3012" s="16" t="inlineStr">
        <is>
          <t>Backend</t>
        </is>
      </c>
      <c r="C3012" s="17" t="inlineStr">
        <is>
          <t>ticketing-service</t>
        </is>
      </c>
      <c r="D3012" s="16" t="inlineStr">
        <is>
          <t>API slice</t>
        </is>
      </c>
      <c r="E3012" s="17" t="inlineStr">
        <is>
          <t>GateStatsControllerWebTest › ThamSo</t>
        </is>
      </c>
      <c r="F3012" s="17" t="inlineStr">
        <is>
          <t>Tham số kỳ thống kê</t>
        </is>
      </c>
      <c r="G3012" s="17" t="inlineStr">
        <is>
          <t>Ngày kết thúc trước ngày bắt đầu: 400</t>
        </is>
      </c>
      <c r="H3012" s="17" t="inlineStr">
        <is>
          <t>ngay_nguoc</t>
        </is>
      </c>
      <c r="I3012" s="16" t="inlineStr">
        <is>
          <t>Đạt</t>
        </is>
      </c>
      <c r="J3012" s="16" t="n">
        <v>0.011</v>
      </c>
    </row>
    <row r="3013">
      <c r="A3013" s="16" t="n">
        <v>3009</v>
      </c>
      <c r="B3013" s="16" t="inlineStr">
        <is>
          <t>Backend</t>
        </is>
      </c>
      <c r="C3013" s="17" t="inlineStr">
        <is>
          <t>ticketing-service</t>
        </is>
      </c>
      <c r="D3013" s="16" t="inlineStr">
        <is>
          <t>API slice</t>
        </is>
      </c>
      <c r="E3013" s="17" t="inlineStr">
        <is>
          <t>GateStatsControllerWebTest › ThamSo</t>
        </is>
      </c>
      <c r="F3013" s="17" t="inlineStr">
        <is>
          <t>Tham số kỳ thống kê</t>
        </is>
      </c>
      <c r="G3013" s="17" t="inlineStr">
        <is>
          <t>Hợp lệ: trả kỳ đã hỏi và các khối số liệu</t>
        </is>
      </c>
      <c r="H3013" s="17" t="inlineStr">
        <is>
          <t>hop_le</t>
        </is>
      </c>
      <c r="I3013" s="16" t="inlineStr">
        <is>
          <t>Đạt</t>
        </is>
      </c>
      <c r="J3013" s="16" t="n">
        <v>0.028</v>
      </c>
    </row>
    <row r="3014">
      <c r="A3014" s="16" t="n">
        <v>3010</v>
      </c>
      <c r="B3014" s="16" t="inlineStr">
        <is>
          <t>Backend</t>
        </is>
      </c>
      <c r="C3014" s="17" t="inlineStr">
        <is>
          <t>ticketing-service</t>
        </is>
      </c>
      <c r="D3014" s="16" t="inlineStr">
        <is>
          <t>API slice</t>
        </is>
      </c>
      <c r="E3014" s="17" t="inlineStr">
        <is>
          <t>GateStatsControllerWebTest › ThamSo</t>
        </is>
      </c>
      <c r="F3014" s="17" t="inlineStr">
        <is>
          <t>Tham số kỳ thống kê</t>
        </is>
      </c>
      <c r="G3014" s="17" t="inlineStr">
        <is>
          <t>Thiếu tham số bắt buộc 'from': 400, không phải 500</t>
        </is>
      </c>
      <c r="H3014" s="17" t="inlineStr">
        <is>
          <t>thieu_tham_so_bat_buoc</t>
        </is>
      </c>
      <c r="I3014" s="16" t="inlineStr">
        <is>
          <t>Đạt</t>
        </is>
      </c>
      <c r="J3014" s="16" t="n">
        <v>0.013</v>
      </c>
    </row>
    <row r="3015">
      <c r="A3015" s="16" t="n">
        <v>3011</v>
      </c>
      <c r="B3015" s="16" t="inlineStr">
        <is>
          <t>Backend</t>
        </is>
      </c>
      <c r="C3015" s="17" t="inlineStr">
        <is>
          <t>ticketing-service</t>
        </is>
      </c>
      <c r="D3015" s="16" t="inlineStr">
        <is>
          <t>API slice</t>
        </is>
      </c>
      <c r="E3015" s="17" t="inlineStr">
        <is>
          <t>GateStatsControllerWebTest › ThamSo</t>
        </is>
      </c>
      <c r="F3015" s="17" t="inlineStr">
        <is>
          <t>Tham số kỳ thống kê</t>
        </is>
      </c>
      <c r="G3015" s="17" t="inlineStr">
        <is>
          <t>Tên người mua trả về đã bị che</t>
        </is>
      </c>
      <c r="H3015" s="17" t="inlineStr">
        <is>
          <t>ten_da_che</t>
        </is>
      </c>
      <c r="I3015" s="16" t="inlineStr">
        <is>
          <t>Đạt</t>
        </is>
      </c>
      <c r="J3015" s="16" t="n">
        <v>0.022</v>
      </c>
    </row>
    <row r="3016">
      <c r="A3016" s="16" t="n">
        <v>3012</v>
      </c>
      <c r="B3016" s="16" t="inlineStr">
        <is>
          <t>Backend</t>
        </is>
      </c>
      <c r="C3016" s="17" t="inlineStr">
        <is>
          <t>ticketing-service</t>
        </is>
      </c>
      <c r="D3016" s="16" t="inlineStr">
        <is>
          <t>API slice</t>
        </is>
      </c>
      <c r="E3016" s="17" t="inlineStr">
        <is>
          <t>GateStatsControllerWebTest › ThamSo</t>
        </is>
      </c>
      <c r="F3016" s="17" t="inlineStr">
        <is>
          <t>Tham số kỳ thống kê</t>
        </is>
      </c>
      <c r="G3016" s="17" t="inlineStr">
        <is>
          <t>Mã suất trong bộ lọc không phải UUID: 400</t>
        </is>
      </c>
      <c r="H3016" s="17" t="inlineStr">
        <is>
          <t>ma_suat_hong</t>
        </is>
      </c>
      <c r="I3016" s="16" t="inlineStr">
        <is>
          <t>Đạt</t>
        </is>
      </c>
      <c r="J3016" s="16" t="n">
        <v>0.011</v>
      </c>
    </row>
    <row r="3017">
      <c r="A3017" s="16" t="n">
        <v>3013</v>
      </c>
      <c r="B3017" s="16" t="inlineStr">
        <is>
          <t>Backend</t>
        </is>
      </c>
      <c r="C3017" s="17" t="inlineStr">
        <is>
          <t>ticketing-service</t>
        </is>
      </c>
      <c r="D3017" s="16" t="inlineStr">
        <is>
          <t>API slice</t>
        </is>
      </c>
      <c r="E3017" s="17" t="inlineStr">
        <is>
          <t>GateStatsControllerWebTest › ThamSo</t>
        </is>
      </c>
      <c r="F3017" s="17" t="inlineStr">
        <is>
          <t>Tham số kỳ thống kê</t>
        </is>
      </c>
      <c r="G3017" s="17" t="inlineStr">
        <is>
          <t>Ngày sai định dạng: 400 VALIDATION_FAILED nói rõ tham số nào</t>
        </is>
      </c>
      <c r="H3017" s="17" t="inlineStr">
        <is>
          <t>ngay_sai_dinh_dang</t>
        </is>
      </c>
      <c r="I3017" s="16" t="inlineStr">
        <is>
          <t>Đạt</t>
        </is>
      </c>
      <c r="J3017" s="16" t="n">
        <v>0.008999999999999999</v>
      </c>
    </row>
    <row r="3018">
      <c r="A3018" s="16" t="n">
        <v>3014</v>
      </c>
      <c r="B3018" s="16" t="inlineStr">
        <is>
          <t>Backend</t>
        </is>
      </c>
      <c r="C3018" s="17" t="inlineStr">
        <is>
          <t>ticketing-service</t>
        </is>
      </c>
      <c r="D3018" s="16" t="inlineStr">
        <is>
          <t>API slice</t>
        </is>
      </c>
      <c r="E3018" s="17" t="inlineStr">
        <is>
          <t>GateStatsControllerWebTest › XuatDanhSach</t>
        </is>
      </c>
      <c r="F3018" s="17" t="inlineStr">
        <is>
          <t>Xuất danh sách người mua</t>
        </is>
      </c>
      <c r="G3018" s="17" t="inlineStr">
        <is>
          <t>Quản trị tổ chức xuất được; nhật ký ghi đúng người thực hiện lấy từ token</t>
        </is>
      </c>
      <c r="H3018" s="17" t="inlineStr">
        <is>
          <t>quan_tri_xuat_duoc</t>
        </is>
      </c>
      <c r="I3018" s="16" t="inlineStr">
        <is>
          <t>Đạt</t>
        </is>
      </c>
      <c r="J3018" s="16" t="n">
        <v>0.023</v>
      </c>
    </row>
    <row r="3019">
      <c r="A3019" s="16" t="n">
        <v>3015</v>
      </c>
      <c r="B3019" s="16" t="inlineStr">
        <is>
          <t>Backend</t>
        </is>
      </c>
      <c r="C3019" s="17" t="inlineStr">
        <is>
          <t>ticketing-service</t>
        </is>
      </c>
      <c r="D3019" s="16" t="inlineStr">
        <is>
          <t>API slice</t>
        </is>
      </c>
      <c r="E3019" s="17" t="inlineStr">
        <is>
          <t>GateStatsControllerWebTest › XuatDanhSach</t>
        </is>
      </c>
      <c r="F3019" s="17" t="inlineStr">
        <is>
          <t>Xuất danh sách người mua</t>
        </is>
      </c>
      <c r="G3019" s="17" t="inlineStr">
        <is>
          <t>Người quản lý sự kiện xem được thống kê nhưng KHÔNG xuất được tên khách: 403</t>
        </is>
      </c>
      <c r="H3019" s="17" t="inlineStr">
        <is>
          <t>quan_ly_su_kien_khong_xuat_duoc</t>
        </is>
      </c>
      <c r="I3019" s="16" t="inlineStr">
        <is>
          <t>Đạt</t>
        </is>
      </c>
      <c r="J3019" s="16" t="n">
        <v>0.013</v>
      </c>
    </row>
    <row r="3020">
      <c r="A3020" s="16" t="n">
        <v>3016</v>
      </c>
      <c r="B3020" s="16" t="inlineStr">
        <is>
          <t>Backend</t>
        </is>
      </c>
      <c r="C3020" s="17" t="inlineStr">
        <is>
          <t>ticketing-service</t>
        </is>
      </c>
      <c r="D3020" s="16" t="inlineStr">
        <is>
          <t>API slice</t>
        </is>
      </c>
      <c r="E3020" s="17" t="inlineStr">
        <is>
          <t>GateStatsControllerWebTest › XuatDanhSach</t>
        </is>
      </c>
      <c r="F3020" s="17" t="inlineStr">
        <is>
          <t>Xuất danh sách người mua</t>
        </is>
      </c>
      <c r="G3020" s="17" t="inlineStr">
        <is>
          <t>Không có thân request: 400</t>
        </is>
      </c>
      <c r="H3020" s="17" t="inlineStr">
        <is>
          <t>khong_co_than</t>
        </is>
      </c>
      <c r="I3020" s="16" t="inlineStr">
        <is>
          <t>Đạt</t>
        </is>
      </c>
      <c r="J3020" s="16" t="n">
        <v>0.011</v>
      </c>
    </row>
    <row r="3021">
      <c r="A3021" s="16" t="n">
        <v>3017</v>
      </c>
      <c r="B3021" s="16" t="inlineStr">
        <is>
          <t>Backend</t>
        </is>
      </c>
      <c r="C3021" s="17" t="inlineStr">
        <is>
          <t>ticketing-service</t>
        </is>
      </c>
      <c r="D3021" s="16" t="inlineStr">
        <is>
          <t>API slice</t>
        </is>
      </c>
      <c r="E3021" s="17" t="inlineStr">
        <is>
          <t>GateStatsControllerWebTest › XuatDanhSach</t>
        </is>
      </c>
      <c r="F3021" s="17" t="inlineStr">
        <is>
          <t>Xuất danh sách người mua</t>
        </is>
      </c>
      <c r="G3021" s="17" t="inlineStr">
        <is>
          <t>Không ghi được nhật ký: 503 AUDIT_UNAVAILABLE, không có dòng dữ liệu nào trong thân</t>
        </is>
      </c>
      <c r="H3021" s="17" t="inlineStr">
        <is>
          <t>nhat_ky_hong</t>
        </is>
      </c>
      <c r="I3021" s="16" t="inlineStr">
        <is>
          <t>Đạt</t>
        </is>
      </c>
      <c r="J3021" s="16" t="n">
        <v>0.016</v>
      </c>
    </row>
    <row r="3022">
      <c r="A3022" s="16" t="n">
        <v>3018</v>
      </c>
      <c r="B3022" s="16" t="inlineStr">
        <is>
          <t>Backend</t>
        </is>
      </c>
      <c r="C3022" s="17" t="inlineStr">
        <is>
          <t>ticketing-service</t>
        </is>
      </c>
      <c r="D3022" s="16" t="inlineStr">
        <is>
          <t>API slice</t>
        </is>
      </c>
      <c r="E3022" s="17" t="inlineStr">
        <is>
          <t>InternalControllersWebTest › BiMat</t>
        </is>
      </c>
      <c r="F3022" s="17" t="inlineStr">
        <is>
          <t>Bí mật dùng chung</t>
        </is>
      </c>
      <c r="G3022" s="17" t="inlineStr">
        <is>
          <t>Người dùng đăng nhập bình thường (có JWT) nhưng không có bí mật: vẫn 404</t>
        </is>
      </c>
      <c r="H3022" s="17" t="inlineStr">
        <is>
          <t>jwt_khong_thay_duoc_bi_mat</t>
        </is>
      </c>
      <c r="I3022" s="16" t="inlineStr">
        <is>
          <t>Đạt</t>
        </is>
      </c>
      <c r="J3022" s="16" t="n">
        <v>0.005</v>
      </c>
    </row>
    <row r="3023">
      <c r="A3023" s="16" t="n">
        <v>3019</v>
      </c>
      <c r="B3023" s="16" t="inlineStr">
        <is>
          <t>Backend</t>
        </is>
      </c>
      <c r="C3023" s="17" t="inlineStr">
        <is>
          <t>ticketing-service</t>
        </is>
      </c>
      <c r="D3023" s="16" t="inlineStr">
        <is>
          <t>API slice</t>
        </is>
      </c>
      <c r="E3023" s="17" t="inlineStr">
        <is>
          <t>InternalControllersWebTest › BiMat</t>
        </is>
      </c>
      <c r="F3023" s="17" t="inlineStr">
        <is>
          <t>Bí mật dùng chung</t>
        </is>
      </c>
      <c r="G3023" s="17" t="inlineStr">
        <is>
          <t>Sai bí mật: 404</t>
        </is>
      </c>
      <c r="H3023" s="17" t="inlineStr">
        <is>
          <t>sai_bi_mat</t>
        </is>
      </c>
      <c r="I3023" s="16" t="inlineStr">
        <is>
          <t>Đạt</t>
        </is>
      </c>
      <c r="J3023" s="16" t="n">
        <v>0.008999999999999999</v>
      </c>
    </row>
    <row r="3024">
      <c r="A3024" s="16" t="n">
        <v>3020</v>
      </c>
      <c r="B3024" s="16" t="inlineStr">
        <is>
          <t>Backend</t>
        </is>
      </c>
      <c r="C3024" s="17" t="inlineStr">
        <is>
          <t>ticketing-service</t>
        </is>
      </c>
      <c r="D3024" s="16" t="inlineStr">
        <is>
          <t>API slice</t>
        </is>
      </c>
      <c r="E3024" s="17" t="inlineStr">
        <is>
          <t>InternalControllersWebTest › BiMat</t>
        </is>
      </c>
      <c r="F3024" s="17" t="inlineStr">
        <is>
          <t>Bí mật dùng chung</t>
        </is>
      </c>
      <c r="G3024" s="17" t="inlineStr">
        <is>
          <t>Không mang X-Internal-Token: 404 — không xác nhận endpoint tồn tại</t>
        </is>
      </c>
      <c r="H3024" s="17" t="inlineStr">
        <is>
          <t>khong_mang_token</t>
        </is>
      </c>
      <c r="I3024" s="16" t="inlineStr">
        <is>
          <t>Đạt</t>
        </is>
      </c>
      <c r="J3024" s="16" t="n">
        <v>0.005</v>
      </c>
    </row>
    <row r="3025">
      <c r="A3025" s="16" t="n">
        <v>3021</v>
      </c>
      <c r="B3025" s="16" t="inlineStr">
        <is>
          <t>Backend</t>
        </is>
      </c>
      <c r="C3025" s="17" t="inlineStr">
        <is>
          <t>ticketing-service</t>
        </is>
      </c>
      <c r="D3025" s="16" t="inlineStr">
        <is>
          <t>API slice</t>
        </is>
      </c>
      <c r="E3025" s="17" t="inlineStr">
        <is>
          <t>InternalControllersWebTest › GanNhanVien</t>
        </is>
      </c>
      <c r="F3025" s="17" t="inlineStr">
        <is>
          <t>Gán nhân viên soát vé</t>
        </is>
      </c>
      <c r="G3025" s="17" t="inlineStr">
        <is>
          <t>Quá 200 sự kiện một lần: 400</t>
        </is>
      </c>
      <c r="H3025" s="17" t="inlineStr">
        <is>
          <t>qua_200_su_kien</t>
        </is>
      </c>
      <c r="I3025" s="16" t="inlineStr">
        <is>
          <t>Đạt</t>
        </is>
      </c>
      <c r="J3025" s="16" t="n">
        <v>0.035</v>
      </c>
    </row>
    <row r="3026">
      <c r="A3026" s="16" t="n">
        <v>3022</v>
      </c>
      <c r="B3026" s="16" t="inlineStr">
        <is>
          <t>Backend</t>
        </is>
      </c>
      <c r="C3026" s="17" t="inlineStr">
        <is>
          <t>ticketing-service</t>
        </is>
      </c>
      <c r="D3026" s="16" t="inlineStr">
        <is>
          <t>API slice</t>
        </is>
      </c>
      <c r="E3026" s="17" t="inlineStr">
        <is>
          <t>InternalControllersWebTest › GanNhanVien</t>
        </is>
      </c>
      <c r="F3026" s="17" t="inlineStr">
        <is>
          <t>Gán nhân viên soát vé</t>
        </is>
      </c>
      <c r="G3026" s="17" t="inlineStr">
        <is>
          <t>Thiếu eventIds: 400 — không được hiểu nhầm thành 'gỡ hết'</t>
        </is>
      </c>
      <c r="H3026" s="17" t="inlineStr">
        <is>
          <t>thieu_event_ids</t>
        </is>
      </c>
      <c r="I3026" s="16" t="inlineStr">
        <is>
          <t>Đạt</t>
        </is>
      </c>
      <c r="J3026" s="16" t="n">
        <v>0.011</v>
      </c>
    </row>
    <row r="3027">
      <c r="A3027" s="16" t="n">
        <v>3023</v>
      </c>
      <c r="B3027" s="16" t="inlineStr">
        <is>
          <t>Backend</t>
        </is>
      </c>
      <c r="C3027" s="17" t="inlineStr">
        <is>
          <t>ticketing-service</t>
        </is>
      </c>
      <c r="D3027" s="16" t="inlineStr">
        <is>
          <t>API slice</t>
        </is>
      </c>
      <c r="E3027" s="17" t="inlineStr">
        <is>
          <t>InternalControllersWebTest › GanNhanVien</t>
        </is>
      </c>
      <c r="F3027" s="17" t="inlineStr">
        <is>
          <t>Gán nhân viên soát vé</t>
        </is>
      </c>
      <c r="G3027" s="17" t="inlineStr">
        <is>
          <t>Danh sách rỗng là gỡ khỏi mọi sự kiện — hợp lệ</t>
        </is>
      </c>
      <c r="H3027" s="17" t="inlineStr">
        <is>
          <t>danh_sach_rong</t>
        </is>
      </c>
      <c r="I3027" s="16" t="inlineStr">
        <is>
          <t>Đạt</t>
        </is>
      </c>
      <c r="J3027" s="16" t="n">
        <v>0.019</v>
      </c>
    </row>
    <row r="3028">
      <c r="A3028" s="16" t="n">
        <v>3024</v>
      </c>
      <c r="B3028" s="16" t="inlineStr">
        <is>
          <t>Backend</t>
        </is>
      </c>
      <c r="C3028" s="17" t="inlineStr">
        <is>
          <t>ticketing-service</t>
        </is>
      </c>
      <c r="D3028" s="16" t="inlineStr">
        <is>
          <t>API slice</t>
        </is>
      </c>
      <c r="E3028" s="17" t="inlineStr">
        <is>
          <t>InternalControllersWebTest › GanNhanVien</t>
        </is>
      </c>
      <c r="F3028" s="17" t="inlineStr">
        <is>
          <t>Gán nhân viên soát vé</t>
        </is>
      </c>
      <c r="G3028" s="17" t="inlineStr">
        <is>
          <t>Đọc việc gán của một nhân viên</t>
        </is>
      </c>
      <c r="H3028" s="17" t="inlineStr">
        <is>
          <t>doc_viec_gan</t>
        </is>
      </c>
      <c r="I3028" s="16" t="inlineStr">
        <is>
          <t>Đạt</t>
        </is>
      </c>
      <c r="J3028" s="16" t="n">
        <v>0.014</v>
      </c>
    </row>
    <row r="3029">
      <c r="A3029" s="16" t="n">
        <v>3025</v>
      </c>
      <c r="B3029" s="16" t="inlineStr">
        <is>
          <t>Backend</t>
        </is>
      </c>
      <c r="C3029" s="17" t="inlineStr">
        <is>
          <t>ticketing-service</t>
        </is>
      </c>
      <c r="D3029" s="16" t="inlineStr">
        <is>
          <t>API slice</t>
        </is>
      </c>
      <c r="E3029" s="17" t="inlineStr">
        <is>
          <t>InternalControllersWebTest › GanNhanVien</t>
        </is>
      </c>
      <c r="F3029" s="17" t="inlineStr">
        <is>
          <t>Gán nhân viên soát vé</t>
        </is>
      </c>
      <c r="G3029" s="17" t="inlineStr">
        <is>
          <t>Đặt lại danh sách sự kiện: truyền đúng người gán, trả trạng thái sau khi ghi</t>
        </is>
      </c>
      <c r="H3029" s="17" t="inlineStr">
        <is>
          <t>dat_lai</t>
        </is>
      </c>
      <c r="I3029" s="16" t="inlineStr">
        <is>
          <t>Đạt</t>
        </is>
      </c>
      <c r="J3029" s="16" t="n">
        <v>0.01</v>
      </c>
    </row>
    <row r="3030">
      <c r="A3030" s="16" t="n">
        <v>3026</v>
      </c>
      <c r="B3030" s="16" t="inlineStr">
        <is>
          <t>Backend</t>
        </is>
      </c>
      <c r="C3030" s="17" t="inlineStr">
        <is>
          <t>ticketing-service</t>
        </is>
      </c>
      <c r="D3030" s="16" t="inlineStr">
        <is>
          <t>API slice</t>
        </is>
      </c>
      <c r="E3030" s="17" t="inlineStr">
        <is>
          <t>InternalControllersWebTest › PhatVe</t>
        </is>
      </c>
      <c r="F3030" s="17" t="inlineStr">
        <is>
          <t>Phát vé nội bộ</t>
        </is>
      </c>
      <c r="G3030" s="17" t="inlineStr">
        <is>
          <t>Thiếu danh sách ghế: 400, không phải 500</t>
        </is>
      </c>
      <c r="H3030" s="17" t="inlineStr">
        <is>
          <t>thieu_danh_sach_ghe</t>
        </is>
      </c>
      <c r="I3030" s="16" t="inlineStr">
        <is>
          <t>Đạt</t>
        </is>
      </c>
      <c r="J3030" s="16" t="n">
        <v>0.023</v>
      </c>
    </row>
    <row r="3031">
      <c r="A3031" s="16" t="n">
        <v>3027</v>
      </c>
      <c r="B3031" s="16" t="inlineStr">
        <is>
          <t>Backend</t>
        </is>
      </c>
      <c r="C3031" s="17" t="inlineStr">
        <is>
          <t>ticketing-service</t>
        </is>
      </c>
      <c r="D3031" s="16" t="inlineStr">
        <is>
          <t>API slice</t>
        </is>
      </c>
      <c r="E3031" s="17" t="inlineStr">
        <is>
          <t>InternalControllersWebTest › PhatVe</t>
        </is>
      </c>
      <c r="F3031" s="17" t="inlineStr">
        <is>
          <t>Phát vé nội bộ</t>
        </is>
      </c>
      <c r="G3031" s="17" t="inlineStr">
        <is>
          <t>Đúng bí mật: phát vé, không tra tên người mua, trả số vé phát mới</t>
        </is>
      </c>
      <c r="H3031" s="17" t="inlineStr">
        <is>
          <t>phat_ve</t>
        </is>
      </c>
      <c r="I3031" s="16" t="inlineStr">
        <is>
          <t>Đạt</t>
        </is>
      </c>
      <c r="J3031" s="16" t="n">
        <v>0.011</v>
      </c>
    </row>
    <row r="3032">
      <c r="A3032" s="16" t="n">
        <v>3028</v>
      </c>
      <c r="B3032" s="16" t="inlineStr">
        <is>
          <t>Backend</t>
        </is>
      </c>
      <c r="C3032" s="17" t="inlineStr">
        <is>
          <t>ticketing-service</t>
        </is>
      </c>
      <c r="D3032" s="16" t="inlineStr">
        <is>
          <t>API slice</t>
        </is>
      </c>
      <c r="E3032" s="17" t="inlineStr">
        <is>
          <t>InternalControllersWebTest › PhatVe</t>
        </is>
      </c>
      <c r="F3032" s="17" t="inlineStr">
        <is>
          <t>Phát vé nội bộ</t>
        </is>
      </c>
      <c r="G3032" s="17" t="inlineStr">
        <is>
          <t>Thiếu orderId (@NotNull): 400 VALIDATION_FAILED, không phát vé</t>
        </is>
      </c>
      <c r="H3032" s="17" t="inlineStr">
        <is>
          <t>thieu_order_id</t>
        </is>
      </c>
      <c r="I3032" s="16" t="inlineStr">
        <is>
          <t>Đạt</t>
        </is>
      </c>
      <c r="J3032" s="16" t="n">
        <v>0.006</v>
      </c>
    </row>
    <row r="3033">
      <c r="A3033" s="16" t="n">
        <v>3029</v>
      </c>
      <c r="B3033" s="16" t="inlineStr">
        <is>
          <t>Backend</t>
        </is>
      </c>
      <c r="C3033" s="17" t="inlineStr">
        <is>
          <t>ticketing-service</t>
        </is>
      </c>
      <c r="D3033" s="16" t="inlineStr">
        <is>
          <t>API slice</t>
        </is>
      </c>
      <c r="E3033" s="17" t="inlineStr">
        <is>
          <t>TicketReadControllersWebTest › TraCuu</t>
        </is>
      </c>
      <c r="F3033" s="17" t="inlineStr">
        <is>
          <t>Tra cứu vé của ban tổ chức</t>
        </is>
      </c>
      <c r="G3033" s="17" t="inlineStr">
        <is>
          <t>Nhân viên soát vé không tra được danh bạ khách: 403</t>
        </is>
      </c>
      <c r="H3033" s="17" t="inlineStr">
        <is>
          <t>nhan_vien_soat_ve_403</t>
        </is>
      </c>
      <c r="I3033" s="16" t="inlineStr">
        <is>
          <t>Đạt</t>
        </is>
      </c>
      <c r="J3033" s="16" t="n">
        <v>0.08500000000000001</v>
      </c>
    </row>
    <row r="3034">
      <c r="A3034" s="16" t="n">
        <v>3030</v>
      </c>
      <c r="B3034" s="16" t="inlineStr">
        <is>
          <t>Backend</t>
        </is>
      </c>
      <c r="C3034" s="17" t="inlineStr">
        <is>
          <t>ticketing-service</t>
        </is>
      </c>
      <c r="D3034" s="16" t="inlineStr">
        <is>
          <t>API slice</t>
        </is>
      </c>
      <c r="E3034" s="17" t="inlineStr">
        <is>
          <t>TicketReadControllersWebTest › TraCuu</t>
        </is>
      </c>
      <c r="F3034" s="17" t="inlineStr">
        <is>
          <t>Tra cứu vé của ban tổ chức</t>
        </is>
      </c>
      <c r="G3034" s="17" t="inlineStr">
        <is>
          <t>Trạng thái vé không có trong danh sách: 400 VALIDATION_FAILED kèm tên trường</t>
        </is>
      </c>
      <c r="H3034" s="17" t="inlineStr">
        <is>
          <t>trang_thai_la</t>
        </is>
      </c>
      <c r="I3034" s="16" t="inlineStr">
        <is>
          <t>Đạt</t>
        </is>
      </c>
      <c r="J3034" s="16" t="n">
        <v>0.029</v>
      </c>
    </row>
    <row r="3035">
      <c r="A3035" s="16" t="n">
        <v>3031</v>
      </c>
      <c r="B3035" s="16" t="inlineStr">
        <is>
          <t>Backend</t>
        </is>
      </c>
      <c r="C3035" s="17" t="inlineStr">
        <is>
          <t>ticketing-service</t>
        </is>
      </c>
      <c r="D3035" s="16" t="inlineStr">
        <is>
          <t>API slice</t>
        </is>
      </c>
      <c r="E3035" s="17" t="inlineStr">
        <is>
          <t>TicketReadControllersWebTest › TraCuu</t>
        </is>
      </c>
      <c r="F3035" s="17" t="inlineStr">
        <is>
          <t>Tra cứu vé của ban tổ chức</t>
        </is>
      </c>
      <c r="G3035" s="17" t="inlineStr">
        <is>
          <t>Thành viên tổ chức khác: 404, không chạm database</t>
        </is>
      </c>
      <c r="H3035" s="17" t="inlineStr">
        <is>
          <t>to_chuc_khac</t>
        </is>
      </c>
      <c r="I3035" s="16" t="inlineStr">
        <is>
          <t>Đạt</t>
        </is>
      </c>
      <c r="J3035" s="16" t="n">
        <v>0.016</v>
      </c>
    </row>
    <row r="3036">
      <c r="A3036" s="16" t="n">
        <v>3032</v>
      </c>
      <c r="B3036" s="16" t="inlineStr">
        <is>
          <t>Backend</t>
        </is>
      </c>
      <c r="C3036" s="17" t="inlineStr">
        <is>
          <t>ticketing-service</t>
        </is>
      </c>
      <c r="D3036" s="16" t="inlineStr">
        <is>
          <t>API slice</t>
        </is>
      </c>
      <c r="E3036" s="17" t="inlineStr">
        <is>
          <t>TicketReadControllersWebTest › TraCuu</t>
        </is>
      </c>
      <c r="F3036" s="17" t="inlineStr">
        <is>
          <t>Tra cứu vé của ban tổ chức</t>
        </is>
      </c>
      <c r="G3036" s="17" t="inlineStr">
        <is>
          <t>Người quản lý sự kiện tra được; bộ lọc gõ thường được viết hoa, trang bị kẹp 100</t>
        </is>
      </c>
      <c r="H3036" s="17" t="inlineStr">
        <is>
          <t>quan_ly_tra_duoc</t>
        </is>
      </c>
      <c r="I3036" s="16" t="inlineStr">
        <is>
          <t>Đạt</t>
        </is>
      </c>
      <c r="J3036" s="16" t="n">
        <v>0.074</v>
      </c>
    </row>
    <row r="3037">
      <c r="A3037" s="16" t="n">
        <v>3033</v>
      </c>
      <c r="B3037" s="16" t="inlineStr">
        <is>
          <t>Backend</t>
        </is>
      </c>
      <c r="C3037" s="17" t="inlineStr">
        <is>
          <t>ticketing-service</t>
        </is>
      </c>
      <c r="D3037" s="16" t="inlineStr">
        <is>
          <t>API slice</t>
        </is>
      </c>
      <c r="E3037" s="17" t="inlineStr">
        <is>
          <t>TicketReadControllersWebTest › TraCuu</t>
        </is>
      </c>
      <c r="F3037" s="17" t="inlineStr">
        <is>
          <t>Tra cứu vé của ban tổ chức</t>
        </is>
      </c>
      <c r="G3037" s="17" t="inlineStr">
        <is>
          <t>Superadmin không phải thành viên: route tổ chức vẫn đòi membership thật — 404</t>
        </is>
      </c>
      <c r="H3037" s="17" t="inlineStr">
        <is>
          <t>superadmin_khong_phai_thanh_vien</t>
        </is>
      </c>
      <c r="I3037" s="16" t="inlineStr">
        <is>
          <t>Đạt</t>
        </is>
      </c>
      <c r="J3037" s="16" t="n">
        <v>0.024</v>
      </c>
    </row>
    <row r="3038">
      <c r="A3038" s="16" t="n">
        <v>3034</v>
      </c>
      <c r="B3038" s="16" t="inlineStr">
        <is>
          <t>Backend</t>
        </is>
      </c>
      <c r="C3038" s="17" t="inlineStr">
        <is>
          <t>ticketing-service</t>
        </is>
      </c>
      <c r="D3038" s="16" t="inlineStr">
        <is>
          <t>API slice</t>
        </is>
      </c>
      <c r="E3038" s="17" t="inlineStr">
        <is>
          <t>TicketReadControllersWebTest › TraCuu</t>
        </is>
      </c>
      <c r="F3038" s="17" t="inlineStr">
        <is>
          <t>Tra cứu vé của ban tổ chức</t>
        </is>
      </c>
      <c r="G3038" s="17" t="inlineStr">
        <is>
          <t>Trạng thái thanh toán không có trong danh sách: 400</t>
        </is>
      </c>
      <c r="H3038" s="17" t="inlineStr">
        <is>
          <t>trang_thai_thanh_toan_la</t>
        </is>
      </c>
      <c r="I3038" s="16" t="inlineStr">
        <is>
          <t>Đạt</t>
        </is>
      </c>
      <c r="J3038" s="16" t="n">
        <v>0.023</v>
      </c>
    </row>
    <row r="3039">
      <c r="A3039" s="16" t="n">
        <v>3035</v>
      </c>
      <c r="B3039" s="16" t="inlineStr">
        <is>
          <t>Backend</t>
        </is>
      </c>
      <c r="C3039" s="17" t="inlineStr">
        <is>
          <t>ticketing-service</t>
        </is>
      </c>
      <c r="D3039" s="16" t="inlineStr">
        <is>
          <t>API slice</t>
        </is>
      </c>
      <c r="E3039" s="17" t="inlineStr">
        <is>
          <t>TicketReadControllersWebTest › ViVe</t>
        </is>
      </c>
      <c r="F3039" s="17" t="inlineStr">
        <is>
          <t>Ví vé của khách</t>
        </is>
      </c>
      <c r="G3039" s="17" t="inlineStr">
        <is>
          <t>Khách xem ví của mình: người dùng lấy từ token, mỗi vé có token QR mới ký</t>
        </is>
      </c>
      <c r="H3039" s="17" t="inlineStr">
        <is>
          <t>xem_vi_cua_minh</t>
        </is>
      </c>
      <c r="I3039" s="16" t="inlineStr">
        <is>
          <t>Đạt</t>
        </is>
      </c>
      <c r="J3039" s="16" t="n">
        <v>0.036</v>
      </c>
    </row>
    <row r="3040">
      <c r="A3040" s="16" t="n">
        <v>3036</v>
      </c>
      <c r="B3040" s="16" t="inlineStr">
        <is>
          <t>Backend</t>
        </is>
      </c>
      <c r="C3040" s="17" t="inlineStr">
        <is>
          <t>ticketing-service</t>
        </is>
      </c>
      <c r="D3040" s="16" t="inlineStr">
        <is>
          <t>API slice</t>
        </is>
      </c>
      <c r="E3040" s="17" t="inlineStr">
        <is>
          <t>TicketReadControllersWebTest › ViVe</t>
        </is>
      </c>
      <c r="F3040" s="17" t="inlineStr">
        <is>
          <t>Ví vé của khách</t>
        </is>
      </c>
      <c r="G3040" s="17" t="inlineStr">
        <is>
          <t>limit quá lớn bị kẹp về 100</t>
        </is>
      </c>
      <c r="H3040" s="17" t="inlineStr">
        <is>
          <t>limit_bi_kep</t>
        </is>
      </c>
      <c r="I3040" s="16" t="inlineStr">
        <is>
          <t>Đạt</t>
        </is>
      </c>
      <c r="J3040" s="16" t="n">
        <v>0.02</v>
      </c>
    </row>
    <row r="3041">
      <c r="A3041" s="16" t="n">
        <v>3037</v>
      </c>
      <c r="B3041" s="16" t="inlineStr">
        <is>
          <t>Backend</t>
        </is>
      </c>
      <c r="C3041" s="17" t="inlineStr">
        <is>
          <t>ticketing-service</t>
        </is>
      </c>
      <c r="D3041" s="16" t="inlineStr">
        <is>
          <t>API slice</t>
        </is>
      </c>
      <c r="E3041" s="17" t="inlineStr">
        <is>
          <t>TicketReadControllersWebTest › ViVe</t>
        </is>
      </c>
      <c r="F3041" s="17" t="inlineStr">
        <is>
          <t>Ví vé của khách</t>
        </is>
      </c>
      <c r="G3041" s="17" t="inlineStr">
        <is>
          <t>Identity không trả lời: 401 UNAUTHENTICATED</t>
        </is>
      </c>
      <c r="H3041" s="17" t="inlineStr">
        <is>
          <t>identity_khong_tra_loi</t>
        </is>
      </c>
      <c r="I3041" s="16" t="inlineStr">
        <is>
          <t>Đạt</t>
        </is>
      </c>
      <c r="J3041" s="16" t="n">
        <v>0.026</v>
      </c>
    </row>
    <row r="3042">
      <c r="A3042" s="16" t="n">
        <v>3038</v>
      </c>
      <c r="B3042" s="16" t="inlineStr">
        <is>
          <t>Backend</t>
        </is>
      </c>
      <c r="C3042" s="17" t="inlineStr">
        <is>
          <t>ticketing-service</t>
        </is>
      </c>
      <c r="D3042" s="16" t="inlineStr">
        <is>
          <t>API slice</t>
        </is>
      </c>
      <c r="E3042" s="17" t="inlineStr">
        <is>
          <t>TicketReadControllersWebTest › ViVe</t>
        </is>
      </c>
      <c r="F3042" s="17" t="inlineStr">
        <is>
          <t>Ví vé của khách</t>
        </is>
      </c>
      <c r="G3042" s="17" t="inlineStr">
        <is>
          <t>Vé của một đơn: chỉ trả vé thuộc người đang hỏi, dù đơn chứa vé của người khác</t>
        </is>
      </c>
      <c r="H3042" s="17" t="inlineStr">
        <is>
          <t>ve_cua_don_chi_cua_minh</t>
        </is>
      </c>
      <c r="I3042" s="16" t="inlineStr">
        <is>
          <t>Đạt</t>
        </is>
      </c>
      <c r="J3042" s="16" t="n">
        <v>0.06900000000000001</v>
      </c>
    </row>
    <row r="3043">
      <c r="A3043" s="16" t="n">
        <v>3039</v>
      </c>
      <c r="B3043" s="16" t="inlineStr">
        <is>
          <t>Backend</t>
        </is>
      </c>
      <c r="C3043" s="17" t="inlineStr">
        <is>
          <t>ticketing-service</t>
        </is>
      </c>
      <c r="D3043" s="16" t="inlineStr">
        <is>
          <t>API slice</t>
        </is>
      </c>
      <c r="E3043" s="17" t="inlineStr">
        <is>
          <t>TicketReadControllersWebTest › ViVe</t>
        </is>
      </c>
      <c r="F3043" s="17" t="inlineStr">
        <is>
          <t>Ví vé của khách</t>
        </is>
      </c>
      <c r="G3043" s="17" t="inlineStr">
        <is>
          <t>limit/offset âm: bị chặn ở cửa (400) hoặc kẹp về không âm — không được đi xuống câu SQL</t>
        </is>
      </c>
      <c r="H3043" s="17" t="inlineStr">
        <is>
          <t>limit_am</t>
        </is>
      </c>
      <c r="I3043" s="16" t="inlineStr">
        <is>
          <t>Đạt</t>
        </is>
      </c>
      <c r="J3043" s="16" t="n">
        <v>0.023</v>
      </c>
    </row>
    <row r="3044">
      <c r="A3044" s="16" t="n">
        <v>3040</v>
      </c>
      <c r="B3044" s="16" t="inlineStr">
        <is>
          <t>Backend</t>
        </is>
      </c>
      <c r="C3044" s="17" t="inlineStr">
        <is>
          <t>ticketing-service</t>
        </is>
      </c>
      <c r="D3044" s="16" t="inlineStr">
        <is>
          <t>API slice</t>
        </is>
      </c>
      <c r="E3044" s="17" t="inlineStr">
        <is>
          <t>TicketReadControllersWebTest › ViVe</t>
        </is>
      </c>
      <c r="F3044" s="17" t="inlineStr">
        <is>
          <t>Ví vé của khách</t>
        </is>
      </c>
      <c r="G3044" s="17" t="inlineStr">
        <is>
          <t>Không đăng nhập: 401</t>
        </is>
      </c>
      <c r="H3044" s="17" t="inlineStr">
        <is>
          <t>khong_dang_nhap</t>
        </is>
      </c>
      <c r="I3044" s="16" t="inlineStr">
        <is>
          <t>Đạt</t>
        </is>
      </c>
      <c r="J3044" s="16" t="n">
        <v>0.017</v>
      </c>
    </row>
    <row r="3045">
      <c r="A3045" s="16" t="n">
        <v>3041</v>
      </c>
      <c r="B3045" s="16" t="inlineStr">
        <is>
          <t>Backend</t>
        </is>
      </c>
      <c r="C3045" s="17" t="inlineStr">
        <is>
          <t>starter-idempotency</t>
        </is>
      </c>
      <c r="D3045" s="16" t="inlineStr">
        <is>
          <t>Integration</t>
        </is>
      </c>
      <c r="E3045" s="17" t="inlineStr">
        <is>
          <t>IdempotencyCleanupJobIT</t>
        </is>
      </c>
      <c r="F3045" s="17" t="inlineStr"/>
      <c r="G3045" s="17" t="inlineStr">
        <is>
          <t>Một lệnh xoá không vượt `batch`</t>
        </is>
      </c>
      <c r="H3045" s="17" t="inlineStr">
        <is>
          <t>khong_vuot_lo</t>
        </is>
      </c>
      <c r="I3045" s="16" t="inlineStr">
        <is>
          <t>Đạt</t>
        </is>
      </c>
      <c r="J3045" s="16" t="n">
        <v>0.753</v>
      </c>
    </row>
    <row r="3046">
      <c r="A3046" s="16" t="n">
        <v>3042</v>
      </c>
      <c r="B3046" s="16" t="inlineStr">
        <is>
          <t>Backend</t>
        </is>
      </c>
      <c r="C3046" s="17" t="inlineStr">
        <is>
          <t>starter-idempotency</t>
        </is>
      </c>
      <c r="D3046" s="16" t="inlineStr">
        <is>
          <t>Integration</t>
        </is>
      </c>
      <c r="E3046" s="17" t="inlineStr">
        <is>
          <t>IdempotencyCleanupJobIT</t>
        </is>
      </c>
      <c r="F3046" s="17" t="inlineStr"/>
      <c r="G3046" s="17" t="inlineStr">
        <is>
          <t>Chia lô: mỗi câu lệnh xoá tối đa `batch` dòng, job lặp tới khi sạch</t>
        </is>
      </c>
      <c r="H3046" s="17" t="inlineStr">
        <is>
          <t>chia_lo</t>
        </is>
      </c>
      <c r="I3046" s="16" t="inlineStr">
        <is>
          <t>Đạt</t>
        </is>
      </c>
      <c r="J3046" s="16" t="n">
        <v>1.434</v>
      </c>
    </row>
    <row r="3047">
      <c r="A3047" s="16" t="n">
        <v>3043</v>
      </c>
      <c r="B3047" s="16" t="inlineStr">
        <is>
          <t>Backend</t>
        </is>
      </c>
      <c r="C3047" s="17" t="inlineStr">
        <is>
          <t>starter-idempotency</t>
        </is>
      </c>
      <c r="D3047" s="16" t="inlineStr">
        <is>
          <t>Integration</t>
        </is>
      </c>
      <c r="E3047" s="17" t="inlineStr">
        <is>
          <t>IdempotencyCleanupJobIT</t>
        </is>
      </c>
      <c r="F3047" s="17" t="inlineStr"/>
      <c r="G3047" s="17" t="inlineStr">
        <is>
          <t>Xoá bản ghi cũ hơn thời hạn giữ, GIỮ bản ghi còn trong hạn — cả đã hoàn tất lẫn đang dở</t>
        </is>
      </c>
      <c r="H3047" s="17" t="inlineStr">
        <is>
          <t>xoa_cu_giu_moi</t>
        </is>
      </c>
      <c r="I3047" s="16" t="inlineStr">
        <is>
          <t>Đạt</t>
        </is>
      </c>
      <c r="J3047" s="16" t="n">
        <v>0.459</v>
      </c>
    </row>
    <row r="3048">
      <c r="A3048" s="16" t="n">
        <v>3044</v>
      </c>
      <c r="B3048" s="16" t="inlineStr">
        <is>
          <t>Backend</t>
        </is>
      </c>
      <c r="C3048" s="17" t="inlineStr">
        <is>
          <t>starter-idempotency</t>
        </is>
      </c>
      <c r="D3048" s="16" t="inlineStr">
        <is>
          <t>Integration</t>
        </is>
      </c>
      <c r="E3048" s="17" t="inlineStr">
        <is>
          <t>IdempotencyFilterIT</t>
        </is>
      </c>
      <c r="F3048" s="17" t="inlineStr"/>
      <c r="G3048" s="17" t="inlineStr">
        <is>
          <t>Bản ghi dở quá hạn (tiến trình đã chết) được nhận lại; chưa quá hạn thì vẫn 409</t>
        </is>
      </c>
      <c r="H3048" s="17" t="inlineStr">
        <is>
          <t>nhan_lai_ban_ghi_dang</t>
        </is>
      </c>
      <c r="I3048" s="16" t="inlineStr">
        <is>
          <t>Đạt</t>
        </is>
      </c>
      <c r="J3048" s="16" t="n">
        <v>5.052</v>
      </c>
    </row>
    <row r="3049">
      <c r="A3049" s="16" t="n">
        <v>3045</v>
      </c>
      <c r="B3049" s="16" t="inlineStr">
        <is>
          <t>Backend</t>
        </is>
      </c>
      <c r="C3049" s="17" t="inlineStr">
        <is>
          <t>starter-idempotency</t>
        </is>
      </c>
      <c r="D3049" s="16" t="inlineStr">
        <is>
          <t>Integration</t>
        </is>
      </c>
      <c r="E3049" s="17" t="inlineStr">
        <is>
          <t>IdempotencyFilterIT</t>
        </is>
      </c>
      <c r="F3049" s="17" t="inlineStr"/>
      <c r="G3049" s="17" t="inlineStr">
        <is>
          <t>Gửi lại cùng khoá: nhận đúng câu trả lời đã lưu (kể cả tiếng Việt), handler chỉ chạy một lần</t>
        </is>
      </c>
      <c r="H3049" s="17" t="inlineStr">
        <is>
          <t>phat_lai_qua_jsonb</t>
        </is>
      </c>
      <c r="I3049" s="16" t="inlineStr">
        <is>
          <t>Đạt</t>
        </is>
      </c>
      <c r="J3049" s="16" t="n">
        <v>0.903</v>
      </c>
    </row>
    <row r="3050">
      <c r="A3050" s="16" t="n">
        <v>3046</v>
      </c>
      <c r="B3050" s="16" t="inlineStr">
        <is>
          <t>Backend</t>
        </is>
      </c>
      <c r="C3050" s="17" t="inlineStr">
        <is>
          <t>starter-idempotency</t>
        </is>
      </c>
      <c r="D3050" s="16" t="inlineStr">
        <is>
          <t>Integration</t>
        </is>
      </c>
      <c r="E3050" s="17" t="inlineStr">
        <is>
          <t>IdempotencyFilterIT</t>
        </is>
      </c>
      <c r="F3050" s="17" t="inlineStr"/>
      <c r="G3050" s="17" t="inlineStr">
        <is>
          <t>Hai request SONG SONG cùng khoá: handler chạy đúng một lần, request kia nhận 409 hoặc bản phát lại</t>
        </is>
      </c>
      <c r="H3050" s="17" t="inlineStr">
        <is>
          <t>song_song</t>
        </is>
      </c>
      <c r="I3050" s="16" t="inlineStr">
        <is>
          <t>Đạt</t>
        </is>
      </c>
      <c r="J3050" s="16" t="n">
        <v>0.5659999999999999</v>
      </c>
    </row>
    <row r="3051">
      <c r="A3051" s="16" t="n">
        <v>3047</v>
      </c>
      <c r="B3051" s="16" t="inlineStr">
        <is>
          <t>Backend</t>
        </is>
      </c>
      <c r="C3051" s="17" t="inlineStr">
        <is>
          <t>starter-idempotency</t>
        </is>
      </c>
      <c r="D3051" s="16" t="inlineStr">
        <is>
          <t>Integration</t>
        </is>
      </c>
      <c r="E3051" s="17" t="inlineStr">
        <is>
          <t>IdempotencyFilterIT</t>
        </is>
      </c>
      <c r="F3051" s="17" t="inlineStr"/>
      <c r="G3051" s="17" t="inlineStr">
        <is>
          <t>Cùng khoá, nội dung khác: 409 và handler không chạy lần hai</t>
        </is>
      </c>
      <c r="H3051" s="17" t="inlineStr">
        <is>
          <t>khoa_dung_lai</t>
        </is>
      </c>
      <c r="I3051" s="16" t="inlineStr">
        <is>
          <t>Đạt</t>
        </is>
      </c>
      <c r="J3051" s="16" t="n">
        <v>0.6929999999999999</v>
      </c>
    </row>
    <row r="3052">
      <c r="A3052" s="16" t="n">
        <v>3048</v>
      </c>
      <c r="B3052" s="16" t="inlineStr">
        <is>
          <t>Backend</t>
        </is>
      </c>
      <c r="C3052" s="17" t="inlineStr">
        <is>
          <t>starter-idempotency</t>
        </is>
      </c>
      <c r="D3052" s="16" t="inlineStr">
        <is>
          <t>Integration</t>
        </is>
      </c>
      <c r="E3052" s="17" t="inlineStr">
        <is>
          <t>IdempotencyStoreIT</t>
        </is>
      </c>
      <c r="F3052" s="17" t="inlineStr"/>
      <c r="G3052" s="17" t="inlineStr">
        <is>
          <t>vòng đời: đang chạy -&gt; hoàn tất -&gt; release không xoá câu trả lời đã lưu</t>
        </is>
      </c>
      <c r="H3052" s="17" t="inlineStr">
        <is>
          <t>vong_doi</t>
        </is>
      </c>
      <c r="I3052" s="16" t="inlineStr">
        <is>
          <t>Đạt</t>
        </is>
      </c>
      <c r="J3052" s="16" t="n">
        <v>0.246</v>
      </c>
    </row>
    <row r="3053">
      <c r="A3053" s="16" t="n">
        <v>3049</v>
      </c>
      <c r="B3053" s="16" t="inlineStr">
        <is>
          <t>Backend</t>
        </is>
      </c>
      <c r="C3053" s="17" t="inlineStr">
        <is>
          <t>starter-idempotency</t>
        </is>
      </c>
      <c r="D3053" s="16" t="inlineStr">
        <is>
          <t>Integration</t>
        </is>
      </c>
      <c r="E3053" s="17" t="inlineStr">
        <is>
          <t>IdempotencyStoreIT</t>
        </is>
      </c>
      <c r="F3053" s="17" t="inlineStr"/>
      <c r="G3053" s="17" t="inlineStr">
        <is>
          <t>release xoá bản ghi chưa xong để client retry được ngay</t>
        </is>
      </c>
      <c r="H3053" s="17" t="inlineStr">
        <is>
          <t>release_ban_chua_xong</t>
        </is>
      </c>
      <c r="I3053" s="16" t="inlineStr">
        <is>
          <t>Đạt</t>
        </is>
      </c>
      <c r="J3053" s="16" t="n">
        <v>0.206</v>
      </c>
    </row>
    <row r="3054">
      <c r="A3054" s="16" t="n">
        <v>3050</v>
      </c>
      <c r="B3054" s="16" t="inlineStr">
        <is>
          <t>Backend</t>
        </is>
      </c>
      <c r="C3054" s="17" t="inlineStr">
        <is>
          <t>starter-idempotency</t>
        </is>
      </c>
      <c r="D3054" s="16" t="inlineStr">
        <is>
          <t>Integration</t>
        </is>
      </c>
      <c r="E3054" s="17" t="inlineStr">
        <is>
          <t>IdempotencyStoreIT</t>
        </is>
      </c>
      <c r="F3054" s="17" t="inlineStr"/>
      <c r="G3054" s="17" t="inlineStr">
        <is>
          <t>ProcessedEvents.markIfNew: lần đầu true, lần hai false, queue khác thì độc lập</t>
        </is>
      </c>
      <c r="H3054" s="17" t="inlineStr">
        <is>
          <t>processed_events</t>
        </is>
      </c>
      <c r="I3054" s="16" t="inlineStr">
        <is>
          <t>Đạt</t>
        </is>
      </c>
      <c r="J3054" s="16" t="n">
        <v>0.151</v>
      </c>
    </row>
    <row r="3055">
      <c r="A3055" s="16" t="n">
        <v>3051</v>
      </c>
      <c r="B3055" s="16" t="inlineStr">
        <is>
          <t>Backend</t>
        </is>
      </c>
      <c r="C3055" s="17" t="inlineStr">
        <is>
          <t>starter-idempotency</t>
        </is>
      </c>
      <c r="D3055" s="16" t="inlineStr">
        <is>
          <t>Integration</t>
        </is>
      </c>
      <c r="E3055" s="17" t="inlineStr">
        <is>
          <t>IdempotencyStoreIT</t>
        </is>
      </c>
      <c r="F3055" s="17" t="inlineStr"/>
      <c r="G3055" s="17" t="inlineStr">
        <is>
          <t>user null (chưa đăng nhập): find và complete vẫn khớp nhờ IS NOT DISTINCT FROM</t>
        </is>
      </c>
      <c r="H3055" s="17" t="inlineStr">
        <is>
          <t>user_null</t>
        </is>
      </c>
      <c r="I3055" s="16" t="inlineStr">
        <is>
          <t>Đạt</t>
        </is>
      </c>
      <c r="J3055" s="16" t="n">
        <v>0.219</v>
      </c>
    </row>
    <row r="3056">
      <c r="A3056" s="16" t="n">
        <v>3052</v>
      </c>
      <c r="B3056" s="16" t="inlineStr">
        <is>
          <t>Backend</t>
        </is>
      </c>
      <c r="C3056" s="17" t="inlineStr">
        <is>
          <t>starter-idempotency</t>
        </is>
      </c>
      <c r="D3056" s="16" t="inlineStr">
        <is>
          <t>Integration</t>
        </is>
      </c>
      <c r="E3056" s="17" t="inlineStr">
        <is>
          <t>IdempotencyStoreIT</t>
        </is>
      </c>
      <c r="F3056" s="17" t="inlineStr"/>
      <c r="G3056" s="17" t="inlineStr">
        <is>
          <t>tryBegin: chỉ lần đầu giành được; lần sau cùng (user, key) trả false</t>
        </is>
      </c>
      <c r="H3056" s="17" t="inlineStr">
        <is>
          <t>try_begin_chi_lan_dau</t>
        </is>
      </c>
      <c r="I3056" s="16" t="inlineStr">
        <is>
          <t>Đạt</t>
        </is>
      </c>
      <c r="J3056" s="16" t="n">
        <v>0.139</v>
      </c>
    </row>
    <row r="3057">
      <c r="A3057" s="16" t="n">
        <v>3053</v>
      </c>
      <c r="B3057" s="16" t="inlineStr">
        <is>
          <t>Backend</t>
        </is>
      </c>
      <c r="C3057" s="17" t="inlineStr">
        <is>
          <t>ai-chatbox-service</t>
        </is>
      </c>
      <c r="D3057" s="16" t="inlineStr">
        <is>
          <t>Integration</t>
        </is>
      </c>
      <c r="E3057" s="17" t="inlineStr">
        <is>
          <t>HandoffFlowIT</t>
        </is>
      </c>
      <c r="F3057" s="17" t="inlineStr"/>
      <c r="G3057" s="17" t="inlineStr">
        <is>
          <t>khong mo duoc phieu tren phien cua nguoi khac</t>
        </is>
      </c>
      <c r="H3057" s="17" t="inlineStr">
        <is>
          <t>khong_mo_duoc_phieu_tren_phien_cua_nguoi_khac</t>
        </is>
      </c>
      <c r="I3057" s="16" t="inlineStr">
        <is>
          <t>Đạt</t>
        </is>
      </c>
      <c r="J3057" s="16" t="n">
        <v>0.909</v>
      </c>
    </row>
    <row r="3058">
      <c r="A3058" s="16" t="n">
        <v>3054</v>
      </c>
      <c r="B3058" s="16" t="inlineStr">
        <is>
          <t>Backend</t>
        </is>
      </c>
      <c r="C3058" s="17" t="inlineStr">
        <is>
          <t>ai-chatbox-service</t>
        </is>
      </c>
      <c r="D3058" s="16" t="inlineStr">
        <is>
          <t>Integration</t>
        </is>
      </c>
      <c r="E3058" s="17" t="inlineStr">
        <is>
          <t>HandoffFlowIT</t>
        </is>
      </c>
      <c r="F3058" s="17" t="inlineStr"/>
      <c r="G3058" s="17" t="inlineStr">
        <is>
          <t>chua nhan phieu thi khong tra loi duoc</t>
        </is>
      </c>
      <c r="H3058" s="17" t="inlineStr">
        <is>
          <t>chua_nhan_phieu_thi_khong_tra_loi_duoc</t>
        </is>
      </c>
      <c r="I3058" s="16" t="inlineStr">
        <is>
          <t>Đạt</t>
        </is>
      </c>
      <c r="J3058" s="16" t="n">
        <v>0.034</v>
      </c>
    </row>
    <row r="3059">
      <c r="A3059" s="16" t="n">
        <v>3055</v>
      </c>
      <c r="B3059" s="16" t="inlineStr">
        <is>
          <t>Backend</t>
        </is>
      </c>
      <c r="C3059" s="17" t="inlineStr">
        <is>
          <t>ai-chatbox-service</t>
        </is>
      </c>
      <c r="D3059" s="16" t="inlineStr">
        <is>
          <t>Integration</t>
        </is>
      </c>
      <c r="E3059" s="17" t="inlineStr">
        <is>
          <t>HandoffFlowIT</t>
        </is>
      </c>
      <c r="F3059" s="17" t="inlineStr"/>
      <c r="G3059" s="17" t="inlineStr">
        <is>
          <t>phieu da dong thi khong tra loi duoc nua</t>
        </is>
      </c>
      <c r="H3059" s="17" t="inlineStr">
        <is>
          <t>phieu_da_dong_thi_khong_tra_loi_duoc_nua</t>
        </is>
      </c>
      <c r="I3059" s="16" t="inlineStr">
        <is>
          <t>Đạt</t>
        </is>
      </c>
      <c r="J3059" s="16" t="n">
        <v>0.245</v>
      </c>
    </row>
    <row r="3060">
      <c r="A3060" s="16" t="n">
        <v>3056</v>
      </c>
      <c r="B3060" s="16" t="inlineStr">
        <is>
          <t>Backend</t>
        </is>
      </c>
      <c r="C3060" s="17" t="inlineStr">
        <is>
          <t>ai-chatbox-service</t>
        </is>
      </c>
      <c r="D3060" s="16" t="inlineStr">
        <is>
          <t>Integration</t>
        </is>
      </c>
      <c r="E3060" s="17" t="inlineStr">
        <is>
          <t>HandoffFlowIT</t>
        </is>
      </c>
      <c r="F3060" s="17" t="inlineStr"/>
      <c r="G3060" s="17" t="inlineStr">
        <is>
          <t>hang doi loc duoc theo y dinh</t>
        </is>
      </c>
      <c r="H3060" s="17" t="inlineStr">
        <is>
          <t>hang_doi_loc_duoc_theo_y_dinh</t>
        </is>
      </c>
      <c r="I3060" s="16" t="inlineStr">
        <is>
          <t>Đạt</t>
        </is>
      </c>
      <c r="J3060" s="16" t="n">
        <v>0.08</v>
      </c>
    </row>
    <row r="3061">
      <c r="A3061" s="16" t="n">
        <v>3057</v>
      </c>
      <c r="B3061" s="16" t="inlineStr">
        <is>
          <t>Backend</t>
        </is>
      </c>
      <c r="C3061" s="17" t="inlineStr">
        <is>
          <t>ai-chatbox-service</t>
        </is>
      </c>
      <c r="D3061" s="16" t="inlineStr">
        <is>
          <t>Integration</t>
        </is>
      </c>
      <c r="E3061" s="17" t="inlineStr">
        <is>
          <t>HandoffFlowIT</t>
        </is>
      </c>
      <c r="F3061" s="17" t="inlineStr"/>
      <c r="G3061" s="17" t="inlineStr">
        <is>
          <t>mo hinh goi tool chuyen tiep ngay o luot dau tien</t>
        </is>
      </c>
      <c r="H3061" s="17" t="inlineStr">
        <is>
          <t>mo_hinh_goi_tool_chuyen_tiep_ngay_o_luot_dau_tien</t>
        </is>
      </c>
      <c r="I3061" s="16" t="inlineStr">
        <is>
          <t>Đạt</t>
        </is>
      </c>
      <c r="J3061" s="16" t="n">
        <v>0.082</v>
      </c>
    </row>
    <row r="3062">
      <c r="A3062" s="16" t="n">
        <v>3058</v>
      </c>
      <c r="B3062" s="16" t="inlineStr">
        <is>
          <t>Backend</t>
        </is>
      </c>
      <c r="C3062" s="17" t="inlineStr">
        <is>
          <t>ai-chatbox-service</t>
        </is>
      </c>
      <c r="D3062" s="16" t="inlineStr">
        <is>
          <t>Integration</t>
        </is>
      </c>
      <c r="E3062" s="17" t="inlineStr">
        <is>
          <t>HandoffFlowIT</t>
        </is>
      </c>
      <c r="F3062" s="17" t="inlineStr"/>
      <c r="G3062" s="17" t="inlineStr">
        <is>
          <t>khach xin gap nguoi that ngay o luot dau tien</t>
        </is>
      </c>
      <c r="H3062" s="17" t="inlineStr">
        <is>
          <t>khach_xin_gap_nguoi_that_ngay_o_luot_dau_tien</t>
        </is>
      </c>
      <c r="I3062" s="16" t="inlineStr">
        <is>
          <t>Đạt</t>
        </is>
      </c>
      <c r="J3062" s="16" t="n">
        <v>0.031</v>
      </c>
    </row>
    <row r="3063">
      <c r="A3063" s="16" t="n">
        <v>3059</v>
      </c>
      <c r="B3063" s="16" t="inlineStr">
        <is>
          <t>Backend</t>
        </is>
      </c>
      <c r="C3063" s="17" t="inlineStr">
        <is>
          <t>ai-chatbox-service</t>
        </is>
      </c>
      <c r="D3063" s="16" t="inlineStr">
        <is>
          <t>Integration</t>
        </is>
      </c>
      <c r="E3063" s="17" t="inlineStr">
        <is>
          <t>HandoffFlowIT</t>
        </is>
      </c>
      <c r="F3063" s="17" t="inlineStr"/>
      <c r="G3063" s="17" t="inlineStr">
        <is>
          <t>hang doi cu nhat truoc</t>
        </is>
      </c>
      <c r="H3063" s="17" t="inlineStr">
        <is>
          <t>hang_doi_cu_nhat_truoc</t>
        </is>
      </c>
      <c r="I3063" s="16" t="inlineStr">
        <is>
          <t>Đạt</t>
        </is>
      </c>
      <c r="J3063" s="16" t="n">
        <v>0.046</v>
      </c>
    </row>
    <row r="3064">
      <c r="A3064" s="16" t="n">
        <v>3060</v>
      </c>
      <c r="B3064" s="16" t="inlineStr">
        <is>
          <t>Backend</t>
        </is>
      </c>
      <c r="C3064" s="17" t="inlineStr">
        <is>
          <t>ai-chatbox-service</t>
        </is>
      </c>
      <c r="D3064" s="16" t="inlineStr">
        <is>
          <t>Integration</t>
        </is>
      </c>
      <c r="E3064" s="17" t="inlineStr">
        <is>
          <t>HandoffFlowIT</t>
        </is>
      </c>
      <c r="F3064" s="17" t="inlineStr"/>
      <c r="G3064" s="17" t="inlineStr">
        <is>
          <t>nhan phieu hai lan van la phieu cua minh</t>
        </is>
      </c>
      <c r="H3064" s="17" t="inlineStr">
        <is>
          <t>nhan_phieu_hai_lan_van_la_phieu_cua_minh</t>
        </is>
      </c>
      <c r="I3064" s="16" t="inlineStr">
        <is>
          <t>Đạt</t>
        </is>
      </c>
      <c r="J3064" s="16" t="n">
        <v>0.06</v>
      </c>
    </row>
    <row r="3065">
      <c r="A3065" s="16" t="n">
        <v>3061</v>
      </c>
      <c r="B3065" s="16" t="inlineStr">
        <is>
          <t>Backend</t>
        </is>
      </c>
      <c r="C3065" s="17" t="inlineStr">
        <is>
          <t>ai-chatbox-service</t>
        </is>
      </c>
      <c r="D3065" s="16" t="inlineStr">
        <is>
          <t>Integration</t>
        </is>
      </c>
      <c r="E3065" s="17" t="inlineStr">
        <is>
          <t>HandoffFlowIT</t>
        </is>
      </c>
      <c r="F3065" s="17" t="inlineStr"/>
      <c r="G3065" s="17" t="inlineStr">
        <is>
          <t>nguoi khac nhan truoc thi 409</t>
        </is>
      </c>
      <c r="H3065" s="17" t="inlineStr">
        <is>
          <t>nguoi_khac_nhan_truoc_thi_409</t>
        </is>
      </c>
      <c r="I3065" s="16" t="inlineStr">
        <is>
          <t>Đạt</t>
        </is>
      </c>
      <c r="J3065" s="16" t="n">
        <v>0.041</v>
      </c>
    </row>
    <row r="3066">
      <c r="A3066" s="16" t="n">
        <v>3062</v>
      </c>
      <c r="B3066" s="16" t="inlineStr">
        <is>
          <t>Backend</t>
        </is>
      </c>
      <c r="C3066" s="17" t="inlineStr">
        <is>
          <t>ai-chatbox-service</t>
        </is>
      </c>
      <c r="D3066" s="16" t="inlineStr">
        <is>
          <t>Integration</t>
        </is>
      </c>
      <c r="E3066" s="17" t="inlineStr">
        <is>
          <t>HandoffFlowIT</t>
        </is>
      </c>
      <c r="F3066" s="17" t="inlineStr"/>
      <c r="G3066" s="17" t="inlineStr">
        <is>
          <t>nhan phieu thi nhan ve ca hoi thoai ba vai</t>
        </is>
      </c>
      <c r="H3066" s="17" t="inlineStr">
        <is>
          <t>nhan_phieu_thi_nhan_ve_ca_hoi_thoai_ba_vai</t>
        </is>
      </c>
      <c r="I3066" s="16" t="inlineStr">
        <is>
          <t>Đạt</t>
        </is>
      </c>
      <c r="J3066" s="16" t="n">
        <v>0.094</v>
      </c>
    </row>
    <row r="3067">
      <c r="A3067" s="16" t="n">
        <v>3063</v>
      </c>
      <c r="B3067" s="16" t="inlineStr">
        <is>
          <t>Backend</t>
        </is>
      </c>
      <c r="C3067" s="17" t="inlineStr">
        <is>
          <t>ai-chatbox-service</t>
        </is>
      </c>
      <c r="D3067" s="16" t="inlineStr">
        <is>
          <t>Integration</t>
        </is>
      </c>
      <c r="E3067" s="17" t="inlineStr">
        <is>
          <t>HandoffFlowIT</t>
        </is>
      </c>
      <c r="F3067" s="17" t="inlineStr"/>
      <c r="G3067" s="17" t="inlineStr">
        <is>
          <t>nguoi truc tra loi thi khach doc duoc trong cung dong thoi gian</t>
        </is>
      </c>
      <c r="H3067" s="17" t="inlineStr">
        <is>
          <t>nguoi_truc_tra_loi_thi_khach_doc_duoc_trong_cung_dong_thoi_gian</t>
        </is>
      </c>
      <c r="I3067" s="16" t="inlineStr">
        <is>
          <t>Đạt</t>
        </is>
      </c>
      <c r="J3067" s="16" t="n">
        <v>0.05</v>
      </c>
    </row>
    <row r="3068">
      <c r="A3068" s="16" t="n">
        <v>3064</v>
      </c>
      <c r="B3068" s="16" t="inlineStr">
        <is>
          <t>Backend</t>
        </is>
      </c>
      <c r="C3068" s="17" t="inlineStr">
        <is>
          <t>ai-chatbox-service</t>
        </is>
      </c>
      <c r="D3068" s="16" t="inlineStr">
        <is>
          <t>Integration</t>
        </is>
      </c>
      <c r="E3068" s="17" t="inlineStr">
        <is>
          <t>HandoffFlowIT</t>
        </is>
      </c>
      <c r="F3068" s="17" t="inlineStr"/>
      <c r="G3068" s="17" t="inlineStr">
        <is>
          <t>dong phieu roi tro ly tra loi tro lai</t>
        </is>
      </c>
      <c r="H3068" s="17" t="inlineStr">
        <is>
          <t>dong_phieu_roi_tro_ly_tra_loi_tro_lai</t>
        </is>
      </c>
      <c r="I3068" s="16" t="inlineStr">
        <is>
          <t>Đạt</t>
        </is>
      </c>
      <c r="J3068" s="16" t="n">
        <v>0.11</v>
      </c>
    </row>
    <row r="3069">
      <c r="A3069" s="16" t="n">
        <v>3065</v>
      </c>
      <c r="B3069" s="16" t="inlineStr">
        <is>
          <t>Backend</t>
        </is>
      </c>
      <c r="C3069" s="17" t="inlineStr">
        <is>
          <t>ai-chatbox-service</t>
        </is>
      </c>
      <c r="D3069" s="16" t="inlineStr">
        <is>
          <t>Integration</t>
        </is>
      </c>
      <c r="E3069" s="17" t="inlineStr">
        <is>
          <t>HandoffFlowIT</t>
        </is>
      </c>
      <c r="F3069" s="17" t="inlineStr"/>
      <c r="G3069" s="17" t="inlineStr">
        <is>
          <t>phieu mang y dinh doc tu cau khach hoi</t>
        </is>
      </c>
      <c r="H3069" s="17" t="inlineStr">
        <is>
          <t>phieu_mang_y_dinh_doc_tu_cau_khach_hoi</t>
        </is>
      </c>
      <c r="I3069" s="16" t="inlineStr">
        <is>
          <t>Đạt</t>
        </is>
      </c>
      <c r="J3069" s="16" t="n">
        <v>0.024</v>
      </c>
    </row>
    <row r="3070">
      <c r="A3070" s="16" t="n">
        <v>3066</v>
      </c>
      <c r="B3070" s="16" t="inlineStr">
        <is>
          <t>Backend</t>
        </is>
      </c>
      <c r="C3070" s="17" t="inlineStr">
        <is>
          <t>ai-chatbox-service</t>
        </is>
      </c>
      <c r="D3070" s="16" t="inlineStr">
        <is>
          <t>Integration</t>
        </is>
      </c>
      <c r="E3070" s="17" t="inlineStr">
        <is>
          <t>HandoffFlowIT</t>
        </is>
      </c>
      <c r="F3070" s="17" t="inlineStr"/>
      <c r="G3070" s="17" t="inlineStr">
        <is>
          <t>phien khong ton tai thi khong mo duoc phieu</t>
        </is>
      </c>
      <c r="H3070" s="17" t="inlineStr">
        <is>
          <t>phien_khong_ton_tai_thi_khong_mo_duoc_phieu</t>
        </is>
      </c>
      <c r="I3070" s="16" t="inlineStr">
        <is>
          <t>Đạt</t>
        </is>
      </c>
      <c r="J3070" s="16" t="n">
        <v>0.012</v>
      </c>
    </row>
    <row r="3071">
      <c r="A3071" s="16" t="n">
        <v>3067</v>
      </c>
      <c r="B3071" s="16" t="inlineStr">
        <is>
          <t>Backend</t>
        </is>
      </c>
      <c r="C3071" s="17" t="inlineStr">
        <is>
          <t>ai-chatbox-service</t>
        </is>
      </c>
      <c r="D3071" s="16" t="inlineStr">
        <is>
          <t>Integration</t>
        </is>
      </c>
      <c r="E3071" s="17" t="inlineStr">
        <is>
          <t>HandoffFlowIT</t>
        </is>
      </c>
      <c r="F3071" s="17" t="inlineStr"/>
      <c r="G3071" s="17" t="inlineStr">
        <is>
          <t>dong phieu hai lan khong doi moc thoi gian</t>
        </is>
      </c>
      <c r="H3071" s="17" t="inlineStr">
        <is>
          <t>dong_phieu_hai_lan_khong_doi_moc_thoi_gian</t>
        </is>
      </c>
      <c r="I3071" s="16" t="inlineStr">
        <is>
          <t>Đạt</t>
        </is>
      </c>
      <c r="J3071" s="16" t="n">
        <v>0.066</v>
      </c>
    </row>
    <row r="3072">
      <c r="A3072" s="16" t="n">
        <v>3068</v>
      </c>
      <c r="B3072" s="16" t="inlineStr">
        <is>
          <t>Backend</t>
        </is>
      </c>
      <c r="C3072" s="17" t="inlineStr">
        <is>
          <t>ai-chatbox-service</t>
        </is>
      </c>
      <c r="D3072" s="16" t="inlineStr">
        <is>
          <t>Integration</t>
        </is>
      </c>
      <c r="E3072" s="17" t="inlineStr">
        <is>
          <t>HandoffFlowIT</t>
        </is>
      </c>
      <c r="F3072" s="17" t="inlineStr"/>
      <c r="G3072" s="17" t="inlineStr">
        <is>
          <t>bam nut gap nhan vien ba lan chi ra mot phieu</t>
        </is>
      </c>
      <c r="H3072" s="17" t="inlineStr">
        <is>
          <t>bam_nut_gap_nhan_vien_ba_lan_chi_ra_mot_phieu</t>
        </is>
      </c>
      <c r="I3072" s="16" t="inlineStr">
        <is>
          <t>Đạt</t>
        </is>
      </c>
      <c r="J3072" s="16" t="n">
        <v>0.035</v>
      </c>
    </row>
    <row r="3073">
      <c r="A3073" s="16" t="n">
        <v>3069</v>
      </c>
      <c r="B3073" s="16" t="inlineStr">
        <is>
          <t>Backend</t>
        </is>
      </c>
      <c r="C3073" s="17" t="inlineStr">
        <is>
          <t>ai-chatbox-service</t>
        </is>
      </c>
      <c r="D3073" s="16" t="inlineStr">
        <is>
          <t>Integration</t>
        </is>
      </c>
      <c r="E3073" s="17" t="inlineStr">
        <is>
          <t>HandoffFlowIT</t>
        </is>
      </c>
      <c r="F3073" s="17" t="inlineStr"/>
      <c r="G3073" s="17" t="inlineStr">
        <is>
          <t>het vong react ngay o luot dau tien</t>
        </is>
      </c>
      <c r="H3073" s="17" t="inlineStr">
        <is>
          <t>het_vong_react_ngay_o_luot_dau_tien</t>
        </is>
      </c>
      <c r="I3073" s="16" t="inlineStr">
        <is>
          <t>Đạt</t>
        </is>
      </c>
      <c r="J3073" s="16" t="n">
        <v>0.08400000000000001</v>
      </c>
    </row>
    <row r="3074">
      <c r="A3074" s="16" t="n">
        <v>3070</v>
      </c>
      <c r="B3074" s="16" t="inlineStr">
        <is>
          <t>Backend</t>
        </is>
      </c>
      <c r="C3074" s="17" t="inlineStr">
        <is>
          <t>ai-chatbox-service</t>
        </is>
      </c>
      <c r="D3074" s="16" t="inlineStr">
        <is>
          <t>Integration</t>
        </is>
      </c>
      <c r="E3074" s="17" t="inlineStr">
        <is>
          <t>HandoffFlowIT</t>
        </is>
      </c>
      <c r="F3074" s="17" t="inlineStr"/>
      <c r="G3074" s="17" t="inlineStr">
        <is>
          <t>dong phieu bo quen thi tro ly tra loi tro lai</t>
        </is>
      </c>
      <c r="H3074" s="17" t="inlineStr">
        <is>
          <t>dong_phieu_bo_quen_thi_tro_ly_tra_loi_tro_lai</t>
        </is>
      </c>
      <c r="I3074" s="16" t="inlineStr">
        <is>
          <t>Đạt</t>
        </is>
      </c>
      <c r="J3074" s="16" t="n">
        <v>0.07099999999999999</v>
      </c>
    </row>
    <row r="3075">
      <c r="A3075" s="16" t="n">
        <v>3071</v>
      </c>
      <c r="B3075" s="16" t="inlineStr">
        <is>
          <t>Backend</t>
        </is>
      </c>
      <c r="C3075" s="17" t="inlineStr">
        <is>
          <t>ai-chatbox-service</t>
        </is>
      </c>
      <c r="D3075" s="16" t="inlineStr">
        <is>
          <t>Integration</t>
        </is>
      </c>
      <c r="E3075" s="17" t="inlineStr">
        <is>
          <t>HandoffFlowIT</t>
        </is>
      </c>
      <c r="F3075" s="17" t="inlineStr"/>
      <c r="G3075" s="17" t="inlineStr">
        <is>
          <t>phieu mo thi tro ly khong goi mo hinh nua</t>
        </is>
      </c>
      <c r="H3075" s="17" t="inlineStr">
        <is>
          <t>phieu_mo_thi_tro_ly_khong_goi_mo_hinh_nua</t>
        </is>
      </c>
      <c r="I3075" s="16" t="inlineStr">
        <is>
          <t>Đạt</t>
        </is>
      </c>
      <c r="J3075" s="16" t="n">
        <v>0.024</v>
      </c>
    </row>
    <row r="3076">
      <c r="A3076" s="16" t="n">
        <v>3072</v>
      </c>
      <c r="B3076" s="16" t="inlineStr">
        <is>
          <t>Backend</t>
        </is>
      </c>
      <c r="C3076" s="17" t="inlineStr">
        <is>
          <t>ai-chatbox-service</t>
        </is>
      </c>
      <c r="D3076" s="16" t="inlineStr">
        <is>
          <t>Integration</t>
        </is>
      </c>
      <c r="E3076" s="17" t="inlineStr">
        <is>
          <t>HandoffFlowIT</t>
        </is>
      </c>
      <c r="F3076" s="17" t="inlineStr"/>
      <c r="G3076" s="17" t="inlineStr">
        <is>
          <t>khong tu dong phieu da co nguoi nhan</t>
        </is>
      </c>
      <c r="H3076" s="17" t="inlineStr">
        <is>
          <t>khong_tu_dong_phieu_da_co_nguoi_nhan</t>
        </is>
      </c>
      <c r="I3076" s="16" t="inlineStr">
        <is>
          <t>Đạt</t>
        </is>
      </c>
      <c r="J3076" s="16" t="n">
        <v>0.038</v>
      </c>
    </row>
    <row r="3077">
      <c r="A3077" s="16" t="n">
        <v>3073</v>
      </c>
      <c r="B3077" s="16" t="inlineStr">
        <is>
          <t>Backend</t>
        </is>
      </c>
      <c r="C3077" s="17" t="inlineStr">
        <is>
          <t>ai-chatbox-service</t>
        </is>
      </c>
      <c r="D3077" s="16" t="inlineStr">
        <is>
          <t>Integration</t>
        </is>
      </c>
      <c r="E3077" s="17" t="inlineStr">
        <is>
          <t>HandoffFlowIT</t>
        </is>
      </c>
      <c r="F3077" s="17" t="inlineStr"/>
      <c r="G3077" s="17" t="inlineStr">
        <is>
          <t>phieu bo quen duoc tu dong</t>
        </is>
      </c>
      <c r="H3077" s="17" t="inlineStr">
        <is>
          <t>phieu_bo_quen_duoc_tu_dong</t>
        </is>
      </c>
      <c r="I3077" s="16" t="inlineStr">
        <is>
          <t>Đạt</t>
        </is>
      </c>
      <c r="J3077" s="16" t="n">
        <v>0.029</v>
      </c>
    </row>
    <row r="3078">
      <c r="A3078" s="16" t="n">
        <v>3074</v>
      </c>
      <c r="B3078" s="16" t="inlineStr">
        <is>
          <t>Backend</t>
        </is>
      </c>
      <c r="C3078" s="17" t="inlineStr">
        <is>
          <t>ai-chatbox-service</t>
        </is>
      </c>
      <c r="D3078" s="16" t="inlineStr">
        <is>
          <t>Integration</t>
        </is>
      </c>
      <c r="E3078" s="17" t="inlineStr">
        <is>
          <t>HandoffFlowIT</t>
        </is>
      </c>
      <c r="F3078" s="17" t="inlineStr"/>
      <c r="G3078" s="17" t="inlineStr">
        <is>
          <t>nut gap nhan vien lay y dinh tu cau cuoi khach go</t>
        </is>
      </c>
      <c r="H3078" s="17" t="inlineStr">
        <is>
          <t>nut_gap_nhan_vien_lay_y_dinh_tu_cau_cuoi_khach_go</t>
        </is>
      </c>
      <c r="I3078" s="16" t="inlineStr">
        <is>
          <t>Đạt</t>
        </is>
      </c>
      <c r="J3078" s="16" t="n">
        <v>0.019</v>
      </c>
    </row>
    <row r="3079">
      <c r="A3079" s="16" t="n">
        <v>3075</v>
      </c>
      <c r="B3079" s="16" t="inlineStr">
        <is>
          <t>Backend</t>
        </is>
      </c>
      <c r="C3079" s="17" t="inlineStr">
        <is>
          <t>ai-chatbox-service</t>
        </is>
      </c>
      <c r="D3079" s="16" t="inlineStr">
        <is>
          <t>Integration</t>
        </is>
      </c>
      <c r="E3079" s="17" t="inlineStr">
        <is>
          <t>HandoffIdentityOutsideTxIT</t>
        </is>
      </c>
      <c r="F3079" s="17" t="inlineStr"/>
      <c r="G3079" s="17" t="inlineStr">
        <is>
          <t>duong cua khach khong goi contactOf</t>
        </is>
      </c>
      <c r="H3079" s="17" t="inlineStr">
        <is>
          <t>duong_cua_khach_khong_goi_contactOf</t>
        </is>
      </c>
      <c r="I3079" s="16" t="inlineStr">
        <is>
          <t>Đạt</t>
        </is>
      </c>
      <c r="J3079" s="16" t="n">
        <v>0.039</v>
      </c>
    </row>
    <row r="3080">
      <c r="A3080" s="16" t="n">
        <v>3076</v>
      </c>
      <c r="B3080" s="16" t="inlineStr">
        <is>
          <t>Backend</t>
        </is>
      </c>
      <c r="C3080" s="17" t="inlineStr">
        <is>
          <t>ai-chatbox-service</t>
        </is>
      </c>
      <c r="D3080" s="16" t="inlineStr">
        <is>
          <t>Integration</t>
        </is>
      </c>
      <c r="E3080" s="17" t="inlineStr">
        <is>
          <t>HandoffIdentityOutsideTxIT</t>
        </is>
      </c>
      <c r="F3080" s="17" t="inlineStr"/>
      <c r="G3080" s="17" t="inlineStr">
        <is>
          <t>claim khong giu khoa phieu trong luc cho identity</t>
        </is>
      </c>
      <c r="H3080" s="17" t="inlineStr">
        <is>
          <t>claim_khong_giu_khoa_phieu_trong_luc_cho_identity</t>
        </is>
      </c>
      <c r="I3080" s="16" t="inlineStr">
        <is>
          <t>Đạt</t>
        </is>
      </c>
      <c r="J3080" s="16" t="n">
        <v>2.034</v>
      </c>
    </row>
    <row r="3081">
      <c r="A3081" s="16" t="n">
        <v>3077</v>
      </c>
      <c r="B3081" s="16" t="inlineStr">
        <is>
          <t>Backend</t>
        </is>
      </c>
      <c r="C3081" s="17" t="inlineStr">
        <is>
          <t>ai-chatbox-service</t>
        </is>
      </c>
      <c r="D3081" s="16" t="inlineStr">
        <is>
          <t>Integration</t>
        </is>
      </c>
      <c r="E3081" s="17" t="inlineStr">
        <is>
          <t>HandoffIdentityOutsideTxIT</t>
        </is>
      </c>
      <c r="F3081" s="17" t="inlineStr"/>
      <c r="G3081" s="17" t="inlineStr">
        <is>
          <t>moi duong goi identity ngoai transaction</t>
        </is>
      </c>
      <c r="H3081" s="17" t="inlineStr">
        <is>
          <t>moi_duong_goi_identity_ngoai_transaction</t>
        </is>
      </c>
      <c r="I3081" s="16" t="inlineStr">
        <is>
          <t>Đạt</t>
        </is>
      </c>
      <c r="J3081" s="16" t="n">
        <v>0.039</v>
      </c>
    </row>
    <row r="3082">
      <c r="A3082" s="16" t="n">
        <v>3078</v>
      </c>
      <c r="B3082" s="16" t="inlineStr">
        <is>
          <t>Backend</t>
        </is>
      </c>
      <c r="C3082" s="17" t="inlineStr">
        <is>
          <t>ai-chatbox-service</t>
        </is>
      </c>
      <c r="D3082" s="16" t="inlineStr">
        <is>
          <t>Integration</t>
        </is>
      </c>
      <c r="E3082" s="17" t="inlineStr">
        <is>
          <t>HandoffQueryPlanIT</t>
        </is>
      </c>
      <c r="F3082" s="17" t="inlineStr"/>
      <c r="G3082" s="17" t="inlineStr">
        <is>
          <t>repository van tra dung phieu mo</t>
        </is>
      </c>
      <c r="H3082" s="17" t="inlineStr">
        <is>
          <t>repository_van_tra_dung_phieu_mo</t>
        </is>
      </c>
      <c r="I3082" s="16" t="inlineStr">
        <is>
          <t>Đạt</t>
        </is>
      </c>
      <c r="J3082" s="16" t="n">
        <v>0.289</v>
      </c>
    </row>
    <row r="3083">
      <c r="A3083" s="16" t="n">
        <v>3079</v>
      </c>
      <c r="B3083" s="16" t="inlineStr">
        <is>
          <t>Backend</t>
        </is>
      </c>
      <c r="C3083" s="17" t="inlineStr">
        <is>
          <t>ai-chatbox-service</t>
        </is>
      </c>
      <c r="D3083" s="16" t="inlineStr">
        <is>
          <t>Integration</t>
        </is>
      </c>
      <c r="E3083" s="17" t="inlineStr">
        <is>
          <t>HandoffQueryPlanIT</t>
        </is>
      </c>
      <c r="F3083" s="17" t="inlineStr"/>
      <c r="G3083" s="17" t="inlineStr">
        <is>
          <t>phieu mo cua phien khong quet toan bang</t>
        </is>
      </c>
      <c r="H3083" s="17" t="inlineStr">
        <is>
          <t>phieu_mo_cua_phien_khong_quet_toan_bang</t>
        </is>
      </c>
      <c r="I3083" s="16" t="inlineStr">
        <is>
          <t>Đạt</t>
        </is>
      </c>
      <c r="J3083" s="16" t="n">
        <v>0.215</v>
      </c>
    </row>
    <row r="3084">
      <c r="A3084" s="16" t="n">
        <v>3080</v>
      </c>
      <c r="B3084" s="16" t="inlineStr">
        <is>
          <t>Backend</t>
        </is>
      </c>
      <c r="C3084" s="17" t="inlineStr">
        <is>
          <t>ai-chatbox-service</t>
        </is>
      </c>
      <c r="D3084" s="16" t="inlineStr">
        <is>
          <t>Integration</t>
        </is>
      </c>
      <c r="E3084" s="17" t="inlineStr">
        <is>
          <t>HandoffQueryPlanIT</t>
        </is>
      </c>
      <c r="F3084" s="17" t="inlineStr"/>
      <c r="G3084" s="17" t="inlineStr">
        <is>
          <t>ky tu dai dien trong o tim la ky tu that</t>
        </is>
      </c>
      <c r="H3084" s="17" t="inlineStr">
        <is>
          <t>ky_tu_dai_dien_trong_o_tim_la_ky_tu_that</t>
        </is>
      </c>
      <c r="I3084" s="16" t="inlineStr">
        <is>
          <t>Đạt</t>
        </is>
      </c>
      <c r="J3084" s="16" t="n">
        <v>0.197</v>
      </c>
    </row>
    <row r="3085">
      <c r="A3085" s="16" t="n">
        <v>3081</v>
      </c>
      <c r="B3085" s="16" t="inlineStr">
        <is>
          <t>Backend</t>
        </is>
      </c>
      <c r="C3085" s="17" t="inlineStr">
        <is>
          <t>ai-chatbox-service</t>
        </is>
      </c>
      <c r="D3085" s="16" t="inlineStr">
        <is>
          <t>Integration</t>
        </is>
      </c>
      <c r="E3085" s="17" t="inlineStr">
        <is>
          <t>HandoffQueryPlanIT</t>
        </is>
      </c>
      <c r="F3085" s="17" t="inlineStr"/>
      <c r="G3085" s="17" t="inlineStr">
        <is>
          <t>hang doi theo y dinh dung index intent</t>
        </is>
      </c>
      <c r="H3085" s="17" t="inlineStr">
        <is>
          <t>hang_doi_theo_y_dinh_dung_index_intent</t>
        </is>
      </c>
      <c r="I3085" s="16" t="inlineStr">
        <is>
          <t>Đạt</t>
        </is>
      </c>
      <c r="J3085" s="16" t="n">
        <v>0.356</v>
      </c>
    </row>
    <row r="3086">
      <c r="A3086" s="16" t="n">
        <v>3082</v>
      </c>
      <c r="B3086" s="16" t="inlineStr">
        <is>
          <t>Backend</t>
        </is>
      </c>
      <c r="C3086" s="17" t="inlineStr">
        <is>
          <t>ai-chatbox-service</t>
        </is>
      </c>
      <c r="D3086" s="16" t="inlineStr">
        <is>
          <t>Integration</t>
        </is>
      </c>
      <c r="E3086" s="17" t="inlineStr">
        <is>
          <t>HandoffQueryPlanIT</t>
        </is>
      </c>
      <c r="F3086" s="17" t="inlineStr"/>
      <c r="G3086" s="17" t="inlineStr">
        <is>
          <t>hang doi khong quet toan bang</t>
        </is>
      </c>
      <c r="H3086" s="17" t="inlineStr">
        <is>
          <t>hang_doi_khong_quet_toan_bang</t>
        </is>
      </c>
      <c r="I3086" s="16" t="inlineStr">
        <is>
          <t>Đạt</t>
        </is>
      </c>
      <c r="J3086" s="16" t="n">
        <v>0.192</v>
      </c>
    </row>
    <row r="3087">
      <c r="A3087" s="16" t="n">
        <v>3083</v>
      </c>
      <c r="B3087" s="16" t="inlineStr">
        <is>
          <t>Backend</t>
        </is>
      </c>
      <c r="C3087" s="17" t="inlineStr">
        <is>
          <t>ai-chatbox-service</t>
        </is>
      </c>
      <c r="D3087" s="16" t="inlineStr">
        <is>
          <t>Integration</t>
        </is>
      </c>
      <c r="E3087" s="17" t="inlineStr">
        <is>
          <t>HandoffTransitionRaceIT</t>
        </is>
      </c>
      <c r="F3087" s="17" t="inlineStr"/>
      <c r="G3087" s="17" t="inlineStr">
        <is>
          <t>tra loi va dong cung luc khong de lot tin sau khi dong</t>
        </is>
      </c>
      <c r="H3087" s="17" t="inlineStr">
        <is>
          <t>tra_loi_va_dong_cung_luc_khong_de_lot_tin_sau_khi_dong</t>
        </is>
      </c>
      <c r="I3087" s="16" t="inlineStr">
        <is>
          <t>Đạt</t>
        </is>
      </c>
      <c r="J3087" s="16" t="n">
        <v>2.065</v>
      </c>
    </row>
    <row r="3088">
      <c r="A3088" s="16" t="n">
        <v>3084</v>
      </c>
      <c r="B3088" s="16" t="inlineStr">
        <is>
          <t>Backend</t>
        </is>
      </c>
      <c r="C3088" s="17" t="inlineStr">
        <is>
          <t>ai-chatbox-service</t>
        </is>
      </c>
      <c r="D3088" s="16" t="inlineStr">
        <is>
          <t>Integration</t>
        </is>
      </c>
      <c r="E3088" s="17" t="inlineStr">
        <is>
          <t>HandoffTransitionRaceIT</t>
        </is>
      </c>
      <c r="F3088" s="17" t="inlineStr"/>
      <c r="G3088" s="17" t="inlineStr">
        <is>
          <t>dong va nhan cung luc dung mot ben thang va khong ai bi xoa luot nhan</t>
        </is>
      </c>
      <c r="H3088" s="17" t="inlineStr">
        <is>
          <t>dong_va_nhan_cung_luc_dung_mot_ben_thang_va_khong_ai_bi_xoa_luot_nhan</t>
        </is>
      </c>
      <c r="I3088" s="16" t="inlineStr">
        <is>
          <t>Đạt</t>
        </is>
      </c>
      <c r="J3088" s="16" t="n">
        <v>1.118</v>
      </c>
    </row>
    <row r="3089">
      <c r="A3089" s="16" t="n">
        <v>3085</v>
      </c>
      <c r="B3089" s="16" t="inlineStr">
        <is>
          <t>Backend</t>
        </is>
      </c>
      <c r="C3089" s="17" t="inlineStr">
        <is>
          <t>ai-chatbox-service</t>
        </is>
      </c>
      <c r="D3089" s="16" t="inlineStr">
        <is>
          <t>Integration</t>
        </is>
      </c>
      <c r="E3089" s="17" t="inlineStr">
        <is>
          <t>HandoffTransitionRaceIT</t>
        </is>
      </c>
      <c r="F3089" s="17" t="inlineStr"/>
      <c r="G3089" s="17" t="inlineStr">
        <is>
          <t>tra loi phieu da dong bi tu choi</t>
        </is>
      </c>
      <c r="H3089" s="17" t="inlineStr">
        <is>
          <t>tra_loi_phieu_da_dong_bi_tu_choi</t>
        </is>
      </c>
      <c r="I3089" s="16" t="inlineStr">
        <is>
          <t>Đạt</t>
        </is>
      </c>
      <c r="J3089" s="16" t="n">
        <v>0.045</v>
      </c>
    </row>
    <row r="3090">
      <c r="A3090" s="16" t="n">
        <v>3086</v>
      </c>
      <c r="B3090" s="16" t="inlineStr">
        <is>
          <t>Backend</t>
        </is>
      </c>
      <c r="C3090" s="17" t="inlineStr">
        <is>
          <t>ai-chatbox-service</t>
        </is>
      </c>
      <c r="D3090" s="16" t="inlineStr">
        <is>
          <t>Integration</t>
        </is>
      </c>
      <c r="E3090" s="17" t="inlineStr">
        <is>
          <t>HandoffTransitionRaceIT</t>
        </is>
      </c>
      <c r="F3090" s="17" t="inlineStr"/>
      <c r="G3090" s="17" t="inlineStr">
        <is>
          <t>phieu cu vua dong thi mo phieu moi</t>
        </is>
      </c>
      <c r="H3090" s="17" t="inlineStr">
        <is>
          <t>phieu_cu_vua_dong_thi_mo_phieu_moi</t>
        </is>
      </c>
      <c r="I3090" s="16" t="inlineStr">
        <is>
          <t>Đạt</t>
        </is>
      </c>
      <c r="J3090" s="16" t="n">
        <v>0.03</v>
      </c>
    </row>
    <row r="3091">
      <c r="A3091" s="16" t="n">
        <v>3087</v>
      </c>
      <c r="B3091" s="16" t="inlineStr">
        <is>
          <t>Backend</t>
        </is>
      </c>
      <c r="C3091" s="17" t="inlineStr">
        <is>
          <t>ai-chatbox-service</t>
        </is>
      </c>
      <c r="D3091" s="16" t="inlineStr">
        <is>
          <t>Integration</t>
        </is>
      </c>
      <c r="E3091" s="17" t="inlineStr">
        <is>
          <t>HandoffTransitionRaceIT</t>
        </is>
      </c>
      <c r="F3091" s="17" t="inlineStr"/>
      <c r="G3091" s="17" t="inlineStr">
        <is>
          <t>dong phieu da dong tra lai chinh no</t>
        </is>
      </c>
      <c r="H3091" s="17" t="inlineStr">
        <is>
          <t>dong_phieu_da_dong_tra_lai_chinh_no</t>
        </is>
      </c>
      <c r="I3091" s="16" t="inlineStr">
        <is>
          <t>Đạt</t>
        </is>
      </c>
      <c r="J3091" s="16" t="n">
        <v>0.033</v>
      </c>
    </row>
    <row r="3092">
      <c r="A3092" s="16" t="n">
        <v>3088</v>
      </c>
      <c r="B3092" s="16" t="inlineStr">
        <is>
          <t>Backend</t>
        </is>
      </c>
      <c r="C3092" s="17" t="inlineStr">
        <is>
          <t>ai-chatbox-service</t>
        </is>
      </c>
      <c r="D3092" s="16" t="inlineStr">
        <is>
          <t>Integration</t>
        </is>
      </c>
      <c r="E3092" s="17" t="inlineStr">
        <is>
          <t>KnowledgeBaseIT</t>
        </is>
      </c>
      <c r="F3092" s="17" t="inlineStr"/>
      <c r="G3092" s="17" t="inlineStr">
        <is>
          <t>doan vua soan thi tim lai duoc bang dung duong agent di</t>
        </is>
      </c>
      <c r="H3092" s="17" t="inlineStr">
        <is>
          <t>doan_vua_soan_thi_tim_lai_duoc_bang_dung_duong_agent_di</t>
        </is>
      </c>
      <c r="I3092" s="16" t="inlineStr">
        <is>
          <t>Đạt</t>
        </is>
      </c>
      <c r="J3092" s="16" t="n">
        <v>0.066</v>
      </c>
    </row>
    <row r="3093">
      <c r="A3093" s="16" t="n">
        <v>3089</v>
      </c>
      <c r="B3093" s="16" t="inlineStr">
        <is>
          <t>Backend</t>
        </is>
      </c>
      <c r="C3093" s="17" t="inlineStr">
        <is>
          <t>ai-chatbox-service</t>
        </is>
      </c>
      <c r="D3093" s="16" t="inlineStr">
        <is>
          <t>Integration</t>
        </is>
      </c>
      <c r="E3093" s="17" t="inlineStr">
        <is>
          <t>KnowledgeBaseIT</t>
        </is>
      </c>
      <c r="F3093" s="17" t="inlineStr"/>
      <c r="G3093" s="17" t="inlineStr">
        <is>
          <t>tri thuc chung luon nam trong pham vi</t>
        </is>
      </c>
      <c r="H3093" s="17" t="inlineStr">
        <is>
          <t>tri_thuc_chung_luon_nam_trong_pham_vi</t>
        </is>
      </c>
      <c r="I3093" s="16" t="inlineStr">
        <is>
          <t>Đạt</t>
        </is>
      </c>
      <c r="J3093" s="16" t="n">
        <v>0.06</v>
      </c>
    </row>
    <row r="3094">
      <c r="A3094" s="16" t="n">
        <v>3090</v>
      </c>
      <c r="B3094" s="16" t="inlineStr">
        <is>
          <t>Backend</t>
        </is>
      </c>
      <c r="C3094" s="17" t="inlineStr">
        <is>
          <t>ai-chatbox-service</t>
        </is>
      </c>
      <c r="D3094" s="16" t="inlineStr">
        <is>
          <t>Integration</t>
        </is>
      </c>
      <c r="E3094" s="17" t="inlineStr">
        <is>
          <t>KnowledgeBaseIT</t>
        </is>
      </c>
      <c r="F3094" s="17" t="inlineStr"/>
      <c r="G3094" s="17" t="inlineStr">
        <is>
          <t>kho rong thi khong tra ve gi</t>
        </is>
      </c>
      <c r="H3094" s="17" t="inlineStr">
        <is>
          <t>kho_rong_thi_khong_tra_ve_gi</t>
        </is>
      </c>
      <c r="I3094" s="16" t="inlineStr">
        <is>
          <t>Đạt</t>
        </is>
      </c>
      <c r="J3094" s="16" t="n">
        <v>0.054</v>
      </c>
    </row>
    <row r="3095">
      <c r="A3095" s="16" t="n">
        <v>3091</v>
      </c>
      <c r="B3095" s="16" t="inlineStr">
        <is>
          <t>Backend</t>
        </is>
      </c>
      <c r="C3095" s="17" t="inlineStr">
        <is>
          <t>ai-chatbox-service</t>
        </is>
      </c>
      <c r="D3095" s="16" t="inlineStr">
        <is>
          <t>Integration</t>
        </is>
      </c>
      <c r="E3095" s="17" t="inlineStr">
        <is>
          <t>KnowledgeBaseIT</t>
        </is>
      </c>
      <c r="F3095" s="17" t="inlineStr"/>
      <c r="G3095" s="17" t="inlineStr">
        <is>
          <t>loc theo su kien</t>
        </is>
      </c>
      <c r="H3095" s="17" t="inlineStr">
        <is>
          <t>loc_theo_su_kien</t>
        </is>
      </c>
      <c r="I3095" s="16" t="inlineStr">
        <is>
          <t>Đạt</t>
        </is>
      </c>
      <c r="J3095" s="16" t="n">
        <v>0.016</v>
      </c>
    </row>
    <row r="3096">
      <c r="A3096" s="16" t="n">
        <v>3092</v>
      </c>
      <c r="B3096" s="16" t="inlineStr">
        <is>
          <t>Backend</t>
        </is>
      </c>
      <c r="C3096" s="17" t="inlineStr">
        <is>
          <t>ai-chatbox-service</t>
        </is>
      </c>
      <c r="D3096" s="16" t="inlineStr">
        <is>
          <t>Integration</t>
        </is>
      </c>
      <c r="E3096" s="17" t="inlineStr">
        <is>
          <t>KnowledgeBaseIT</t>
        </is>
      </c>
      <c r="F3096" s="17" t="inlineStr"/>
      <c r="G3096" s="17" t="inlineStr">
        <is>
          <t>cong bo roi thi tool doc duoc</t>
        </is>
      </c>
      <c r="H3096" s="17" t="inlineStr">
        <is>
          <t>cong_bo_roi_thi_tool_doc_duoc</t>
        </is>
      </c>
      <c r="I3096" s="16" t="inlineStr">
        <is>
          <t>Đạt</t>
        </is>
      </c>
      <c r="J3096" s="16" t="n">
        <v>0.018</v>
      </c>
    </row>
    <row r="3097">
      <c r="A3097" s="16" t="n">
        <v>3093</v>
      </c>
      <c r="B3097" s="16" t="inlineStr">
        <is>
          <t>Backend</t>
        </is>
      </c>
      <c r="C3097" s="17" t="inlineStr">
        <is>
          <t>ai-chatbox-service</t>
        </is>
      </c>
      <c r="D3097" s="16" t="inlineStr">
        <is>
          <t>Integration</t>
        </is>
      </c>
      <c r="E3097" s="17" t="inlineStr">
        <is>
          <t>KnowledgeBaseIT</t>
        </is>
      </c>
      <c r="F3097" s="17" t="inlineStr"/>
      <c r="G3097" s="17" t="inlineStr">
        <is>
          <t>ghi de thi thay ca noi dung va trang thai cong bo</t>
        </is>
      </c>
      <c r="H3097" s="17" t="inlineStr">
        <is>
          <t>ghi_de_thi_thay_ca_noi_dung_va_trang_thai_cong_bo</t>
        </is>
      </c>
      <c r="I3097" s="16" t="inlineStr">
        <is>
          <t>Đạt</t>
        </is>
      </c>
      <c r="J3097" s="16" t="n">
        <v>0.018</v>
      </c>
    </row>
    <row r="3098">
      <c r="A3098" s="16" t="n">
        <v>3094</v>
      </c>
      <c r="B3098" s="16" t="inlineStr">
        <is>
          <t>Backend</t>
        </is>
      </c>
      <c r="C3098" s="17" t="inlineStr">
        <is>
          <t>ai-chatbox-service</t>
        </is>
      </c>
      <c r="D3098" s="16" t="inlineStr">
        <is>
          <t>Integration</t>
        </is>
      </c>
      <c r="E3098" s="17" t="inlineStr">
        <is>
          <t>KnowledgeBaseIT</t>
        </is>
      </c>
      <c r="F3098" s="17" t="inlineStr"/>
      <c r="G3098" s="17" t="inlineStr">
        <is>
          <t>trung tieu de tri thuc chung thi 409 con doan su kien thi khong</t>
        </is>
      </c>
      <c r="H3098" s="17" t="inlineStr">
        <is>
          <t>trung_tieu_de_tri_thuc_chung_thi_409_con_doan_su_kien_thi_khong</t>
        </is>
      </c>
      <c r="I3098" s="16" t="inlineStr">
        <is>
          <t>Đạt</t>
        </is>
      </c>
      <c r="J3098" s="16" t="n">
        <v>0.027</v>
      </c>
    </row>
    <row r="3099">
      <c r="A3099" s="16" t="n">
        <v>3095</v>
      </c>
      <c r="B3099" s="16" t="inlineStr">
        <is>
          <t>Backend</t>
        </is>
      </c>
      <c r="C3099" s="17" t="inlineStr">
        <is>
          <t>ai-chatbox-service</t>
        </is>
      </c>
      <c r="D3099" s="16" t="inlineStr">
        <is>
          <t>Integration</t>
        </is>
      </c>
      <c r="E3099" s="17" t="inlineStr">
        <is>
          <t>KnowledgeBaseIT</t>
        </is>
      </c>
      <c r="F3099" s="17" t="inlineStr"/>
      <c r="G3099" s="17" t="inlineStr">
        <is>
          <t>khong nhung duoc thi bao ngay luc luu</t>
        </is>
      </c>
      <c r="H3099" s="17" t="inlineStr">
        <is>
          <t>khong_nhung_duoc_thi_bao_ngay_luc_luu</t>
        </is>
      </c>
      <c r="I3099" s="16" t="inlineStr">
        <is>
          <t>Đạt</t>
        </is>
      </c>
      <c r="J3099" s="16" t="n">
        <v>0.013</v>
      </c>
    </row>
    <row r="3100">
      <c r="A3100" s="16" t="n">
        <v>3096</v>
      </c>
      <c r="B3100" s="16" t="inlineStr">
        <is>
          <t>Backend</t>
        </is>
      </c>
      <c r="C3100" s="17" t="inlineStr">
        <is>
          <t>ai-chatbox-service</t>
        </is>
      </c>
      <c r="D3100" s="16" t="inlineStr">
        <is>
          <t>Integration</t>
        </is>
      </c>
      <c r="E3100" s="17" t="inlineStr">
        <is>
          <t>KnowledgeBaseIT</t>
        </is>
      </c>
      <c r="F3100" s="17" t="inlineStr"/>
      <c r="G3100" s="17" t="inlineStr">
        <is>
          <t>xoa doan roi thi khong con tim thay</t>
        </is>
      </c>
      <c r="H3100" s="17" t="inlineStr">
        <is>
          <t>xoa_doan_roi_thi_khong_con_tim_thay</t>
        </is>
      </c>
      <c r="I3100" s="16" t="inlineStr">
        <is>
          <t>Đạt</t>
        </is>
      </c>
      <c r="J3100" s="16" t="n">
        <v>0.015</v>
      </c>
    </row>
    <row r="3101">
      <c r="A3101" s="16" t="n">
        <v>3097</v>
      </c>
      <c r="B3101" s="16" t="inlineStr">
        <is>
          <t>Backend</t>
        </is>
      </c>
      <c r="C3101" s="17" t="inlineStr">
        <is>
          <t>ai-chatbox-service</t>
        </is>
      </c>
      <c r="D3101" s="16" t="inlineStr">
        <is>
          <t>Integration</t>
        </is>
      </c>
      <c r="E3101" s="17" t="inlineStr">
        <is>
          <t>KnowledgeBaseIT</t>
        </is>
      </c>
      <c r="F3101" s="17" t="inlineStr"/>
      <c r="G3101" s="17" t="inlineStr">
        <is>
          <t>chua khai chinh sach thi mac dinh khong hoan ve</t>
        </is>
      </c>
      <c r="H3101" s="17" t="inlineStr">
        <is>
          <t>chua_khai_chinh_sach_thi_mac_dinh_khong_hoan_ve</t>
        </is>
      </c>
      <c r="I3101" s="16" t="inlineStr">
        <is>
          <t>Đạt</t>
        </is>
      </c>
      <c r="J3101" s="16" t="n">
        <v>0.013</v>
      </c>
    </row>
    <row r="3102">
      <c r="A3102" s="16" t="n">
        <v>3098</v>
      </c>
      <c r="B3102" s="16" t="inlineStr">
        <is>
          <t>Backend</t>
        </is>
      </c>
      <c r="C3102" s="17" t="inlineStr">
        <is>
          <t>ai-chatbox-service</t>
        </is>
      </c>
      <c r="D3102" s="16" t="inlineStr">
        <is>
          <t>Integration</t>
        </is>
      </c>
      <c r="E3102" s="17" t="inlineStr">
        <is>
          <t>KnowledgeBaseIT</t>
        </is>
      </c>
      <c r="F3102" s="17" t="inlineStr"/>
      <c r="G3102" s="17" t="inlineStr">
        <is>
          <t>loc theo su kien khong bi doan cua su kien khac day khoi ket qua</t>
        </is>
      </c>
      <c r="H3102" s="17" t="inlineStr">
        <is>
          <t>loc_theo_su_kien_khong_bi_doan_cua_su_kien_khac_day_khoi_ket_qua</t>
        </is>
      </c>
      <c r="I3102" s="16" t="inlineStr">
        <is>
          <t>Đạt</t>
        </is>
      </c>
      <c r="J3102" s="16" t="n">
        <v>7.124</v>
      </c>
    </row>
    <row r="3103">
      <c r="A3103" s="16" t="n">
        <v>3099</v>
      </c>
      <c r="B3103" s="16" t="inlineStr">
        <is>
          <t>Backend</t>
        </is>
      </c>
      <c r="C3103" s="17" t="inlineStr">
        <is>
          <t>ai-chatbox-service</t>
        </is>
      </c>
      <c r="D3103" s="16" t="inlineStr">
        <is>
          <t>Integration</t>
        </is>
      </c>
      <c r="E3103" s="17" t="inlineStr">
        <is>
          <t>KnowledgeBaseIT</t>
        </is>
      </c>
      <c r="F3103" s="17" t="inlineStr"/>
      <c r="G3103" s="17" t="inlineStr">
        <is>
          <t>chinh sach hoan ve di cung quy dinh va tool doc duoc</t>
        </is>
      </c>
      <c r="H3103" s="17" t="inlineStr">
        <is>
          <t>chinh_sach_hoan_ve_di_cung_quy_dinh_va_tool_doc_duoc</t>
        </is>
      </c>
      <c r="I3103" s="16" t="inlineStr">
        <is>
          <t>Đạt</t>
        </is>
      </c>
      <c r="J3103" s="16" t="n">
        <v>0.019</v>
      </c>
    </row>
    <row r="3104">
      <c r="A3104" s="16" t="n">
        <v>3100</v>
      </c>
      <c r="B3104" s="16" t="inlineStr">
        <is>
          <t>Backend</t>
        </is>
      </c>
      <c r="C3104" s="17" t="inlineStr">
        <is>
          <t>ai-chatbox-service</t>
        </is>
      </c>
      <c r="D3104" s="16" t="inlineStr">
        <is>
          <t>Integration</t>
        </is>
      </c>
      <c r="E3104" s="17" t="inlineStr">
        <is>
          <t>KnowledgeBaseIT</t>
        </is>
      </c>
      <c r="F3104" s="17" t="inlineStr"/>
      <c r="G3104" s="17" t="inlineStr">
        <is>
          <t>doan cua su kien khac khong lot vao cau tra loi chung</t>
        </is>
      </c>
      <c r="H3104" s="17" t="inlineStr">
        <is>
          <t>doan_cua_su_kien_khac_khong_lot_vao_cau_tra_loi_chung</t>
        </is>
      </c>
      <c r="I3104" s="16" t="inlineStr">
        <is>
          <t>Đạt</t>
        </is>
      </c>
      <c r="J3104" s="16" t="n">
        <v>0.106</v>
      </c>
    </row>
    <row r="3105">
      <c r="A3105" s="16" t="n">
        <v>3101</v>
      </c>
      <c r="B3105" s="16" t="inlineStr">
        <is>
          <t>Backend</t>
        </is>
      </c>
      <c r="C3105" s="17" t="inlineStr">
        <is>
          <t>ai-chatbox-service</t>
        </is>
      </c>
      <c r="D3105" s="16" t="inlineStr">
        <is>
          <t>Integration</t>
        </is>
      </c>
      <c r="E3105" s="17" t="inlineStr">
        <is>
          <t>KnowledgeBaseIT</t>
        </is>
      </c>
      <c r="F3105" s="17" t="inlineStr"/>
      <c r="G3105" s="17" t="inlineStr">
        <is>
          <t>ban nhap khong lo cho khach</t>
        </is>
      </c>
      <c r="H3105" s="17" t="inlineStr">
        <is>
          <t>ban_nhap_khong_lo_cho_khach</t>
        </is>
      </c>
      <c r="I3105" s="16" t="inlineStr">
        <is>
          <t>Đạt</t>
        </is>
      </c>
      <c r="J3105" s="16" t="n">
        <v>0.014</v>
      </c>
    </row>
    <row r="3106">
      <c r="A3106" s="16" t="n">
        <v>3102</v>
      </c>
      <c r="B3106" s="16" t="inlineStr">
        <is>
          <t>Backend</t>
        </is>
      </c>
      <c r="C3106" s="17" t="inlineStr">
        <is>
          <t>ai-chatbox-service</t>
        </is>
      </c>
      <c r="D3106" s="16" t="inlineStr">
        <is>
          <t>Integration</t>
        </is>
      </c>
      <c r="E3106" s="17" t="inlineStr">
        <is>
          <t>KnowledgeBaseIT</t>
        </is>
      </c>
      <c r="F3106" s="17" t="inlineStr"/>
      <c r="G3106" s="17" t="inlineStr">
        <is>
          <t>xoa doan khong ton tai thi 404</t>
        </is>
      </c>
      <c r="H3106" s="17" t="inlineStr">
        <is>
          <t>xoa_doan_khong_ton_tai_thi_404</t>
        </is>
      </c>
      <c r="I3106" s="16" t="inlineStr">
        <is>
          <t>Đạt</t>
        </is>
      </c>
      <c r="J3106" s="16" t="n">
        <v>0.008999999999999999</v>
      </c>
    </row>
    <row r="3107">
      <c r="A3107" s="16" t="n">
        <v>3103</v>
      </c>
      <c r="B3107" s="16" t="inlineStr">
        <is>
          <t>Backend</t>
        </is>
      </c>
      <c r="C3107" s="17" t="inlineStr">
        <is>
          <t>ai-chatbox-service</t>
        </is>
      </c>
      <c r="D3107" s="16" t="inlineStr">
        <is>
          <t>Integration</t>
        </is>
      </c>
      <c r="E3107" s="17" t="inlineStr">
        <is>
          <t>KnowledgeBaseIT</t>
        </is>
      </c>
      <c r="F3107" s="17" t="inlineStr"/>
      <c r="G3107" s="17" t="inlineStr">
        <is>
          <t>chua soan quy dinh thi 404</t>
        </is>
      </c>
      <c r="H3107" s="17" t="inlineStr">
        <is>
          <t>chua_soan_quy_dinh_thi_404</t>
        </is>
      </c>
      <c r="I3107" s="16" t="inlineStr">
        <is>
          <t>Đạt</t>
        </is>
      </c>
      <c r="J3107" s="16" t="n">
        <v>0.011</v>
      </c>
    </row>
    <row r="3108">
      <c r="A3108" s="16" t="n">
        <v>3104</v>
      </c>
      <c r="B3108" s="16" t="inlineStr">
        <is>
          <t>Backend</t>
        </is>
      </c>
      <c r="C3108" s="17" t="inlineStr">
        <is>
          <t>ai-chatbox-service</t>
        </is>
      </c>
      <c r="D3108" s="16" t="inlineStr">
        <is>
          <t>Integration</t>
        </is>
      </c>
      <c r="E3108" s="17" t="inlineStr">
        <is>
          <t>RefundDedupIT</t>
        </is>
      </c>
      <c r="F3108" s="17" t="inlineStr"/>
      <c r="G3108" s="17" t="inlineStr">
        <is>
          <t>tim thay phieu hoan dang mo dung khach dung don</t>
        </is>
      </c>
      <c r="H3108" s="17" t="inlineStr">
        <is>
          <t>tim_thay_phieu_hoan_dang_mo_dung_khach_dung_don</t>
        </is>
      </c>
      <c r="I3108" s="16" t="inlineStr">
        <is>
          <t>Đạt</t>
        </is>
      </c>
      <c r="J3108" s="16" t="n">
        <v>0.043</v>
      </c>
    </row>
    <row r="3109">
      <c r="A3109" s="16" t="n">
        <v>3105</v>
      </c>
      <c r="B3109" s="16" t="inlineStr">
        <is>
          <t>Backend</t>
        </is>
      </c>
      <c r="C3109" s="17" t="inlineStr">
        <is>
          <t>ai-chatbox-service</t>
        </is>
      </c>
      <c r="D3109" s="16" t="inlineStr">
        <is>
          <t>Integration</t>
        </is>
      </c>
      <c r="E3109" s="17" t="inlineStr">
        <is>
          <t>RefundDedupIT</t>
        </is>
      </c>
      <c r="F3109" s="17" t="inlineStr"/>
      <c r="G3109" s="17" t="inlineStr">
        <is>
          <t>phieu cu khong co orderId khong lam vo truy van</t>
        </is>
      </c>
      <c r="H3109" s="17" t="inlineStr">
        <is>
          <t>phieu_cu_khong_co_orderId_khong_lam_vo_truy_van</t>
        </is>
      </c>
      <c r="I3109" s="16" t="inlineStr">
        <is>
          <t>Đạt</t>
        </is>
      </c>
      <c r="J3109" s="16" t="n">
        <v>0.018</v>
      </c>
    </row>
    <row r="3110">
      <c r="A3110" s="16" t="n">
        <v>3106</v>
      </c>
      <c r="B3110" s="16" t="inlineStr">
        <is>
          <t>Backend</t>
        </is>
      </c>
      <c r="C3110" s="17" t="inlineStr">
        <is>
          <t>ai-chatbox-service</t>
        </is>
      </c>
      <c r="D3110" s="16" t="inlineStr">
        <is>
          <t>Integration</t>
        </is>
      </c>
      <c r="E3110" s="17" t="inlineStr">
        <is>
          <t>StaleHandoffReleaseIT</t>
        </is>
      </c>
      <c r="F3110" s="17" t="inlineStr"/>
      <c r="G3110" s="17" t="inlineStr">
        <is>
          <t>nha tay ghi ghi chu ban giao va giu khoa cu cua details</t>
        </is>
      </c>
      <c r="H3110" s="17" t="inlineStr">
        <is>
          <t>nha_tay_ghi_ghi_chu_ban_giao_va_giu_khoa_cu_cua_details</t>
        </is>
      </c>
      <c r="I3110" s="16" t="inlineStr">
        <is>
          <t>Đạt</t>
        </is>
      </c>
      <c r="J3110" s="16" t="n">
        <v>0.05</v>
      </c>
    </row>
    <row r="3111">
      <c r="A3111" s="16" t="n">
        <v>3107</v>
      </c>
      <c r="B3111" s="16" t="inlineStr">
        <is>
          <t>Backend</t>
        </is>
      </c>
      <c r="C3111" s="17" t="inlineStr">
        <is>
          <t>ai-chatbox-service</t>
        </is>
      </c>
      <c r="D3111" s="16" t="inlineStr">
        <is>
          <t>Integration</t>
        </is>
      </c>
      <c r="E3111" s="17" t="inlineStr">
        <is>
          <t>StaleHandoffReleaseIT</t>
        </is>
      </c>
      <c r="F3111" s="17" t="inlineStr"/>
      <c r="G3111" s="17" t="inlineStr">
        <is>
          <t>reaper chay ca hai buoc</t>
        </is>
      </c>
      <c r="H3111" s="17" t="inlineStr">
        <is>
          <t>reaper_chay_ca_hai_buoc</t>
        </is>
      </c>
      <c r="I3111" s="16" t="inlineStr">
        <is>
          <t>Đạt</t>
        </is>
      </c>
      <c r="J3111" s="16" t="n">
        <v>0.034</v>
      </c>
    </row>
    <row r="3112">
      <c r="A3112" s="16" t="n">
        <v>3108</v>
      </c>
      <c r="B3112" s="16" t="inlineStr">
        <is>
          <t>Backend</t>
        </is>
      </c>
      <c r="C3112" s="17" t="inlineStr">
        <is>
          <t>ai-chatbox-service</t>
        </is>
      </c>
      <c r="D3112" s="16" t="inlineStr">
        <is>
          <t>Integration</t>
        </is>
      </c>
      <c r="E3112" s="17" t="inlineStr">
        <is>
          <t>StaleHandoffReleaseIT</t>
        </is>
      </c>
      <c r="F3112" s="17" t="inlineStr"/>
      <c r="G3112" s="17" t="inlineStr">
        <is>
          <t>phieu nhan lau nhung vua tra loi thi giu nguyen</t>
        </is>
      </c>
      <c r="H3112" s="17" t="inlineStr">
        <is>
          <t>phieu_nhan_lau_nhung_vua_tra_loi_thi_giu_nguyen</t>
        </is>
      </c>
      <c r="I3112" s="16" t="inlineStr">
        <is>
          <t>Đạt</t>
        </is>
      </c>
      <c r="J3112" s="16" t="n">
        <v>0.035</v>
      </c>
    </row>
    <row r="3113">
      <c r="A3113" s="16" t="n">
        <v>3109</v>
      </c>
      <c r="B3113" s="16" t="inlineStr">
        <is>
          <t>Backend</t>
        </is>
      </c>
      <c r="C3113" s="17" t="inlineStr">
        <is>
          <t>ai-chatbox-service</t>
        </is>
      </c>
      <c r="D3113" s="16" t="inlineStr">
        <is>
          <t>Integration</t>
        </is>
      </c>
      <c r="E3113" s="17" t="inlineStr">
        <is>
          <t>StaleHandoffReleaseIT</t>
        </is>
      </c>
      <c r="F3113" s="17" t="inlineStr"/>
      <c r="G3113" s="17" t="inlineStr">
        <is>
          <t>phieu nhan qua han khong tra loi ve hang doi va khong bi dong ngay</t>
        </is>
      </c>
      <c r="H3113" s="17" t="inlineStr">
        <is>
          <t>phieu_nhan_qua_han_khong_tra_loi_ve_hang_doi_va_khong_bi_dong_ngay</t>
        </is>
      </c>
      <c r="I3113" s="16" t="inlineStr">
        <is>
          <t>Đạt</t>
        </is>
      </c>
      <c r="J3113" s="16" t="n">
        <v>0.038</v>
      </c>
    </row>
    <row r="3114">
      <c r="A3114" s="16" t="n">
        <v>3110</v>
      </c>
      <c r="B3114" s="16" t="inlineStr">
        <is>
          <t>Backend</t>
        </is>
      </c>
      <c r="C3114" s="17" t="inlineStr">
        <is>
          <t>ai-chatbox-service</t>
        </is>
      </c>
      <c r="D3114" s="16" t="inlineStr">
        <is>
          <t>Integration</t>
        </is>
      </c>
      <c r="E3114" s="17" t="inlineStr">
        <is>
          <t>JdbcHandoffRepositoryIT › Claim</t>
        </is>
      </c>
      <c r="F3114" s="17" t="inlineStr">
        <is>
          <t>claim</t>
        </is>
      </c>
      <c r="G3114" s="17" t="inlineStr">
        <is>
          <t>nhận phiếu WAITING: chuyển ASSIGNED, ghi người nhận và mốc thời gian</t>
        </is>
      </c>
      <c r="H3114" s="17" t="inlineStr">
        <is>
          <t>nhan_duoc</t>
        </is>
      </c>
      <c r="I3114" s="16" t="inlineStr">
        <is>
          <t>Đạt</t>
        </is>
      </c>
      <c r="J3114" s="16" t="n">
        <v>0.012</v>
      </c>
    </row>
    <row r="3115">
      <c r="A3115" s="16" t="n">
        <v>3111</v>
      </c>
      <c r="B3115" s="16" t="inlineStr">
        <is>
          <t>Backend</t>
        </is>
      </c>
      <c r="C3115" s="17" t="inlineStr">
        <is>
          <t>ai-chatbox-service</t>
        </is>
      </c>
      <c r="D3115" s="16" t="inlineStr">
        <is>
          <t>Integration</t>
        </is>
      </c>
      <c r="E3115" s="17" t="inlineStr">
        <is>
          <t>JdbcHandoffRepositoryIT › Claim</t>
        </is>
      </c>
      <c r="F3115" s="17" t="inlineStr">
        <is>
          <t>claim</t>
        </is>
      </c>
      <c r="G3115" s="17" t="inlineStr">
        <is>
          <t>người thứ hai nhận phiếu đã có người thì nhận về rỗng và không ghi đè người đầu</t>
        </is>
      </c>
      <c r="H3115" s="17" t="inlineStr">
        <is>
          <t>nguoi_thu_hai_khong_ghi_de</t>
        </is>
      </c>
      <c r="I3115" s="16" t="inlineStr">
        <is>
          <t>Đạt</t>
        </is>
      </c>
      <c r="J3115" s="16" t="n">
        <v>0.015</v>
      </c>
    </row>
    <row r="3116">
      <c r="A3116" s="16" t="n">
        <v>3112</v>
      </c>
      <c r="B3116" s="16" t="inlineStr">
        <is>
          <t>Backend</t>
        </is>
      </c>
      <c r="C3116" s="17" t="inlineStr">
        <is>
          <t>ai-chatbox-service</t>
        </is>
      </c>
      <c r="D3116" s="16" t="inlineStr">
        <is>
          <t>Integration</t>
        </is>
      </c>
      <c r="E3116" s="17" t="inlineStr">
        <is>
          <t>JdbcHandoffRepositoryIT › Claim</t>
        </is>
      </c>
      <c r="F3116" s="17" t="inlineStr">
        <is>
          <t>claim</t>
        </is>
      </c>
      <c r="G3116" s="17" t="inlineStr">
        <is>
          <t>không nhận được phiếu đã đóng hoặc phiếu không tồn tại</t>
        </is>
      </c>
      <c r="H3116" s="17" t="inlineStr">
        <is>
          <t>khong_nhan_duoc</t>
        </is>
      </c>
      <c r="I3116" s="16" t="inlineStr">
        <is>
          <t>Đạt</t>
        </is>
      </c>
      <c r="J3116" s="16" t="n">
        <v>0.016</v>
      </c>
    </row>
    <row r="3117">
      <c r="A3117" s="16" t="n">
        <v>3113</v>
      </c>
      <c r="B3117" s="16" t="inlineStr">
        <is>
          <t>Backend</t>
        </is>
      </c>
      <c r="C3117" s="17" t="inlineStr">
        <is>
          <t>ai-chatbox-service</t>
        </is>
      </c>
      <c r="D3117" s="16" t="inlineStr">
        <is>
          <t>Integration</t>
        </is>
      </c>
      <c r="E3117" s="17" t="inlineStr">
        <is>
          <t>JdbcHandoffRepositoryIT › Claim</t>
        </is>
      </c>
      <c r="F3117" s="17" t="inlineStr">
        <is>
          <t>claim</t>
        </is>
      </c>
      <c r="G3117" s="17" t="inlineStr">
        <is>
          <t>nhiều người bấm Nhận cùng lúc: đúng MỘT người thắng</t>
        </is>
      </c>
      <c r="H3117" s="17" t="inlineStr">
        <is>
          <t>dong_thoi_dung_mot_nguoi_thang</t>
        </is>
      </c>
      <c r="I3117" s="16" t="inlineStr">
        <is>
          <t>Đạt</t>
        </is>
      </c>
      <c r="J3117" s="16" t="n">
        <v>0.019</v>
      </c>
    </row>
    <row r="3118">
      <c r="A3118" s="16" t="n">
        <v>3114</v>
      </c>
      <c r="B3118" s="16" t="inlineStr">
        <is>
          <t>Backend</t>
        </is>
      </c>
      <c r="C3118" s="17" t="inlineStr">
        <is>
          <t>ai-chatbox-service</t>
        </is>
      </c>
      <c r="D3118" s="16" t="inlineStr">
        <is>
          <t>Integration</t>
        </is>
      </c>
      <c r="E3118" s="17" t="inlineStr">
        <is>
          <t>JdbcHandoffRepositoryIT › CloseAbandoned</t>
        </is>
      </c>
      <c r="F3118" s="17" t="inlineStr">
        <is>
          <t>closeAbandoned</t>
        </is>
      </c>
      <c r="G3118" s="17" t="inlineStr">
        <is>
          <t>không có phiếu nào quá hạn thì trả 0 và chạy lại là idempotent</t>
        </is>
      </c>
      <c r="H3118" s="17" t="inlineStr">
        <is>
          <t>khong_co_gi_de_dong</t>
        </is>
      </c>
      <c r="I3118" s="16" t="inlineStr">
        <is>
          <t>Đạt</t>
        </is>
      </c>
      <c r="J3118" s="16" t="n">
        <v>0.017</v>
      </c>
    </row>
    <row r="3119">
      <c r="A3119" s="16" t="n">
        <v>3115</v>
      </c>
      <c r="B3119" s="16" t="inlineStr">
        <is>
          <t>Backend</t>
        </is>
      </c>
      <c r="C3119" s="17" t="inlineStr">
        <is>
          <t>ai-chatbox-service</t>
        </is>
      </c>
      <c r="D3119" s="16" t="inlineStr">
        <is>
          <t>Integration</t>
        </is>
      </c>
      <c r="E3119" s="17" t="inlineStr">
        <is>
          <t>JdbcHandoffRepositoryIT › CloseAbandoned</t>
        </is>
      </c>
      <c r="F3119" s="17" t="inlineStr">
        <is>
          <t>closeAbandoned</t>
        </is>
      </c>
      <c r="G3119" s="17" t="inlineStr">
        <is>
          <t>chỉ đóng phiếu WAITING cũ hơn mốc, ghi lý do vào reason và trả đúng số phiếu đã đóng</t>
        </is>
      </c>
      <c r="H3119" s="17" t="inlineStr">
        <is>
          <t>dong_phieu_mo_coi</t>
        </is>
      </c>
      <c r="I3119" s="16" t="inlineStr">
        <is>
          <t>Đạt</t>
        </is>
      </c>
      <c r="J3119" s="16" t="n">
        <v>0.025</v>
      </c>
    </row>
    <row r="3120">
      <c r="A3120" s="16" t="n">
        <v>3116</v>
      </c>
      <c r="B3120" s="16" t="inlineStr">
        <is>
          <t>Backend</t>
        </is>
      </c>
      <c r="C3120" s="17" t="inlineStr">
        <is>
          <t>ai-chatbox-service</t>
        </is>
      </c>
      <c r="D3120" s="16" t="inlineStr">
        <is>
          <t>Integration</t>
        </is>
      </c>
      <c r="E3120" s="17" t="inlineStr">
        <is>
          <t>JdbcHandoffRepositoryIT › CloseAbandoned</t>
        </is>
      </c>
      <c r="F3120" s="17" t="inlineStr">
        <is>
          <t>closeAbandoned</t>
        </is>
      </c>
      <c r="G3120" s="17" t="inlineStr">
        <is>
          <t>sau khi phiếu mồ côi bị đóng, phiên mở lại được phiếu mới</t>
        </is>
      </c>
      <c r="H3120" s="17" t="inlineStr">
        <is>
          <t>mo_lai_sau_khi_dong</t>
        </is>
      </c>
      <c r="I3120" s="16" t="inlineStr">
        <is>
          <t>Đạt</t>
        </is>
      </c>
      <c r="J3120" s="16" t="n">
        <v>0.015</v>
      </c>
    </row>
    <row r="3121">
      <c r="A3121" s="16" t="n">
        <v>3117</v>
      </c>
      <c r="B3121" s="16" t="inlineStr">
        <is>
          <t>Backend</t>
        </is>
      </c>
      <c r="C3121" s="17" t="inlineStr">
        <is>
          <t>ai-chatbox-service</t>
        </is>
      </c>
      <c r="D3121" s="16" t="inlineStr">
        <is>
          <t>Integration</t>
        </is>
      </c>
      <c r="E3121" s="17" t="inlineStr">
        <is>
          <t>JdbcHandoffRepositoryIT › OpenOrExisting</t>
        </is>
      </c>
      <c r="F3121" s="17" t="inlineStr">
        <is>
          <t>openOrExisting</t>
        </is>
      </c>
      <c r="G3121" s="17" t="inlineStr">
        <is>
          <t>phiếu đã đóng thì phiên mở được phiếu MỚI</t>
        </is>
      </c>
      <c r="H3121" s="17" t="inlineStr">
        <is>
          <t>sau_khi_dong_mo_duoc_phieu_moi</t>
        </is>
      </c>
      <c r="I3121" s="16" t="inlineStr">
        <is>
          <t>Đạt</t>
        </is>
      </c>
      <c r="J3121" s="16" t="n">
        <v>0.017</v>
      </c>
    </row>
    <row r="3122">
      <c r="A3122" s="16" t="n">
        <v>3118</v>
      </c>
      <c r="B3122" s="16" t="inlineStr">
        <is>
          <t>Backend</t>
        </is>
      </c>
      <c r="C3122" s="17" t="inlineStr">
        <is>
          <t>ai-chatbox-service</t>
        </is>
      </c>
      <c r="D3122" s="16" t="inlineStr">
        <is>
          <t>Integration</t>
        </is>
      </c>
      <c r="E3122" s="17" t="inlineStr">
        <is>
          <t>JdbcHandoffRepositoryIT › OpenOrExisting</t>
        </is>
      </c>
      <c r="F3122" s="17" t="inlineStr">
        <is>
          <t>openOrExisting</t>
        </is>
      </c>
      <c r="G3122" s="17" t="inlineStr">
        <is>
          <t>hai request cùng lúc cho cùng một phiên chỉ ra MỘT phiếu và không ai nhận lỗi</t>
        </is>
      </c>
      <c r="H3122" s="17" t="inlineStr">
        <is>
          <t>dong_thoi_chi_ra_mot_phieu</t>
        </is>
      </c>
      <c r="I3122" s="16" t="inlineStr">
        <is>
          <t>Đạt</t>
        </is>
      </c>
      <c r="J3122" s="16" t="n">
        <v>0.019</v>
      </c>
    </row>
    <row r="3123">
      <c r="A3123" s="16" t="n">
        <v>3119</v>
      </c>
      <c r="B3123" s="16" t="inlineStr">
        <is>
          <t>Backend</t>
        </is>
      </c>
      <c r="C3123" s="17" t="inlineStr">
        <is>
          <t>ai-chatbox-service</t>
        </is>
      </c>
      <c r="D3123" s="16" t="inlineStr">
        <is>
          <t>Integration</t>
        </is>
      </c>
      <c r="E3123" s="17" t="inlineStr">
        <is>
          <t>JdbcHandoffRepositoryIT › OpenOrExisting</t>
        </is>
      </c>
      <c r="F3123" s="17" t="inlineStr">
        <is>
          <t>openOrExisting</t>
        </is>
      </c>
      <c r="G3123" s="17" t="inlineStr">
        <is>
          <t>lưu và đọc lại đủ mọi cột, kể cả cột null và mốc thời gian</t>
        </is>
      </c>
      <c r="H3123" s="17" t="inlineStr">
        <is>
          <t>luu_va_doc_lai</t>
        </is>
      </c>
      <c r="I3123" s="16" t="inlineStr">
        <is>
          <t>Đạt</t>
        </is>
      </c>
      <c r="J3123" s="16" t="n">
        <v>0.015</v>
      </c>
    </row>
    <row r="3124">
      <c r="A3124" s="16" t="n">
        <v>3120</v>
      </c>
      <c r="B3124" s="16" t="inlineStr">
        <is>
          <t>Backend</t>
        </is>
      </c>
      <c r="C3124" s="17" t="inlineStr">
        <is>
          <t>ai-chatbox-service</t>
        </is>
      </c>
      <c r="D3124" s="16" t="inlineStr">
        <is>
          <t>Integration</t>
        </is>
      </c>
      <c r="E3124" s="17" t="inlineStr">
        <is>
          <t>JdbcHandoffRepositoryIT › OpenOrExisting</t>
        </is>
      </c>
      <c r="F3124" s="17" t="inlineStr">
        <is>
          <t>openOrExisting</t>
        </is>
      </c>
      <c r="G3124" s="17" t="inlineStr">
        <is>
          <t>details và câu hỏi null được lưu là NULL</t>
        </is>
      </c>
      <c r="H3124" s="17" t="inlineStr">
        <is>
          <t>cot_null</t>
        </is>
      </c>
      <c r="I3124" s="16" t="inlineStr">
        <is>
          <t>Đạt</t>
        </is>
      </c>
      <c r="J3124" s="16" t="n">
        <v>0.013</v>
      </c>
    </row>
    <row r="3125">
      <c r="A3125" s="16" t="n">
        <v>3121</v>
      </c>
      <c r="B3125" s="16" t="inlineStr">
        <is>
          <t>Backend</t>
        </is>
      </c>
      <c r="C3125" s="17" t="inlineStr">
        <is>
          <t>ai-chatbox-service</t>
        </is>
      </c>
      <c r="D3125" s="16" t="inlineStr">
        <is>
          <t>Integration</t>
        </is>
      </c>
      <c r="E3125" s="17" t="inlineStr">
        <is>
          <t>JdbcHandoffRepositoryIT › OpenOrExisting</t>
        </is>
      </c>
      <c r="F3125" s="17" t="inlineStr">
        <is>
          <t>openOrExisting</t>
        </is>
      </c>
      <c r="G3125" s="17" t="inlineStr">
        <is>
          <t>phiên đã có phiếu mở thì trả lại CHÍNH phiếu đó, không tạo phiếu thứ hai</t>
        </is>
      </c>
      <c r="H3125" s="17" t="inlineStr">
        <is>
          <t>idempotent_theo_phien</t>
        </is>
      </c>
      <c r="I3125" s="16" t="inlineStr">
        <is>
          <t>Đạt</t>
        </is>
      </c>
      <c r="J3125" s="16" t="n">
        <v>0.013</v>
      </c>
    </row>
    <row r="3126">
      <c r="A3126" s="16" t="n">
        <v>3122</v>
      </c>
      <c r="B3126" s="16" t="inlineStr">
        <is>
          <t>Backend</t>
        </is>
      </c>
      <c r="C3126" s="17" t="inlineStr">
        <is>
          <t>ai-chatbox-service</t>
        </is>
      </c>
      <c r="D3126" s="16" t="inlineStr">
        <is>
          <t>Integration</t>
        </is>
      </c>
      <c r="E3126" s="17" t="inlineStr">
        <is>
          <t>JdbcHandoffRepositoryIT › OpenOrExisting</t>
        </is>
      </c>
      <c r="F3126" s="17" t="inlineStr">
        <is>
          <t>openOrExisting</t>
        </is>
      </c>
      <c r="G3126" s="17" t="inlineStr">
        <is>
          <t>phiên không tồn tại bị khoá ngoại chặn — đó là lý do lượt chat phải được ghi TRƯỚC phiếu</t>
        </is>
      </c>
      <c r="H3126" s="17" t="inlineStr">
        <is>
          <t>khoa_ngoai_chan_phien_khong_ton_tai</t>
        </is>
      </c>
      <c r="I3126" s="16" t="inlineStr">
        <is>
          <t>Đạt</t>
        </is>
      </c>
      <c r="J3126" s="16" t="n">
        <v>0.01</v>
      </c>
    </row>
    <row r="3127">
      <c r="A3127" s="16" t="n">
        <v>3123</v>
      </c>
      <c r="B3127" s="16" t="inlineStr">
        <is>
          <t>Backend</t>
        </is>
      </c>
      <c r="C3127" s="17" t="inlineStr">
        <is>
          <t>ai-chatbox-service</t>
        </is>
      </c>
      <c r="D3127" s="16" t="inlineStr">
        <is>
          <t>Integration</t>
        </is>
      </c>
      <c r="E3127" s="17" t="inlineStr">
        <is>
          <t>JdbcHandoffRepositoryIT › Save</t>
        </is>
      </c>
      <c r="F3127" s="17" t="inlineStr">
        <is>
          <t>transition</t>
        </is>
      </c>
      <c r="G3127" s="17" t="inlineStr">
        <is>
          <t>lưu phiếu đã nhận rồi đã đóng: trạng thái và các mốc thời gian đi theo</t>
        </is>
      </c>
      <c r="H3127" s="17" t="inlineStr">
        <is>
          <t>luu_nhan_roi_dong</t>
        </is>
      </c>
      <c r="I3127" s="16" t="inlineStr">
        <is>
          <t>Đạt</t>
        </is>
      </c>
      <c r="J3127" s="16" t="n">
        <v>0.02</v>
      </c>
    </row>
    <row r="3128">
      <c r="A3128" s="16" t="n">
        <v>3124</v>
      </c>
      <c r="B3128" s="16" t="inlineStr">
        <is>
          <t>Backend</t>
        </is>
      </c>
      <c r="C3128" s="17" t="inlineStr">
        <is>
          <t>ai-chatbox-service</t>
        </is>
      </c>
      <c r="D3128" s="16" t="inlineStr">
        <is>
          <t>Integration</t>
        </is>
      </c>
      <c r="E3128" s="17" t="inlineStr">
        <is>
          <t>JdbcHandoffRepositoryIT › Save</t>
        </is>
      </c>
      <c r="F3128" s="17" t="inlineStr">
        <is>
          <t>transition</t>
        </is>
      </c>
      <c r="G3128" s="17" t="inlineStr">
        <is>
          <t>trạng thái và mốc thời gian lệch nhau bị CHECK của database chặn</t>
        </is>
      </c>
      <c r="H3128" s="17" t="inlineStr">
        <is>
          <t>check_chan_trang_thai_lech</t>
        </is>
      </c>
      <c r="I3128" s="16" t="inlineStr">
        <is>
          <t>Đạt</t>
        </is>
      </c>
      <c r="J3128" s="16" t="n">
        <v>0.015</v>
      </c>
    </row>
    <row r="3129">
      <c r="A3129" s="16" t="n">
        <v>3125</v>
      </c>
      <c r="B3129" s="16" t="inlineStr">
        <is>
          <t>Backend</t>
        </is>
      </c>
      <c r="C3129" s="17" t="inlineStr">
        <is>
          <t>ai-chatbox-service</t>
        </is>
      </c>
      <c r="D3129" s="16" t="inlineStr">
        <is>
          <t>Integration</t>
        </is>
      </c>
      <c r="E3129" s="17" t="inlineStr">
        <is>
          <t>JdbcHandoffRepositoryIT › Save</t>
        </is>
      </c>
      <c r="F3129" s="17" t="inlineStr">
        <is>
          <t>transition</t>
        </is>
      </c>
      <c r="G3129" s="17" t="inlineStr">
        <is>
          <t>đóng thẳng một phiếu chưa ai nhận là hợp lệ (phiếu rác, khách tự giải quyết)</t>
        </is>
      </c>
      <c r="H3129" s="17" t="inlineStr">
        <is>
          <t>dong_thang_phieu_chua_nhan</t>
        </is>
      </c>
      <c r="I3129" s="16" t="inlineStr">
        <is>
          <t>Đạt</t>
        </is>
      </c>
      <c r="J3129" s="16" t="n">
        <v>0.012</v>
      </c>
    </row>
    <row r="3130">
      <c r="A3130" s="16" t="n">
        <v>3126</v>
      </c>
      <c r="B3130" s="16" t="inlineStr">
        <is>
          <t>Backend</t>
        </is>
      </c>
      <c r="C3130" s="17" t="inlineStr">
        <is>
          <t>ai-chatbox-service</t>
        </is>
      </c>
      <c r="D3130" s="16" t="inlineStr">
        <is>
          <t>Integration</t>
        </is>
      </c>
      <c r="E3130" s="17" t="inlineStr">
        <is>
          <t>JdbcHandoffRepositoryIT › TruyVan</t>
        </is>
      </c>
      <c r="F3130" s="17" t="inlineStr">
        <is>
          <t>truy vấn</t>
        </is>
      </c>
      <c r="G3130" s="17" t="inlineStr">
        <is>
          <t>queue lọc theo ý định và theo người đang giữ</t>
        </is>
      </c>
      <c r="H3130" s="17" t="inlineStr">
        <is>
          <t>queue_loc</t>
        </is>
      </c>
      <c r="I3130" s="16" t="inlineStr">
        <is>
          <t>Đạt</t>
        </is>
      </c>
      <c r="J3130" s="16" t="n">
        <v>0.021</v>
      </c>
    </row>
    <row r="3131">
      <c r="A3131" s="16" t="n">
        <v>3127</v>
      </c>
      <c r="B3131" s="16" t="inlineStr">
        <is>
          <t>Backend</t>
        </is>
      </c>
      <c r="C3131" s="17" t="inlineStr">
        <is>
          <t>ai-chatbox-service</t>
        </is>
      </c>
      <c r="D3131" s="16" t="inlineStr">
        <is>
          <t>Integration</t>
        </is>
      </c>
      <c r="E3131" s="17" t="inlineStr">
        <is>
          <t>JdbcHandoffRepositoryIT › TruyVan</t>
        </is>
      </c>
      <c r="F3131" s="17" t="inlineStr">
        <is>
          <t>truy vấn</t>
        </is>
      </c>
      <c r="G3131" s="17" t="inlineStr">
        <is>
          <t>openBySession và findById trả rỗng khi không có; phiếu đã đóng không còn là 'đang mở'</t>
        </is>
      </c>
      <c r="H3131" s="17" t="inlineStr">
        <is>
          <t>khong_co</t>
        </is>
      </c>
      <c r="I3131" s="16" t="inlineStr">
        <is>
          <t>Đạt</t>
        </is>
      </c>
      <c r="J3131" s="16" t="n">
        <v>0.018</v>
      </c>
    </row>
    <row r="3132">
      <c r="A3132" s="16" t="n">
        <v>3128</v>
      </c>
      <c r="B3132" s="16" t="inlineStr">
        <is>
          <t>Backend</t>
        </is>
      </c>
      <c r="C3132" s="17" t="inlineStr">
        <is>
          <t>ai-chatbox-service</t>
        </is>
      </c>
      <c r="D3132" s="16" t="inlineStr">
        <is>
          <t>Integration</t>
        </is>
      </c>
      <c r="E3132" s="17" t="inlineStr">
        <is>
          <t>JdbcHandoffRepositoryIT › TruyVan</t>
        </is>
      </c>
      <c r="F3132" s="17" t="inlineStr">
        <is>
          <t>truy vấn</t>
        </is>
      </c>
      <c r="G3132" s="17" t="inlineStr">
        <is>
          <t>queue: cũ nhất trước, bỏ phiếu RESOLVED, phân trang đúng</t>
        </is>
      </c>
      <c r="H3132" s="17" t="inlineStr">
        <is>
          <t>queue_fifo_va_phan_trang</t>
        </is>
      </c>
      <c r="I3132" s="16" t="inlineStr">
        <is>
          <t>Đạt</t>
        </is>
      </c>
      <c r="J3132" s="16" t="n">
        <v>0.022</v>
      </c>
    </row>
    <row r="3133">
      <c r="A3133" s="16" t="n">
        <v>3129</v>
      </c>
      <c r="B3133" s="16" t="inlineStr">
        <is>
          <t>Backend</t>
        </is>
      </c>
      <c r="C3133" s="17" t="inlineStr">
        <is>
          <t>ai-chatbox-service</t>
        </is>
      </c>
      <c r="D3133" s="16" t="inlineStr">
        <is>
          <t>Integration</t>
        </is>
      </c>
      <c r="E3133" s="17" t="inlineStr">
        <is>
          <t>JdbcHandoffRepositoryIT › TruyVan</t>
        </is>
      </c>
      <c r="F3133" s="17" t="inlineStr">
        <is>
          <t>truy vấn</t>
        </is>
      </c>
      <c r="G3133" s="17" t="inlineStr">
        <is>
          <t>search kết hợp mọi bộ lọc cùng lúc</t>
        </is>
      </c>
      <c r="H3133" s="17" t="inlineStr">
        <is>
          <t>search_ket_hop</t>
        </is>
      </c>
      <c r="I3133" s="16" t="inlineStr">
        <is>
          <t>Đạt</t>
        </is>
      </c>
      <c r="J3133" s="16" t="n">
        <v>0.017</v>
      </c>
    </row>
    <row r="3134">
      <c r="A3134" s="16" t="n">
        <v>3130</v>
      </c>
      <c r="B3134" s="16" t="inlineStr">
        <is>
          <t>Backend</t>
        </is>
      </c>
      <c r="C3134" s="17" t="inlineStr">
        <is>
          <t>ai-chatbox-service</t>
        </is>
      </c>
      <c r="D3134" s="16" t="inlineStr">
        <is>
          <t>Integration</t>
        </is>
      </c>
      <c r="E3134" s="17" t="inlineStr">
        <is>
          <t>JdbcHandoffRepositoryIT › TruyVan</t>
        </is>
      </c>
      <c r="F3134" s="17" t="inlineStr">
        <is>
          <t>truy vấn</t>
        </is>
      </c>
      <c r="G3134" s="17" t="inlineStr">
        <is>
          <t>search: lọc theo tập trạng thái, rỗng nghĩa là tất cả</t>
        </is>
      </c>
      <c r="H3134" s="17" t="inlineStr">
        <is>
          <t>search_theo_trang_thai</t>
        </is>
      </c>
      <c r="I3134" s="16" t="inlineStr">
        <is>
          <t>Đạt</t>
        </is>
      </c>
      <c r="J3134" s="16" t="n">
        <v>0.022</v>
      </c>
    </row>
    <row r="3135">
      <c r="A3135" s="16" t="n">
        <v>3131</v>
      </c>
      <c r="B3135" s="16" t="inlineStr">
        <is>
          <t>Backend</t>
        </is>
      </c>
      <c r="C3135" s="17" t="inlineStr">
        <is>
          <t>ai-chatbox-service</t>
        </is>
      </c>
      <c r="D3135" s="16" t="inlineStr">
        <is>
          <t>Integration</t>
        </is>
      </c>
      <c r="E3135" s="17" t="inlineStr">
        <is>
          <t>JdbcHandoffRepositoryIT › TruyVan</t>
        </is>
      </c>
      <c r="F3135" s="17" t="inlineStr">
        <is>
          <t>truy vấn</t>
        </is>
      </c>
      <c r="G3135" s="17" t="inlineStr">
        <is>
          <t>search: lọc theo ý định, theo người giữ, và newestFirst đảo thứ tự</t>
        </is>
      </c>
      <c r="H3135" s="17" t="inlineStr">
        <is>
          <t>search_y_dinh_va_thu_tu</t>
        </is>
      </c>
      <c r="I3135" s="16" t="inlineStr">
        <is>
          <t>Đạt</t>
        </is>
      </c>
      <c r="J3135" s="16" t="n">
        <v>0.019</v>
      </c>
    </row>
    <row r="3136">
      <c r="A3136" s="16" t="n">
        <v>3132</v>
      </c>
      <c r="B3136" s="16" t="inlineStr">
        <is>
          <t>Backend</t>
        </is>
      </c>
      <c r="C3136" s="17" t="inlineStr">
        <is>
          <t>ai-chatbox-service</t>
        </is>
      </c>
      <c r="D3136" s="16" t="inlineStr">
        <is>
          <t>Integration</t>
        </is>
      </c>
      <c r="E3136" s="17" t="inlineStr">
        <is>
          <t>JdbcHandoffRepositoryIT › TruyVan</t>
        </is>
      </c>
      <c r="F3136" s="17" t="inlineStr">
        <is>
          <t>truy vấn</t>
        </is>
      </c>
      <c r="G3136" s="17" t="inlineStr">
        <is>
          <t>search theo chữ: ILIKE không phân biệt hoa thường, tìm cả lý do lẫn câu hỏi, bỏ qua khoảng trắng hai đầu</t>
        </is>
      </c>
      <c r="H3136" s="17" t="inlineStr">
        <is>
          <t>search_theo_chu</t>
        </is>
      </c>
      <c r="I3136" s="16" t="inlineStr">
        <is>
          <t>Đạt</t>
        </is>
      </c>
      <c r="J3136" s="16" t="n">
        <v>0.019</v>
      </c>
    </row>
    <row r="3137">
      <c r="A3137" s="16" t="n">
        <v>3133</v>
      </c>
      <c r="B3137" s="16" t="inlineStr">
        <is>
          <t>Backend</t>
        </is>
      </c>
      <c r="C3137" s="17" t="inlineStr">
        <is>
          <t>ai-chatbox-service</t>
        </is>
      </c>
      <c r="D3137" s="16" t="inlineStr">
        <is>
          <t>Integration</t>
        </is>
      </c>
      <c r="E3137" s="17" t="inlineStr">
        <is>
          <t>KnowledgeSeederIT</t>
        </is>
      </c>
      <c r="F3137" s="17" t="inlineStr"/>
      <c r="G3137" s="17" t="inlineStr">
        <is>
          <t>khoa dang bi giu thi bo qua</t>
        </is>
      </c>
      <c r="H3137" s="17" t="inlineStr">
        <is>
          <t>khoa_dang_bi_giu_thi_bo_qua</t>
        </is>
      </c>
      <c r="I3137" s="16" t="inlineStr">
        <is>
          <t>Đạt</t>
        </is>
      </c>
      <c r="J3137" s="16" t="n">
        <v>0.015</v>
      </c>
    </row>
    <row r="3138">
      <c r="A3138" s="16" t="n">
        <v>3134</v>
      </c>
      <c r="B3138" s="16" t="inlineStr">
        <is>
          <t>Backend</t>
        </is>
      </c>
      <c r="C3138" s="17" t="inlineStr">
        <is>
          <t>ai-chatbox-service</t>
        </is>
      </c>
      <c r="D3138" s="16" t="inlineStr">
        <is>
          <t>Integration</t>
        </is>
      </c>
      <c r="E3138" s="17" t="inlineStr">
        <is>
          <t>KnowledgeSeederIT</t>
        </is>
      </c>
      <c r="F3138" s="17" t="inlineStr"/>
      <c r="G3138" s="17" t="inlineStr">
        <is>
          <t>tri thuc nen khong gan voi su kien nao</t>
        </is>
      </c>
      <c r="H3138" s="17" t="inlineStr">
        <is>
          <t>tri_thuc_nen_khong_gan_voi_su_kien_nao</t>
        </is>
      </c>
      <c r="I3138" s="16" t="inlineStr">
        <is>
          <t>Đạt</t>
        </is>
      </c>
      <c r="J3138" s="16" t="n">
        <v>0.036</v>
      </c>
    </row>
    <row r="3139">
      <c r="A3139" s="16" t="n">
        <v>3135</v>
      </c>
      <c r="B3139" s="16" t="inlineStr">
        <is>
          <t>Backend</t>
        </is>
      </c>
      <c r="C3139" s="17" t="inlineStr">
        <is>
          <t>ai-chatbox-service</t>
        </is>
      </c>
      <c r="D3139" s="16" t="inlineStr">
        <is>
          <t>Integration</t>
        </is>
      </c>
      <c r="E3139" s="17" t="inlineStr">
        <is>
          <t>KnowledgeSeederIT</t>
        </is>
      </c>
      <c r="F3139" s="17" t="inlineStr"/>
      <c r="G3139" s="17" t="inlineStr">
        <is>
          <t>con so trong tri thuc nen khop voi cau hinh that</t>
        </is>
      </c>
      <c r="H3139" s="17" t="inlineStr">
        <is>
          <t>con_so_trong_tri_thuc_nen_khop_voi_cau_hinh_that</t>
        </is>
      </c>
      <c r="I3139" s="16" t="inlineStr">
        <is>
          <t>Đạt</t>
        </is>
      </c>
      <c r="J3139" s="16" t="n">
        <v>0.012</v>
      </c>
    </row>
    <row r="3140">
      <c r="A3140" s="16" t="n">
        <v>3136</v>
      </c>
      <c r="B3140" s="16" t="inlineStr">
        <is>
          <t>Backend</t>
        </is>
      </c>
      <c r="C3140" s="17" t="inlineStr">
        <is>
          <t>ai-chatbox-service</t>
        </is>
      </c>
      <c r="D3140" s="16" t="inlineStr">
        <is>
          <t>Integration</t>
        </is>
      </c>
      <c r="E3140" s="17" t="inlineStr">
        <is>
          <t>KnowledgeSeederIT</t>
        </is>
      </c>
      <c r="F3140" s="17" t="inlineStr"/>
      <c r="G3140" s="17" t="inlineStr">
        <is>
          <t>chay hai lan khong nhan doi kho</t>
        </is>
      </c>
      <c r="H3140" s="17" t="inlineStr">
        <is>
          <t>chay_hai_lan_khong_nhan_doi_kho</t>
        </is>
      </c>
      <c r="I3140" s="16" t="inlineStr">
        <is>
          <t>Đạt</t>
        </is>
      </c>
      <c r="J3140" s="16" t="n">
        <v>0.03</v>
      </c>
    </row>
    <row r="3141">
      <c r="A3141" s="16" t="n">
        <v>3137</v>
      </c>
      <c r="B3141" s="16" t="inlineStr">
        <is>
          <t>Backend</t>
        </is>
      </c>
      <c r="C3141" s="17" t="inlineStr">
        <is>
          <t>ai-chatbox-service</t>
        </is>
      </c>
      <c r="D3141" s="16" t="inlineStr">
        <is>
          <t>Integration</t>
        </is>
      </c>
      <c r="E3141" s="17" t="inlineStr">
        <is>
          <t>KnowledgeSeederIT</t>
        </is>
      </c>
      <c r="F3141" s="17" t="inlineStr"/>
      <c r="G3141" s="17" t="inlineStr">
        <is>
          <t>ket noi giu khoa duoc tra ca khi nhung hong</t>
        </is>
      </c>
      <c r="H3141" s="17" t="inlineStr">
        <is>
          <t>ket_noi_giu_khoa_duoc_tra_ca_khi_nhung_hong</t>
        </is>
      </c>
      <c r="I3141" s="16" t="inlineStr">
        <is>
          <t>Đạt</t>
        </is>
      </c>
      <c r="J3141" s="16" t="n">
        <v>0.017</v>
      </c>
    </row>
    <row r="3142">
      <c r="A3142" s="16" t="n">
        <v>3138</v>
      </c>
      <c r="B3142" s="16" t="inlineStr">
        <is>
          <t>Backend</t>
        </is>
      </c>
      <c r="C3142" s="17" t="inlineStr">
        <is>
          <t>ai-chatbox-service</t>
        </is>
      </c>
      <c r="D3142" s="16" t="inlineStr">
        <is>
          <t>Integration</t>
        </is>
      </c>
      <c r="E3142" s="17" t="inlineStr">
        <is>
          <t>KnowledgeSeederIT</t>
        </is>
      </c>
      <c r="F3142" s="17" t="inlineStr"/>
      <c r="G3142" s="17" t="inlineStr">
        <is>
          <t>lot khoa thi unique index van chan trung</t>
        </is>
      </c>
      <c r="H3142" s="17" t="inlineStr">
        <is>
          <t>lot_khoa_thi_unique_index_van_chan_trung</t>
        </is>
      </c>
      <c r="I3142" s="16" t="inlineStr">
        <is>
          <t>Đạt</t>
        </is>
      </c>
      <c r="J3142" s="16" t="n">
        <v>0.876</v>
      </c>
    </row>
    <row r="3143">
      <c r="A3143" s="16" t="n">
        <v>3139</v>
      </c>
      <c r="B3143" s="16" t="inlineStr">
        <is>
          <t>Backend</t>
        </is>
      </c>
      <c r="C3143" s="17" t="inlineStr">
        <is>
          <t>ai-chatbox-service</t>
        </is>
      </c>
      <c r="D3143" s="16" t="inlineStr">
        <is>
          <t>Integration</t>
        </is>
      </c>
      <c r="E3143" s="17" t="inlineStr">
        <is>
          <t>KnowledgeSeederIT</t>
        </is>
      </c>
      <c r="F3143" s="17" t="inlineStr"/>
      <c r="G3143" s="17" t="inlineStr">
        <is>
          <t>kho trong thi nap day du va tim lai duoc</t>
        </is>
      </c>
      <c r="H3143" s="17" t="inlineStr">
        <is>
          <t>kho_trong_thi_nap_day_du_va_tim_lai_duoc</t>
        </is>
      </c>
      <c r="I3143" s="16" t="inlineStr">
        <is>
          <t>Đạt</t>
        </is>
      </c>
      <c r="J3143" s="16" t="n">
        <v>0.082</v>
      </c>
    </row>
    <row r="3144">
      <c r="A3144" s="16" t="n">
        <v>3140</v>
      </c>
      <c r="B3144" s="16" t="inlineStr">
        <is>
          <t>Backend</t>
        </is>
      </c>
      <c r="C3144" s="17" t="inlineStr">
        <is>
          <t>ai-chatbox-service</t>
        </is>
      </c>
      <c r="D3144" s="16" t="inlineStr">
        <is>
          <t>Integration</t>
        </is>
      </c>
      <c r="E3144" s="17" t="inlineStr">
        <is>
          <t>KnowledgeSeederIT</t>
        </is>
      </c>
      <c r="F3144" s="17" t="inlineStr"/>
      <c r="G3144" s="17" t="inlineStr">
        <is>
          <t>hai seeder song song cho dung mot bo tri thuc nen</t>
        </is>
      </c>
      <c r="H3144" s="17" t="inlineStr">
        <is>
          <t>hai_seeder_song_song_cho_dung_mot_bo_tri_thuc_nen</t>
        </is>
      </c>
      <c r="I3144" s="16" t="inlineStr">
        <is>
          <t>Đạt</t>
        </is>
      </c>
      <c r="J3144" s="16" t="n">
        <v>2.96</v>
      </c>
    </row>
    <row r="3145">
      <c r="A3145" s="16" t="n">
        <v>3141</v>
      </c>
      <c r="B3145" s="16" t="inlineStr">
        <is>
          <t>Backend</t>
        </is>
      </c>
      <c r="C3145" s="17" t="inlineStr">
        <is>
          <t>ai-chatbox-service</t>
        </is>
      </c>
      <c r="D3145" s="16" t="inlineStr">
        <is>
          <t>Integration</t>
        </is>
      </c>
      <c r="E3145" s="17" t="inlineStr">
        <is>
          <t>KnowledgeSeederIT</t>
        </is>
      </c>
      <c r="F3145" s="17" t="inlineStr"/>
      <c r="G3145" s="17" t="inlineStr">
        <is>
          <t>kho da co doan su kien va doan tu soan van nap du tri thuc nen</t>
        </is>
      </c>
      <c r="H3145" s="17" t="inlineStr">
        <is>
          <t>kho_da_co_doan_su_kien_va_doan_tu_soan_van_nap_du_tri_thuc_nen</t>
        </is>
      </c>
      <c r="I3145" s="16" t="inlineStr">
        <is>
          <t>Đạt</t>
        </is>
      </c>
      <c r="J3145" s="16" t="n">
        <v>0.048</v>
      </c>
    </row>
    <row r="3146">
      <c r="A3146" s="16" t="n">
        <v>3142</v>
      </c>
      <c r="B3146" s="16" t="inlineStr">
        <is>
          <t>Backend</t>
        </is>
      </c>
      <c r="C3146" s="17" t="inlineStr">
        <is>
          <t>ai-chatbox-service</t>
        </is>
      </c>
      <c r="D3146" s="16" t="inlineStr">
        <is>
          <t>Integration</t>
        </is>
      </c>
      <c r="E3146" s="17" t="inlineStr">
        <is>
          <t>KnowledgeSeederIT</t>
        </is>
      </c>
      <c r="F3146" s="17" t="inlineStr"/>
      <c r="G3146" s="17" t="inlineStr">
        <is>
          <t>lan dau hong o doan thu 4 thi lan sau nap tiep phan con lai</t>
        </is>
      </c>
      <c r="H3146" s="17" t="inlineStr">
        <is>
          <t>lan_dau_hong_o_doan_thu_4_thi_lan_sau_nap_tiep_phan_con_lai</t>
        </is>
      </c>
      <c r="I3146" s="16" t="inlineStr">
        <is>
          <t>Đạt</t>
        </is>
      </c>
      <c r="J3146" s="16" t="n">
        <v>0.058</v>
      </c>
    </row>
    <row r="3147">
      <c r="A3147" s="16" t="n">
        <v>3143</v>
      </c>
      <c r="B3147" s="16" t="inlineStr">
        <is>
          <t>Backend</t>
        </is>
      </c>
      <c r="C3147" s="17" t="inlineStr">
        <is>
          <t>ai-chatbox-service</t>
        </is>
      </c>
      <c r="D3147" s="16" t="inlineStr">
        <is>
          <t>Integration</t>
        </is>
      </c>
      <c r="E3147" s="17" t="inlineStr">
        <is>
          <t>KnowledgeSeederIT</t>
        </is>
      </c>
      <c r="F3147" s="17" t="inlineStr"/>
      <c r="G3147" s="17" t="inlineStr">
        <is>
          <t>kho da du thi khong nhung lan nao</t>
        </is>
      </c>
      <c r="H3147" s="17" t="inlineStr">
        <is>
          <t>kho_da_du_thi_khong_nhung_lan_nao</t>
        </is>
      </c>
      <c r="I3147" s="16" t="inlineStr">
        <is>
          <t>Đạt</t>
        </is>
      </c>
      <c r="J3147" s="16" t="n">
        <v>0.057</v>
      </c>
    </row>
    <row r="3148">
      <c r="A3148" s="16" t="n">
        <v>3144</v>
      </c>
      <c r="B3148" s="16" t="inlineStr">
        <is>
          <t>Backend</t>
        </is>
      </c>
      <c r="C3148" s="17" t="inlineStr">
        <is>
          <t>ai-chatbox-service</t>
        </is>
      </c>
      <c r="D3148" s="16" t="inlineStr">
        <is>
          <t>Integration</t>
        </is>
      </c>
      <c r="E3148" s="17" t="inlineStr">
        <is>
          <t>KnowledgeSeedMigrationIT</t>
        </is>
      </c>
      <c r="F3148" s="17" t="inlineStr"/>
      <c r="G3148" s="17" t="inlineStr">
        <is>
          <t>xoa ban trung hoan toan doi ten ban khac noi dung roi tao index</t>
        </is>
      </c>
      <c r="H3148" s="17" t="inlineStr">
        <is>
          <t>xoa_ban_trung_hoan_toan_doi_ten_ban_khac_noi_dung_roi_tao_index</t>
        </is>
      </c>
      <c r="I3148" s="16" t="inlineStr">
        <is>
          <t>Đạt</t>
        </is>
      </c>
      <c r="J3148" s="16" t="n">
        <v>0.07000000000000001</v>
      </c>
    </row>
    <row r="3149">
      <c r="A3149" s="16" t="n">
        <v>3145</v>
      </c>
      <c r="B3149" s="16" t="inlineStr">
        <is>
          <t>Backend</t>
        </is>
      </c>
      <c r="C3149" s="17" t="inlineStr">
        <is>
          <t>ai-chatbox-service</t>
        </is>
      </c>
      <c r="D3149" s="16" t="inlineStr">
        <is>
          <t>Integration</t>
        </is>
      </c>
      <c r="E3149" s="17" t="inlineStr">
        <is>
          <t>ChatIdempotencyIT</t>
        </is>
      </c>
      <c r="F3149" s="17" t="inlineStr"/>
      <c r="G3149" s="17" t="inlineStr">
        <is>
          <t>hong thi nha khoa de gui lai duoc ngay</t>
        </is>
      </c>
      <c r="H3149" s="17" t="inlineStr">
        <is>
          <t>hong_thi_nha_khoa_de_gui_lai_duoc_ngay</t>
        </is>
      </c>
      <c r="I3149" s="16" t="inlineStr">
        <is>
          <t>Đạt</t>
        </is>
      </c>
      <c r="J3149" s="16" t="n">
        <v>0.022</v>
      </c>
    </row>
    <row r="3150">
      <c r="A3150" s="16" t="n">
        <v>3146</v>
      </c>
      <c r="B3150" s="16" t="inlineStr">
        <is>
          <t>Backend</t>
        </is>
      </c>
      <c r="C3150" s="17" t="inlineStr">
        <is>
          <t>ai-chatbox-service</t>
        </is>
      </c>
      <c r="D3150" s="16" t="inlineStr">
        <is>
          <t>Integration</t>
        </is>
      </c>
      <c r="E3150" s="17" t="inlineStr">
        <is>
          <t>ChatIdempotencyIT</t>
        </is>
      </c>
      <c r="F3150" s="17" t="inlineStr"/>
      <c r="G3150" s="17" t="inlineStr">
        <is>
          <t>khoa tach theo nguoi dung</t>
        </is>
      </c>
      <c r="H3150" s="17" t="inlineStr">
        <is>
          <t>khoa_tach_theo_nguoi_dung</t>
        </is>
      </c>
      <c r="I3150" s="16" t="inlineStr">
        <is>
          <t>Đạt</t>
        </is>
      </c>
      <c r="J3150" s="16" t="n">
        <v>0.014</v>
      </c>
    </row>
    <row r="3151">
      <c r="A3151" s="16" t="n">
        <v>3147</v>
      </c>
      <c r="B3151" s="16" t="inlineStr">
        <is>
          <t>Backend</t>
        </is>
      </c>
      <c r="C3151" s="17" t="inlineStr">
        <is>
          <t>ai-chatbox-service</t>
        </is>
      </c>
      <c r="D3151" s="16" t="inlineStr">
        <is>
          <t>Integration</t>
        </is>
      </c>
      <c r="E3151" s="17" t="inlineStr">
        <is>
          <t>ChatIdempotencyIT</t>
        </is>
      </c>
      <c r="F3151" s="17" t="inlineStr"/>
      <c r="G3151" s="17" t="inlineStr">
        <is>
          <t>cung khoa nhung khac noi dung thi 409</t>
        </is>
      </c>
      <c r="H3151" s="17" t="inlineStr">
        <is>
          <t>cung_khoa_nhung_khac_noi_dung_thi_409</t>
        </is>
      </c>
      <c r="I3151" s="16" t="inlineStr">
        <is>
          <t>Đạt</t>
        </is>
      </c>
      <c r="J3151" s="16" t="n">
        <v>0.378</v>
      </c>
    </row>
    <row r="3152">
      <c r="A3152" s="16" t="n">
        <v>3148</v>
      </c>
      <c r="B3152" s="16" t="inlineStr">
        <is>
          <t>Backend</t>
        </is>
      </c>
      <c r="C3152" s="17" t="inlineStr">
        <is>
          <t>ai-chatbox-service</t>
        </is>
      </c>
      <c r="D3152" s="16" t="inlineStr">
        <is>
          <t>Integration</t>
        </is>
      </c>
      <c r="E3152" s="17" t="inlineStr">
        <is>
          <t>ChatIdempotencyIT</t>
        </is>
      </c>
      <c r="F3152" s="17" t="inlineStr"/>
      <c r="G3152" s="17" t="inlineStr">
        <is>
          <t>lan dau thi duoc chay</t>
        </is>
      </c>
      <c r="H3152" s="17" t="inlineStr">
        <is>
          <t>lan_dau_thi_duoc_chay</t>
        </is>
      </c>
      <c r="I3152" s="16" t="inlineStr">
        <is>
          <t>Đạt</t>
        </is>
      </c>
      <c r="J3152" s="16" t="n">
        <v>0.015</v>
      </c>
    </row>
    <row r="3153">
      <c r="A3153" s="16" t="n">
        <v>3149</v>
      </c>
      <c r="B3153" s="16" t="inlineStr">
        <is>
          <t>Backend</t>
        </is>
      </c>
      <c r="C3153" s="17" t="inlineStr">
        <is>
          <t>ai-chatbox-service</t>
        </is>
      </c>
      <c r="D3153" s="16" t="inlineStr">
        <is>
          <t>Integration</t>
        </is>
      </c>
      <c r="E3153" s="17" t="inlineStr">
        <is>
          <t>ChatIdempotencyIT</t>
        </is>
      </c>
      <c r="F3153" s="17" t="inlineStr"/>
      <c r="G3153" s="17" t="inlineStr">
        <is>
          <t>gui lai dung cau hoi do thi nhan lai cau tra loi cu</t>
        </is>
      </c>
      <c r="H3153" s="17" t="inlineStr">
        <is>
          <t>gui_lai_dung_cau_hoi_do_thi_nhan_lai_cau_tra_loi_cu</t>
        </is>
      </c>
      <c r="I3153" s="16" t="inlineStr">
        <is>
          <t>Đạt</t>
        </is>
      </c>
      <c r="J3153" s="16" t="n">
        <v>0.03</v>
      </c>
    </row>
    <row r="3154">
      <c r="A3154" s="16" t="n">
        <v>3150</v>
      </c>
      <c r="B3154" s="16" t="inlineStr">
        <is>
          <t>Backend</t>
        </is>
      </c>
      <c r="C3154" s="17" t="inlineStr">
        <is>
          <t>ai-chatbox-service</t>
        </is>
      </c>
      <c r="D3154" s="16" t="inlineStr">
        <is>
          <t>Integration</t>
        </is>
      </c>
      <c r="E3154" s="17" t="inlineStr">
        <is>
          <t>ChatIdempotencyIT</t>
        </is>
      </c>
      <c r="F3154" s="17" t="inlineStr"/>
      <c r="G3154" s="17" t="inlineStr">
        <is>
          <t>luot truoc chua xong thi bao dang xu ly</t>
        </is>
      </c>
      <c r="H3154" s="17" t="inlineStr">
        <is>
          <t>luot_truoc_chua_xong_thi_bao_dang_xu_ly</t>
        </is>
      </c>
      <c r="I3154" s="16" t="inlineStr">
        <is>
          <t>Đạt</t>
        </is>
      </c>
      <c r="J3154" s="16" t="n">
        <v>0.015</v>
      </c>
    </row>
    <row r="3155">
      <c r="A3155" s="16" t="n">
        <v>3151</v>
      </c>
      <c r="B3155" s="16" t="inlineStr">
        <is>
          <t>Backend</t>
        </is>
      </c>
      <c r="C3155" s="17" t="inlineStr">
        <is>
          <t>analytics-service</t>
        </is>
      </c>
      <c r="D3155" s="16" t="inlineStr">
        <is>
          <t>Integration</t>
        </is>
      </c>
      <c r="E3155" s="17" t="inlineStr">
        <is>
          <t>SalesReadModelIT</t>
        </is>
      </c>
      <c r="F3155" s="17" t="inlineStr"/>
      <c r="G3155" s="17" t="inlineStr">
        <is>
          <t>Sự kiện đến ĐẢO THỨ TỰ vẫn cho tổng đúng</t>
        </is>
      </c>
      <c r="H3155" s="17" t="inlineStr">
        <is>
          <t>dao_thu_tu_van_dung</t>
        </is>
      </c>
      <c r="I3155" s="16" t="inlineStr">
        <is>
          <t>Đạt</t>
        </is>
      </c>
      <c r="J3155" s="16" t="n">
        <v>1.085</v>
      </c>
    </row>
    <row r="3156">
      <c r="A3156" s="16" t="n">
        <v>3152</v>
      </c>
      <c r="B3156" s="16" t="inlineStr">
        <is>
          <t>Backend</t>
        </is>
      </c>
      <c r="C3156" s="17" t="inlineStr">
        <is>
          <t>analytics-service</t>
        </is>
      </c>
      <c r="D3156" s="16" t="inlineStr">
        <is>
          <t>Integration</t>
        </is>
      </c>
      <c r="E3156" s="17" t="inlineStr">
        <is>
          <t>SalesReadModelIT</t>
        </is>
      </c>
      <c r="F3156" s="17" t="inlineStr"/>
      <c r="G3156" s="17" t="inlineStr">
        <is>
          <t>Đọc theo sự kiện: gom mọi suất của nó, và chỉ của nó</t>
        </is>
      </c>
      <c r="H3156" s="17" t="inlineStr">
        <is>
          <t>doc_theo_su_kien</t>
        </is>
      </c>
      <c r="I3156" s="16" t="inlineStr">
        <is>
          <t>Đạt</t>
        </is>
      </c>
      <c r="J3156" s="16" t="n">
        <v>0.034</v>
      </c>
    </row>
    <row r="3157">
      <c r="A3157" s="16" t="n">
        <v>3153</v>
      </c>
      <c r="B3157" s="16" t="inlineStr">
        <is>
          <t>Backend</t>
        </is>
      </c>
      <c r="C3157" s="17" t="inlineStr">
        <is>
          <t>analytics-service</t>
        </is>
      </c>
      <c r="D3157" s="16" t="inlineStr">
        <is>
          <t>Integration</t>
        </is>
      </c>
      <c r="E3157" s="17" t="inlineStr">
        <is>
          <t>SalesReadModelIT</t>
        </is>
      </c>
      <c r="F3157" s="17" t="inlineStr"/>
      <c r="G3157" s="17" t="inlineStr">
        <is>
          <t>Hoàn tiền TRỪ ngược, không xoá dòng khỏi báo cáo</t>
        </is>
      </c>
      <c r="H3157" s="17" t="inlineStr">
        <is>
          <t>hoan_tien_tru_nguoc</t>
        </is>
      </c>
      <c r="I3157" s="16" t="inlineStr">
        <is>
          <t>Đạt</t>
        </is>
      </c>
      <c r="J3157" s="16" t="n">
        <v>0.015</v>
      </c>
    </row>
    <row r="3158">
      <c r="A3158" s="16" t="n">
        <v>3154</v>
      </c>
      <c r="B3158" s="16" t="inlineStr">
        <is>
          <t>Backend</t>
        </is>
      </c>
      <c r="C3158" s="17" t="inlineStr">
        <is>
          <t>analytics-service</t>
        </is>
      </c>
      <c r="D3158" s="16" t="inlineStr">
        <is>
          <t>Integration</t>
        </is>
      </c>
      <c r="E3158" s="17" t="inlineStr">
        <is>
          <t>SalesReadModelIT</t>
        </is>
      </c>
      <c r="F3158" s="17" t="inlineStr"/>
      <c r="G3158" s="17" t="inlineStr">
        <is>
          <t>Dashboard tổ chức cộng đúng nhiều suất diễn</t>
        </is>
      </c>
      <c r="H3158" s="17" t="inlineStr">
        <is>
          <t>dashboard_cong_nhieu_suat</t>
        </is>
      </c>
      <c r="I3158" s="16" t="inlineStr">
        <is>
          <t>Đạt</t>
        </is>
      </c>
      <c r="J3158" s="16" t="n">
        <v>0.02</v>
      </c>
    </row>
    <row r="3159">
      <c r="A3159" s="16" t="n">
        <v>3155</v>
      </c>
      <c r="B3159" s="16" t="inlineStr">
        <is>
          <t>Backend</t>
        </is>
      </c>
      <c r="C3159" s="17" t="inlineStr">
        <is>
          <t>analytics-service</t>
        </is>
      </c>
      <c r="D3159" s="16" t="inlineStr">
        <is>
          <t>Integration</t>
        </is>
      </c>
      <c r="E3159" s="17" t="inlineStr">
        <is>
          <t>SalesReadModelIT</t>
        </is>
      </c>
      <c r="F3159" s="17" t="inlineStr"/>
      <c r="G3159" s="17" t="inlineStr">
        <is>
          <t>Cộng dồn nhiều đơn cho ra tổng đúng</t>
        </is>
      </c>
      <c r="H3159" s="17" t="inlineStr">
        <is>
          <t>cong_don_nhieu_don</t>
        </is>
      </c>
      <c r="I3159" s="16" t="inlineStr">
        <is>
          <t>Đạt</t>
        </is>
      </c>
      <c r="J3159" s="16" t="n">
        <v>0.016</v>
      </c>
    </row>
    <row r="3160">
      <c r="A3160" s="16" t="n">
        <v>3156</v>
      </c>
      <c r="B3160" s="16" t="inlineStr">
        <is>
          <t>Backend</t>
        </is>
      </c>
      <c r="C3160" s="17" t="inlineStr">
        <is>
          <t>analytics-service</t>
        </is>
      </c>
      <c r="D3160" s="16" t="inlineStr">
        <is>
          <t>Integration</t>
        </is>
      </c>
      <c r="E3160" s="17" t="inlineStr">
        <is>
          <t>SalesReadModelIT</t>
        </is>
      </c>
      <c r="F3160" s="17" t="inlineStr"/>
      <c r="G3160" s="17" t="inlineStr">
        <is>
          <t>Read model KHÔNG có cột hoa hồng — ranh giới cứng của ADR-1010</t>
        </is>
      </c>
      <c r="H3160" s="17" t="inlineStr">
        <is>
          <t>khong_co_cot_hoa_hong</t>
        </is>
      </c>
      <c r="I3160" s="16" t="inlineStr">
        <is>
          <t>Đạt</t>
        </is>
      </c>
      <c r="J3160" s="16" t="n">
        <v>0.036</v>
      </c>
    </row>
    <row r="3161">
      <c r="A3161" s="16" t="n">
        <v>3157</v>
      </c>
      <c r="B3161" s="16" t="inlineStr">
        <is>
          <t>Backend</t>
        </is>
      </c>
      <c r="C3161" s="17" t="inlineStr">
        <is>
          <t>analytics-service</t>
        </is>
      </c>
      <c r="D3161" s="16" t="inlineStr">
        <is>
          <t>Integration</t>
        </is>
      </c>
      <c r="E3161" s="17" t="inlineStr">
        <is>
          <t>SalesReadModelIT</t>
        </is>
      </c>
      <c r="F3161" s="17" t="inlineStr"/>
      <c r="G3161" s="17" t="inlineStr">
        <is>
          <t>Cùng một sự kiện xử lý lại: KHÔNG cộng lần hai</t>
        </is>
      </c>
      <c r="H3161" s="17" t="inlineStr">
        <is>
          <t>xu_ly_lai_khong_cong_lan_hai</t>
        </is>
      </c>
      <c r="I3161" s="16" t="inlineStr">
        <is>
          <t>Đạt</t>
        </is>
      </c>
      <c r="J3161" s="16" t="n">
        <v>0.019</v>
      </c>
    </row>
    <row r="3162">
      <c r="A3162" s="16" t="n">
        <v>3158</v>
      </c>
      <c r="B3162" s="16" t="inlineStr">
        <is>
          <t>Backend</t>
        </is>
      </c>
      <c r="C3162" s="17" t="inlineStr">
        <is>
          <t>api-gateway</t>
        </is>
      </c>
      <c r="D3162" s="16" t="inlineStr">
        <is>
          <t>Integration</t>
        </is>
      </c>
      <c r="E3162" s="17" t="inlineStr">
        <is>
          <t>GatewayRoutingIT</t>
        </is>
      </c>
      <c r="F3162" s="17" t="inlineStr"/>
      <c r="G3162" s="17" t="inlineStr">
        <is>
          <t>bàn hỗ trợ của nhân viên không bị bóp xuống tốc độ gõ phím</t>
        </is>
      </c>
      <c r="H3162" s="17" t="inlineStr">
        <is>
          <t>ban_ho_tro_khong_bi_bop</t>
        </is>
      </c>
      <c r="I3162" s="16" t="inlineStr">
        <is>
          <t>Đạt</t>
        </is>
      </c>
      <c r="J3162" s="16" t="n">
        <v>1.175</v>
      </c>
    </row>
    <row r="3163">
      <c r="A3163" s="16" t="n">
        <v>3159</v>
      </c>
      <c r="B3163" s="16" t="inlineStr">
        <is>
          <t>Backend</t>
        </is>
      </c>
      <c r="C3163" s="17" t="inlineStr">
        <is>
          <t>api-gateway</t>
        </is>
      </c>
      <c r="D3163" s="16" t="inlineStr">
        <is>
          <t>Integration</t>
        </is>
      </c>
      <c r="E3163" s="17" t="inlineStr">
        <is>
          <t>GatewayRoutingIT</t>
        </is>
      </c>
      <c r="F3163" s="17" t="inlineStr"/>
      <c r="G3163" s="17" t="inlineStr">
        <is>
          <t>/internal/** KHÔNG có route nào — đây là ranh giới bảo mật, không phải thiếu sót</t>
        </is>
      </c>
      <c r="H3163" s="17" t="inlineStr">
        <is>
          <t>internal_khong_lo_ra_ngoai</t>
        </is>
      </c>
      <c r="I3163" s="16" t="inlineStr">
        <is>
          <t>Đạt</t>
        </is>
      </c>
      <c r="J3163" s="16" t="n">
        <v>0.014</v>
      </c>
    </row>
    <row r="3164">
      <c r="A3164" s="16" t="n">
        <v>3160</v>
      </c>
      <c r="B3164" s="16" t="inlineStr">
        <is>
          <t>Backend</t>
        </is>
      </c>
      <c r="C3164" s="17" t="inlineStr">
        <is>
          <t>api-gateway</t>
        </is>
      </c>
      <c r="D3164" s="16" t="inlineStr">
        <is>
          <t>Integration</t>
        </is>
      </c>
      <c r="E3164" s="17" t="inlineStr">
        <is>
          <t>GatewayRoutingIT</t>
        </is>
      </c>
      <c r="F3164" s="17" t="inlineStr"/>
      <c r="G3164" s="17" t="inlineStr">
        <is>
          <t>lượt GIÀNH GHẾ đi vào route có hạn mức riêng, không rơi vào route inventory chung</t>
        </is>
      </c>
      <c r="H3164" s="17" t="inlineStr">
        <is>
          <t>hold_create_co_han_muc_rieng</t>
        </is>
      </c>
      <c r="I3164" s="16" t="inlineStr">
        <is>
          <t>Đạt</t>
        </is>
      </c>
      <c r="J3164" s="16" t="n">
        <v>0.013</v>
      </c>
    </row>
    <row r="3165">
      <c r="A3165" s="16" t="n">
        <v>3161</v>
      </c>
      <c r="B3165" s="16" t="inlineStr">
        <is>
          <t>Backend</t>
        </is>
      </c>
      <c r="C3165" s="17" t="inlineStr">
        <is>
          <t>api-gateway</t>
        </is>
      </c>
      <c r="D3165" s="16" t="inlineStr">
        <is>
          <t>Integration</t>
        </is>
      </c>
      <c r="E3165" s="17" t="inlineStr">
        <is>
          <t>GatewayRoutingIT</t>
        </is>
      </c>
      <c r="F3165" s="17" t="inlineStr"/>
      <c r="G3165" s="17" t="inlineStr">
        <is>
          <t>NHẢ ghế không bị bóp — đường này trả ghế về cho người khác mua</t>
        </is>
      </c>
      <c r="H3165" s="17" t="inlineStr">
        <is>
          <t>nha_ghe_khong_bi_bop</t>
        </is>
      </c>
      <c r="I3165" s="16" t="inlineStr">
        <is>
          <t>Đạt</t>
        </is>
      </c>
      <c r="J3165" s="16" t="n">
        <v>0.012</v>
      </c>
    </row>
    <row r="3166">
      <c r="A3166" s="16" t="n">
        <v>3162</v>
      </c>
      <c r="B3166" s="16" t="inlineStr">
        <is>
          <t>Backend</t>
        </is>
      </c>
      <c r="C3166" s="17" t="inlineStr">
        <is>
          <t>api-gateway</t>
        </is>
      </c>
      <c r="D3166" s="16" t="inlineStr">
        <is>
          <t>Integration</t>
        </is>
      </c>
      <c r="E3166" s="17" t="inlineStr">
        <is>
          <t>GatewayRoutingIT</t>
        </is>
      </c>
      <c r="F3166" s="17" t="inlineStr"/>
      <c r="G3166" s="17" t="inlineStr">
        <is>
          <t>ĐỌC sơ đồ ghế KHÔNG bị dính hạn mức của lượt giành ghế</t>
        </is>
      </c>
      <c r="H3166" s="17" t="inlineStr">
        <is>
          <t>doc_so_do_khong_bi_bop</t>
        </is>
      </c>
      <c r="I3166" s="16" t="inlineStr">
        <is>
          <t>Đạt</t>
        </is>
      </c>
      <c r="J3166" s="16" t="n">
        <v>0.012</v>
      </c>
    </row>
    <row r="3167">
      <c r="A3167" s="16" t="n">
        <v>3163</v>
      </c>
      <c r="B3167" s="16" t="inlineStr">
        <is>
          <t>Backend</t>
        </is>
      </c>
      <c r="C3167" s="17" t="inlineStr">
        <is>
          <t>api-gateway</t>
        </is>
      </c>
      <c r="D3167" s="16" t="inlineStr">
        <is>
          <t>Integration</t>
        </is>
      </c>
      <c r="E3167" s="17" t="inlineStr">
        <is>
          <t>GatewayRoutingIT</t>
        </is>
      </c>
      <c r="F3167" s="17" t="inlineStr"/>
      <c r="G3167" s="17" t="inlineStr">
        <is>
          <t>thống kê của ban tổ chức tới đúng service, không rơi vào identity</t>
        </is>
      </c>
      <c r="H3167" s="17" t="inlineStr">
        <is>
          <t>thong_ke_cua_ban_to_chuc</t>
        </is>
      </c>
      <c r="I3167" s="16" t="inlineStr">
        <is>
          <t>Đạt</t>
        </is>
      </c>
      <c r="J3167" s="16" t="n">
        <v>0.018</v>
      </c>
    </row>
    <row r="3168">
      <c r="A3168" s="16" t="n">
        <v>3164</v>
      </c>
      <c r="B3168" s="16" t="inlineStr">
        <is>
          <t>Backend</t>
        </is>
      </c>
      <c r="C3168" s="17" t="inlineStr">
        <is>
          <t>api-gateway</t>
        </is>
      </c>
      <c r="D3168" s="16" t="inlineStr">
        <is>
          <t>Integration</t>
        </is>
      </c>
      <c r="E3168" s="17" t="inlineStr">
        <is>
          <t>GatewayRoutingIT</t>
        </is>
      </c>
      <c r="F3168" s="17" t="inlineStr"/>
      <c r="G3168" s="17" t="inlineStr">
        <is>
          <t>những cặp chồng lấn cũ vẫn đi đúng chỗ</t>
        </is>
      </c>
      <c r="H3168" s="17" t="inlineStr">
        <is>
          <t>cac_cap_chong_lan_cu</t>
        </is>
      </c>
      <c r="I3168" s="16" t="inlineStr">
        <is>
          <t>Đạt</t>
        </is>
      </c>
      <c r="J3168" s="16" t="n">
        <v>0.029</v>
      </c>
    </row>
    <row r="3169">
      <c r="A3169" s="16" t="n">
        <v>3165</v>
      </c>
      <c r="B3169" s="16" t="inlineStr">
        <is>
          <t>Backend</t>
        </is>
      </c>
      <c r="C3169" s="17" t="inlineStr">
        <is>
          <t>api-gateway</t>
        </is>
      </c>
      <c r="D3169" s="16" t="inlineStr">
        <is>
          <t>Integration</t>
        </is>
      </c>
      <c r="E3169" s="17" t="inlineStr">
        <is>
          <t>GatewayRoutingIT</t>
        </is>
      </c>
      <c r="F3169" s="17" t="inlineStr"/>
      <c r="G3169" s="17" t="inlineStr">
        <is>
          <t>lượt chat tốn tiền có hạn mức riêng, phần còn lại của trợ lý thì không</t>
        </is>
      </c>
      <c r="H3169" s="17" t="inlineStr">
        <is>
          <t>chat_ton_tien_co_han_muc_rieng</t>
        </is>
      </c>
      <c r="I3169" s="16" t="inlineStr">
        <is>
          <t>Đạt</t>
        </is>
      </c>
      <c r="J3169" s="16" t="n">
        <v>0.011</v>
      </c>
    </row>
    <row r="3170">
      <c r="A3170" s="16" t="n">
        <v>3166</v>
      </c>
      <c r="B3170" s="16" t="inlineStr">
        <is>
          <t>Backend</t>
        </is>
      </c>
      <c r="C3170" s="17" t="inlineStr">
        <is>
          <t>catalog-service</t>
        </is>
      </c>
      <c r="D3170" s="16" t="inlineStr">
        <is>
          <t>Integration</t>
        </is>
      </c>
      <c r="E3170" s="17" t="inlineStr">
        <is>
          <t>CatalogEditingIT</t>
        </is>
      </c>
      <c r="F3170" s="17" t="inlineStr"/>
      <c r="G3170" s="17" t="inlineStr">
        <is>
          <t>xoá hạng vé cuối cùng thì sự kiện quay lại trạng thái chưa bán được</t>
        </is>
      </c>
      <c r="H3170" s="17" t="inlineStr">
        <is>
          <t>xoa_hang_ve_cuoi_thi_chan_publish</t>
        </is>
      </c>
      <c r="I3170" s="16" t="inlineStr">
        <is>
          <t>Đạt</t>
        </is>
      </c>
      <c r="J3170" s="16" t="n">
        <v>1.588</v>
      </c>
    </row>
    <row r="3171">
      <c r="A3171" s="16" t="n">
        <v>3167</v>
      </c>
      <c r="B3171" s="16" t="inlineStr">
        <is>
          <t>Backend</t>
        </is>
      </c>
      <c r="C3171" s="17" t="inlineStr">
        <is>
          <t>catalog-service</t>
        </is>
      </c>
      <c r="D3171" s="16" t="inlineStr">
        <is>
          <t>Integration</t>
        </is>
      </c>
      <c r="E3171" s="17" t="inlineStr">
        <is>
          <t>CatalogEditingIT</t>
        </is>
      </c>
      <c r="F3171" s="17" t="inlineStr"/>
      <c r="G3171" s="17" t="inlineStr">
        <is>
          <t>hạng vé của sự kiện khác: 404, không sửa được xuyên sự kiện</t>
        </is>
      </c>
      <c r="H3171" s="17" t="inlineStr">
        <is>
          <t>khong_sua_duoc_xuyen_su_kien</t>
        </is>
      </c>
      <c r="I3171" s="16" t="inlineStr">
        <is>
          <t>Đạt</t>
        </is>
      </c>
      <c r="J3171" s="16" t="n">
        <v>0.218</v>
      </c>
    </row>
    <row r="3172">
      <c r="A3172" s="16" t="n">
        <v>3168</v>
      </c>
      <c r="B3172" s="16" t="inlineStr">
        <is>
          <t>Backend</t>
        </is>
      </c>
      <c r="C3172" s="17" t="inlineStr">
        <is>
          <t>catalog-service</t>
        </is>
      </c>
      <c r="D3172" s="16" t="inlineStr">
        <is>
          <t>Integration</t>
        </is>
      </c>
      <c r="E3172" s="17" t="inlineStr">
        <is>
          <t>CatalogEditingIT</t>
        </is>
      </c>
      <c r="F3172" s="17" t="inlineStr"/>
      <c r="G3172" s="17" t="inlineStr">
        <is>
          <t>sự kiện đã bán thì không xoá được — phải huỷ</t>
        </is>
      </c>
      <c r="H3172" s="17" t="inlineStr">
        <is>
          <t>da_ban_thi_khong_xoa_duoc</t>
        </is>
      </c>
      <c r="I3172" s="16" t="inlineStr">
        <is>
          <t>Đạt</t>
        </is>
      </c>
      <c r="J3172" s="16" t="n">
        <v>0.161</v>
      </c>
    </row>
    <row r="3173">
      <c r="A3173" s="16" t="n">
        <v>3169</v>
      </c>
      <c r="B3173" s="16" t="inlineStr">
        <is>
          <t>Backend</t>
        </is>
      </c>
      <c r="C3173" s="17" t="inlineStr">
        <is>
          <t>catalog-service</t>
        </is>
      </c>
      <c r="D3173" s="16" t="inlineStr">
        <is>
          <t>Integration</t>
        </is>
      </c>
      <c r="E3173" s="17" t="inlineStr">
        <is>
          <t>CatalogEditingIT</t>
        </is>
      </c>
      <c r="F3173" s="17" t="inlineStr"/>
      <c r="G3173" s="17" t="inlineStr">
        <is>
          <t>sửa giá hạng vé khi còn nháp</t>
        </is>
      </c>
      <c r="H3173" s="17" t="inlineStr">
        <is>
          <t>sua_gia_khi_con_nhap</t>
        </is>
      </c>
      <c r="I3173" s="16" t="inlineStr">
        <is>
          <t>Đạt</t>
        </is>
      </c>
      <c r="J3173" s="16" t="n">
        <v>0.126</v>
      </c>
    </row>
    <row r="3174">
      <c r="A3174" s="16" t="n">
        <v>3170</v>
      </c>
      <c r="B3174" s="16" t="inlineStr">
        <is>
          <t>Backend</t>
        </is>
      </c>
      <c r="C3174" s="17" t="inlineStr">
        <is>
          <t>catalog-service</t>
        </is>
      </c>
      <c r="D3174" s="16" t="inlineStr">
        <is>
          <t>Integration</t>
        </is>
      </c>
      <c r="E3174" s="17" t="inlineStr">
        <is>
          <t>CatalogEditingIT</t>
        </is>
      </c>
      <c r="F3174" s="17" t="inlineStr"/>
      <c r="G3174" s="17" t="inlineStr">
        <is>
          <t>đang bán thì không sửa được giá — phải rút xuống trước</t>
        </is>
      </c>
      <c r="H3174" s="17" t="inlineStr">
        <is>
          <t>dang_ban_thi_khong_sua_duoc</t>
        </is>
      </c>
      <c r="I3174" s="16" t="inlineStr">
        <is>
          <t>Đạt</t>
        </is>
      </c>
      <c r="J3174" s="16" t="n">
        <v>0.113</v>
      </c>
    </row>
    <row r="3175">
      <c r="A3175" s="16" t="n">
        <v>3171</v>
      </c>
      <c r="B3175" s="16" t="inlineStr">
        <is>
          <t>Backend</t>
        </is>
      </c>
      <c r="C3175" s="17" t="inlineStr">
        <is>
          <t>catalog-service</t>
        </is>
      </c>
      <c r="D3175" s="16" t="inlineStr">
        <is>
          <t>Integration</t>
        </is>
      </c>
      <c r="E3175" s="17" t="inlineStr">
        <is>
          <t>CatalogEditingIT</t>
        </is>
      </c>
      <c r="F3175" s="17" t="inlineStr"/>
      <c r="G3175" s="17" t="inlineStr">
        <is>
          <t>huỷ rồi thì khách không thấy nữa, và không huỷ lại được</t>
        </is>
      </c>
      <c r="H3175" s="17" t="inlineStr">
        <is>
          <t>huy_la_trang_thai_cuoi</t>
        </is>
      </c>
      <c r="I3175" s="16" t="inlineStr">
        <is>
          <t>Đạt</t>
        </is>
      </c>
      <c r="J3175" s="16" t="n">
        <v>0.142</v>
      </c>
    </row>
    <row r="3176">
      <c r="A3176" s="16" t="n">
        <v>3172</v>
      </c>
      <c r="B3176" s="16" t="inlineStr">
        <is>
          <t>Backend</t>
        </is>
      </c>
      <c r="C3176" s="17" t="inlineStr">
        <is>
          <t>catalog-service</t>
        </is>
      </c>
      <c r="D3176" s="16" t="inlineStr">
        <is>
          <t>Integration</t>
        </is>
      </c>
      <c r="E3176" s="17" t="inlineStr">
        <is>
          <t>CatalogEditingIT</t>
        </is>
      </c>
      <c r="F3176" s="17" t="inlineStr"/>
      <c r="G3176" s="17" t="inlineStr">
        <is>
          <t>xoá suất diễn kéo theo hạng vé của nó</t>
        </is>
      </c>
      <c r="H3176" s="17" t="inlineStr">
        <is>
          <t>xoa_suat_keo_theo_hang_ve</t>
        </is>
      </c>
      <c r="I3176" s="16" t="inlineStr">
        <is>
          <t>Đạt</t>
        </is>
      </c>
      <c r="J3176" s="16" t="n">
        <v>0.111</v>
      </c>
    </row>
    <row r="3177">
      <c r="A3177" s="16" t="n">
        <v>3173</v>
      </c>
      <c r="B3177" s="16" t="inlineStr">
        <is>
          <t>Backend</t>
        </is>
      </c>
      <c r="C3177" s="17" t="inlineStr">
        <is>
          <t>catalog-service</t>
        </is>
      </c>
      <c r="D3177" s="16" t="inlineStr">
        <is>
          <t>Integration</t>
        </is>
      </c>
      <c r="E3177" s="17" t="inlineStr">
        <is>
          <t>CatalogEditingIT</t>
        </is>
      </c>
      <c r="F3177" s="17" t="inlineStr"/>
      <c r="G3177" s="17" t="inlineStr">
        <is>
          <t>xoá bản nháp: xoá sạch cả suất diễn và hạng vé</t>
        </is>
      </c>
      <c r="H3177" s="17" t="inlineStr">
        <is>
          <t>xoa_ban_nhap</t>
        </is>
      </c>
      <c r="I3177" s="16" t="inlineStr">
        <is>
          <t>Đạt</t>
        </is>
      </c>
      <c r="J3177" s="16" t="n">
        <v>0.106</v>
      </c>
    </row>
    <row r="3178">
      <c r="A3178" s="16" t="n">
        <v>3174</v>
      </c>
      <c r="B3178" s="16" t="inlineStr">
        <is>
          <t>Backend</t>
        </is>
      </c>
      <c r="C3178" s="17" t="inlineStr">
        <is>
          <t>catalog-service</t>
        </is>
      </c>
      <c r="D3178" s="16" t="inlineStr">
        <is>
          <t>Integration</t>
        </is>
      </c>
      <c r="E3178" s="17" t="inlineStr">
        <is>
          <t>CatalogEditingIT</t>
        </is>
      </c>
      <c r="F3178" s="17" t="inlineStr"/>
      <c r="G3178" s="17" t="inlineStr">
        <is>
          <t>rút xuống rồi thì sửa được, publish lại được</t>
        </is>
      </c>
      <c r="H3178" s="17" t="inlineStr">
        <is>
          <t>rut_xuong_roi_sua_duoc</t>
        </is>
      </c>
      <c r="I3178" s="16" t="inlineStr">
        <is>
          <t>Đạt</t>
        </is>
      </c>
      <c r="J3178" s="16" t="n">
        <v>0.155</v>
      </c>
    </row>
    <row r="3179">
      <c r="A3179" s="16" t="n">
        <v>3175</v>
      </c>
      <c r="B3179" s="16" t="inlineStr">
        <is>
          <t>Backend</t>
        </is>
      </c>
      <c r="C3179" s="17" t="inlineStr">
        <is>
          <t>catalog-service</t>
        </is>
      </c>
      <c r="D3179" s="16" t="inlineStr">
        <is>
          <t>Integration</t>
        </is>
      </c>
      <c r="E3179" s="17" t="inlineStr">
        <is>
          <t>CatalogFlowIT</t>
        </is>
      </c>
      <c r="F3179" s="17" t="inlineStr"/>
      <c r="G3179" s="17" t="inlineStr">
        <is>
          <t>gửi lại hình học cho Inventory: thêm một message, sự kiện vẫn đang bán</t>
        </is>
      </c>
      <c r="H3179" s="17" t="inlineStr">
        <is>
          <t>gui_lai_hinh_hoc</t>
        </is>
      </c>
      <c r="I3179" s="16" t="inlineStr">
        <is>
          <t>Đạt</t>
        </is>
      </c>
      <c r="J3179" s="16" t="n">
        <v>0.206</v>
      </c>
    </row>
    <row r="3180">
      <c r="A3180" s="16" t="n">
        <v>3176</v>
      </c>
      <c r="B3180" s="16" t="inlineStr">
        <is>
          <t>Backend</t>
        </is>
      </c>
      <c r="C3180" s="17" t="inlineStr">
        <is>
          <t>catalog-service</t>
        </is>
      </c>
      <c r="D3180" s="16" t="inlineStr">
        <is>
          <t>Integration</t>
        </is>
      </c>
      <c r="E3180" s="17" t="inlineStr">
        <is>
          <t>CatalogFlowIT</t>
        </is>
      </c>
      <c r="F3180" s="17" t="inlineStr"/>
      <c r="G3180" s="17" t="inlineStr">
        <is>
          <t>nhân viên check-in thấy suất đã từng publish nhưng không thấy bản nháp</t>
        </is>
      </c>
      <c r="H3180" s="17" t="inlineStr">
        <is>
          <t>staff_chon_suat_checkin</t>
        </is>
      </c>
      <c r="I3180" s="16" t="inlineStr">
        <is>
          <t>Đạt</t>
        </is>
      </c>
      <c r="J3180" s="16" t="n">
        <v>0.139</v>
      </c>
    </row>
    <row r="3181">
      <c r="A3181" s="16" t="n">
        <v>3177</v>
      </c>
      <c r="B3181" s="16" t="inlineStr">
        <is>
          <t>Backend</t>
        </is>
      </c>
      <c r="C3181" s="17" t="inlineStr">
        <is>
          <t>catalog-service</t>
        </is>
      </c>
      <c r="D3181" s="16" t="inlineStr">
        <is>
          <t>Integration</t>
        </is>
      </c>
      <c r="E3181" s="17" t="inlineStr">
        <is>
          <t>CatalogFlowIT</t>
        </is>
      </c>
      <c r="F3181" s="17" t="inlineStr"/>
      <c r="G3181" s="17" t="inlineStr">
        <is>
          <t>danh sách công khai không cần đăng nhập</t>
        </is>
      </c>
      <c r="H3181" s="17" t="inlineStr">
        <is>
          <t>danh_sach_cong_khai_mo</t>
        </is>
      </c>
      <c r="I3181" s="16" t="inlineStr">
        <is>
          <t>Đạt</t>
        </is>
      </c>
      <c r="J3181" s="16" t="n">
        <v>0.038</v>
      </c>
    </row>
    <row r="3182">
      <c r="A3182" s="16" t="n">
        <v>3178</v>
      </c>
      <c r="B3182" s="16" t="inlineStr">
        <is>
          <t>Backend</t>
        </is>
      </c>
      <c r="C3182" s="17" t="inlineStr">
        <is>
          <t>catalog-service</t>
        </is>
      </c>
      <c r="D3182" s="16" t="inlineStr">
        <is>
          <t>Integration</t>
        </is>
      </c>
      <c r="E3182" s="17" t="inlineStr">
        <is>
          <t>CatalogFlowIT</t>
        </is>
      </c>
      <c r="F3182" s="17" t="inlineStr"/>
      <c r="G3182" s="17" t="inlineStr">
        <is>
          <t>khai giá hai lần cho cùng một khu: 409, không phải 500</t>
        </is>
      </c>
      <c r="H3182" s="17" t="inlineStr">
        <is>
          <t>khai_gia_trung_khu</t>
        </is>
      </c>
      <c r="I3182" s="16" t="inlineStr">
        <is>
          <t>Đạt</t>
        </is>
      </c>
      <c r="J3182" s="16" t="n">
        <v>0.102</v>
      </c>
    </row>
    <row r="3183">
      <c r="A3183" s="16" t="n">
        <v>3179</v>
      </c>
      <c r="B3183" s="16" t="inlineStr">
        <is>
          <t>Backend</t>
        </is>
      </c>
      <c r="C3183" s="17" t="inlineStr">
        <is>
          <t>catalog-service</t>
        </is>
      </c>
      <c r="D3183" s="16" t="inlineStr">
        <is>
          <t>Integration</t>
        </is>
      </c>
      <c r="E3183" s="17" t="inlineStr">
        <is>
          <t>CatalogFlowIT</t>
        </is>
      </c>
      <c r="F3183" s="17" t="inlineStr"/>
      <c r="G3183" s="17" t="inlineStr">
        <is>
          <t>dựng sự kiện, publish, khách thấy — và outbox có message cho Inventory</t>
        </is>
      </c>
      <c r="H3183" s="17" t="inlineStr">
        <is>
          <t>ca_duong_di_cua_ban_to_chuc</t>
        </is>
      </c>
      <c r="I3183" s="16" t="inlineStr">
        <is>
          <t>Đạt</t>
        </is>
      </c>
      <c r="J3183" s="16" t="n">
        <v>0.175</v>
      </c>
    </row>
    <row r="3184">
      <c r="A3184" s="16" t="n">
        <v>3180</v>
      </c>
      <c r="B3184" s="16" t="inlineStr">
        <is>
          <t>Backend</t>
        </is>
      </c>
      <c r="C3184" s="17" t="inlineStr">
        <is>
          <t>catalog-service</t>
        </is>
      </c>
      <c r="D3184" s="16" t="inlineStr">
        <is>
          <t>Integration</t>
        </is>
      </c>
      <c r="E3184" s="17" t="inlineStr">
        <is>
          <t>CatalogFlowIT</t>
        </is>
      </c>
      <c r="F3184" s="17" t="inlineStr"/>
      <c r="G3184" s="17" t="inlineStr">
        <is>
          <t>publish khi chưa đủ điều kiện: 409 kèm danh sách vướng mắc</t>
        </is>
      </c>
      <c r="H3184" s="17" t="inlineStr">
        <is>
          <t>publish_som_thi_bao_ro_thieu_gi</t>
        </is>
      </c>
      <c r="I3184" s="16" t="inlineStr">
        <is>
          <t>Đạt</t>
        </is>
      </c>
      <c r="J3184" s="16" t="n">
        <v>0.058</v>
      </c>
    </row>
    <row r="3185">
      <c r="A3185" s="16" t="n">
        <v>3181</v>
      </c>
      <c r="B3185" s="16" t="inlineStr">
        <is>
          <t>Backend</t>
        </is>
      </c>
      <c r="C3185" s="17" t="inlineStr">
        <is>
          <t>catalog-service</t>
        </is>
      </c>
      <c r="D3185" s="16" t="inlineStr">
        <is>
          <t>Integration</t>
        </is>
      </c>
      <c r="E3185" s="17" t="inlineStr">
        <is>
          <t>CatalogFlowIT</t>
        </is>
      </c>
      <c r="F3185" s="17" t="inlineStr"/>
      <c r="G3185" s="17" t="inlineStr">
        <is>
          <t>không có token: 401, và không lộ dữ liệu</t>
        </is>
      </c>
      <c r="H3185" s="17" t="inlineStr">
        <is>
          <t>khong_co_token_thi_401</t>
        </is>
      </c>
      <c r="I3185" s="16" t="inlineStr">
        <is>
          <t>Đạt</t>
        </is>
      </c>
      <c r="J3185" s="16" t="n">
        <v>0.025</v>
      </c>
    </row>
    <row r="3186">
      <c r="A3186" s="16" t="n">
        <v>3182</v>
      </c>
      <c r="B3186" s="16" t="inlineStr">
        <is>
          <t>Backend</t>
        </is>
      </c>
      <c r="C3186" s="17" t="inlineStr">
        <is>
          <t>catalog-service</t>
        </is>
      </c>
      <c r="D3186" s="16" t="inlineStr">
        <is>
          <t>Integration</t>
        </is>
      </c>
      <c r="E3186" s="17" t="inlineStr">
        <is>
          <t>CatalogFlowIT</t>
        </is>
      </c>
      <c r="F3186" s="17" t="inlineStr"/>
      <c r="G3186" s="17" t="inlineStr">
        <is>
          <t>không phải thành viên: 404 chứ không phải 403</t>
        </is>
      </c>
      <c r="H3186" s="17" t="inlineStr">
        <is>
          <t>to_chuc_khac_thi_khong_thay</t>
        </is>
      </c>
      <c r="I3186" s="16" t="inlineStr">
        <is>
          <t>Đạt</t>
        </is>
      </c>
      <c r="J3186" s="16" t="n">
        <v>0.026</v>
      </c>
    </row>
    <row r="3187">
      <c r="A3187" s="16" t="n">
        <v>3183</v>
      </c>
      <c r="B3187" s="16" t="inlineStr">
        <is>
          <t>Backend</t>
        </is>
      </c>
      <c r="C3187" s="17" t="inlineStr">
        <is>
          <t>catalog-service</t>
        </is>
      </c>
      <c r="D3187" s="16" t="inlineStr">
        <is>
          <t>Integration</t>
        </is>
      </c>
      <c r="E3187" s="17" t="inlineStr">
        <is>
          <t>CatalogFlowIT</t>
        </is>
      </c>
      <c r="F3187" s="17" t="inlineStr"/>
      <c r="G3187" s="17" t="inlineStr">
        <is>
          <t>gửi lại hình học cho sự kiện còn nháp: từ chối, vì nó sẽ dựng tồn kho lén</t>
        </is>
      </c>
      <c r="H3187" s="17" t="inlineStr">
        <is>
          <t>gui_lai_hinh_hoc_cho_ban_nhap</t>
        </is>
      </c>
      <c r="I3187" s="16" t="inlineStr">
        <is>
          <t>Đạt</t>
        </is>
      </c>
      <c r="J3187" s="16" t="n">
        <v>0.066</v>
      </c>
    </row>
    <row r="3188">
      <c r="A3188" s="16" t="n">
        <v>3184</v>
      </c>
      <c r="B3188" s="16" t="inlineStr">
        <is>
          <t>Backend</t>
        </is>
      </c>
      <c r="C3188" s="17" t="inlineStr">
        <is>
          <t>catalog-service</t>
        </is>
      </c>
      <c r="D3188" s="16" t="inlineStr">
        <is>
          <t>Integration</t>
        </is>
      </c>
      <c r="E3188" s="17" t="inlineStr">
        <is>
          <t>CatalogFlowIT</t>
        </is>
      </c>
      <c r="F3188" s="17" t="inlineStr"/>
      <c r="G3188" s="17" t="inlineStr">
        <is>
          <t>rút xuống: khách không thấy nữa, nhưng dữ liệu còn nguyên</t>
        </is>
      </c>
      <c r="H3188" s="17" t="inlineStr">
        <is>
          <t>rut_xuong_khong_xoa_gi</t>
        </is>
      </c>
      <c r="I3188" s="16" t="inlineStr">
        <is>
          <t>Đạt</t>
        </is>
      </c>
      <c r="J3188" s="16" t="n">
        <v>0.113</v>
      </c>
    </row>
    <row r="3189">
      <c r="A3189" s="16" t="n">
        <v>3185</v>
      </c>
      <c r="B3189" s="16" t="inlineStr">
        <is>
          <t>Backend</t>
        </is>
      </c>
      <c r="C3189" s="17" t="inlineStr">
        <is>
          <t>catalog-service</t>
        </is>
      </c>
      <c r="D3189" s="16" t="inlineStr">
        <is>
          <t>Integration</t>
        </is>
      </c>
      <c r="E3189" s="17" t="inlineStr">
        <is>
          <t>ConcertTemplateIT</t>
        </is>
      </c>
      <c r="F3189" s="17" t="inlineStr"/>
      <c r="G3189" s="17" t="inlineStr">
        <is>
          <t>tổ chức chỉ thấy khung ACTIVE, không thấy khung nháp của nền tảng</t>
        </is>
      </c>
      <c r="H3189" s="17" t="inlineStr">
        <is>
          <t>to_chuc_chi_thay_khung_active</t>
        </is>
      </c>
      <c r="I3189" s="16" t="inlineStr">
        <is>
          <t>Đạt</t>
        </is>
      </c>
      <c r="J3189" s="16" t="n">
        <v>0.171</v>
      </c>
    </row>
    <row r="3190">
      <c r="A3190" s="16" t="n">
        <v>3186</v>
      </c>
      <c r="B3190" s="16" t="inlineStr">
        <is>
          <t>Backend</t>
        </is>
      </c>
      <c r="C3190" s="17" t="inlineStr">
        <is>
          <t>catalog-service</t>
        </is>
      </c>
      <c r="D3190" s="16" t="inlineStr">
        <is>
          <t>Integration</t>
        </is>
      </c>
      <c r="E3190" s="17" t="inlineStr">
        <is>
          <t>ConcertTemplateIT</t>
        </is>
      </c>
      <c r="F3190" s="17" t="inlineStr"/>
      <c r="G3190" s="17" t="inlineStr">
        <is>
          <t>thay tập khu là thay cả tập: khu cũ biến mất khỏi khung</t>
        </is>
      </c>
      <c r="H3190" s="17" t="inlineStr">
        <is>
          <t>thay_ca_tap_khu</t>
        </is>
      </c>
      <c r="I3190" s="16" t="inlineStr">
        <is>
          <t>Đạt</t>
        </is>
      </c>
      <c r="J3190" s="16" t="n">
        <v>0.056</v>
      </c>
    </row>
    <row r="3191">
      <c r="A3191" s="16" t="n">
        <v>3187</v>
      </c>
      <c r="B3191" s="16" t="inlineStr">
        <is>
          <t>Backend</t>
        </is>
      </c>
      <c r="C3191" s="17" t="inlineStr">
        <is>
          <t>catalog-service</t>
        </is>
      </c>
      <c r="D3191" s="16" t="inlineStr">
        <is>
          <t>Integration</t>
        </is>
      </c>
      <c r="E3191" s="17" t="inlineStr">
        <is>
          <t>ConcertTemplateIT</t>
        </is>
      </c>
      <c r="F3191" s="17" t="inlineStr"/>
      <c r="G3191" s="17" t="inlineStr">
        <is>
          <t>superadmin dựng khung: tạo -&gt; khai khu -&gt; mở cho tổ chức dùng</t>
        </is>
      </c>
      <c r="H3191" s="17" t="inlineStr">
        <is>
          <t>vong_doi_khung</t>
        </is>
      </c>
      <c r="I3191" s="16" t="inlineStr">
        <is>
          <t>Đạt</t>
        </is>
      </c>
      <c r="J3191" s="16" t="n">
        <v>0.051</v>
      </c>
    </row>
    <row r="3192">
      <c r="A3192" s="16" t="n">
        <v>3188</v>
      </c>
      <c r="B3192" s="16" t="inlineStr">
        <is>
          <t>Backend</t>
        </is>
      </c>
      <c r="C3192" s="17" t="inlineStr">
        <is>
          <t>catalog-service</t>
        </is>
      </c>
      <c r="D3192" s="16" t="inlineStr">
        <is>
          <t>Integration</t>
        </is>
      </c>
      <c r="E3192" s="17" t="inlineStr">
        <is>
          <t>ConcertTemplateIT</t>
        </is>
      </c>
      <c r="F3192" s="17" t="inlineStr"/>
      <c r="G3192" s="17" t="inlineStr">
        <is>
          <t>ban tổ chức không tạo được khung — kể cả khi họ là EVENT_MANAGER</t>
        </is>
      </c>
      <c r="H3192" s="17" t="inlineStr">
        <is>
          <t>to_chuc_khong_tao_duoc_khung</t>
        </is>
      </c>
      <c r="I3192" s="16" t="inlineStr">
        <is>
          <t>Đạt</t>
        </is>
      </c>
      <c r="J3192" s="16" t="n">
        <v>0.03</v>
      </c>
    </row>
    <row r="3193">
      <c r="A3193" s="16" t="n">
        <v>3189</v>
      </c>
      <c r="B3193" s="16" t="inlineStr">
        <is>
          <t>Backend</t>
        </is>
      </c>
      <c r="C3193" s="17" t="inlineStr">
        <is>
          <t>catalog-service</t>
        </is>
      </c>
      <c r="D3193" s="16" t="inlineStr">
        <is>
          <t>Integration</t>
        </is>
      </c>
      <c r="E3193" s="17" t="inlineStr">
        <is>
          <t>ConcertTemplateIT</t>
        </is>
      </c>
      <c r="F3193" s="17" t="inlineStr"/>
      <c r="G3193" s="17" t="inlineStr">
        <is>
          <t>khung đã có tổ chức dùng thì lưu trữ được, xoá thì không</t>
        </is>
      </c>
      <c r="H3193" s="17" t="inlineStr">
        <is>
          <t>khung_dang_dung_thi_khong_xoa_duoc</t>
        </is>
      </c>
      <c r="I3193" s="16" t="inlineStr">
        <is>
          <t>Đạt</t>
        </is>
      </c>
      <c r="J3193" s="16" t="n">
        <v>0.09</v>
      </c>
    </row>
    <row r="3194">
      <c r="A3194" s="16" t="n">
        <v>3190</v>
      </c>
      <c r="B3194" s="16" t="inlineStr">
        <is>
          <t>Backend</t>
        </is>
      </c>
      <c r="C3194" s="17" t="inlineStr">
        <is>
          <t>catalog-service</t>
        </is>
      </c>
      <c r="D3194" s="16" t="inlineStr">
        <is>
          <t>Integration</t>
        </is>
      </c>
      <c r="E3194" s="17" t="inlineStr">
        <is>
          <t>ConcertTemplateIT</t>
        </is>
      </c>
      <c r="F3194" s="17" t="inlineStr"/>
      <c r="G3194" s="17" t="inlineStr">
        <is>
          <t>khung chưa khai khu thì không mở được</t>
        </is>
      </c>
      <c r="H3194" s="17" t="inlineStr">
        <is>
          <t>khung_rong_khong_mo_duoc</t>
        </is>
      </c>
      <c r="I3194" s="16" t="inlineStr">
        <is>
          <t>Đạt</t>
        </is>
      </c>
      <c r="J3194" s="16" t="n">
        <v>0.042</v>
      </c>
    </row>
    <row r="3195">
      <c r="A3195" s="16" t="n">
        <v>3191</v>
      </c>
      <c r="B3195" s="16" t="inlineStr">
        <is>
          <t>Backend</t>
        </is>
      </c>
      <c r="C3195" s="17" t="inlineStr">
        <is>
          <t>catalog-service</t>
        </is>
      </c>
      <c r="D3195" s="16" t="inlineStr">
        <is>
          <t>Integration</t>
        </is>
      </c>
      <c r="E3195" s="17" t="inlineStr">
        <is>
          <t>ConcertTemplateIT</t>
        </is>
      </c>
      <c r="F3195" s="17" t="inlineStr"/>
      <c r="G3195" s="17" t="inlineStr">
        <is>
          <t>mã khung trùng: 409, không lặng lẽ tạo cái thứ hai</t>
        </is>
      </c>
      <c r="H3195" s="17" t="inlineStr">
        <is>
          <t>ma_khung_trung</t>
        </is>
      </c>
      <c r="I3195" s="16" t="inlineStr">
        <is>
          <t>Đạt</t>
        </is>
      </c>
      <c r="J3195" s="16" t="n">
        <v>0.038</v>
      </c>
    </row>
    <row r="3196">
      <c r="A3196" s="16" t="n">
        <v>3192</v>
      </c>
      <c r="B3196" s="16" t="inlineStr">
        <is>
          <t>Backend</t>
        </is>
      </c>
      <c r="C3196" s="17" t="inlineStr">
        <is>
          <t>catalog-service</t>
        </is>
      </c>
      <c r="D3196" s="16" t="inlineStr">
        <is>
          <t>Integration</t>
        </is>
      </c>
      <c r="E3196" s="17" t="inlineStr">
        <is>
          <t>CustomSeatingIT</t>
        </is>
      </c>
      <c r="F3196" s="17" t="inlineStr"/>
      <c r="G3196" s="17" t="inlineStr">
        <is>
          <t>đổi số ghế của một khu thì giữ nguyên hạng vé đã khai cho khu đó</t>
        </is>
      </c>
      <c r="H3196" s="17" t="inlineStr">
        <is>
          <t>doi_so_ghe_khong_lam_mat_gia</t>
        </is>
      </c>
      <c r="I3196" s="16" t="inlineStr">
        <is>
          <t>Đạt</t>
        </is>
      </c>
      <c r="J3196" s="16" t="n">
        <v>0.127</v>
      </c>
    </row>
    <row r="3197">
      <c r="A3197" s="16" t="n">
        <v>3193</v>
      </c>
      <c r="B3197" s="16" t="inlineStr">
        <is>
          <t>Backend</t>
        </is>
      </c>
      <c r="C3197" s="17" t="inlineStr">
        <is>
          <t>catalog-service</t>
        </is>
      </c>
      <c r="D3197" s="16" t="inlineStr">
        <is>
          <t>Integration</t>
        </is>
      </c>
      <c r="E3197" s="17" t="inlineStr">
        <is>
          <t>CustomSeatingIT</t>
        </is>
      </c>
      <c r="F3197" s="17" t="inlineStr"/>
      <c r="G3197" s="17" t="inlineStr">
        <is>
          <t>địa điểm của tổ chức khác: 404, không sửa xuyên tổ chức</t>
        </is>
      </c>
      <c r="H3197" s="17" t="inlineStr">
        <is>
          <t>khong_sua_duoc_xuyen_to_chuc</t>
        </is>
      </c>
      <c r="I3197" s="16" t="inlineStr">
        <is>
          <t>Đạt</t>
        </is>
      </c>
      <c r="J3197" s="16" t="n">
        <v>0.029</v>
      </c>
    </row>
    <row r="3198">
      <c r="A3198" s="16" t="n">
        <v>3194</v>
      </c>
      <c r="B3198" s="16" t="inlineStr">
        <is>
          <t>Backend</t>
        </is>
      </c>
      <c r="C3198" s="17" t="inlineStr">
        <is>
          <t>catalog-service</t>
        </is>
      </c>
      <c r="D3198" s="16" t="inlineStr">
        <is>
          <t>Integration</t>
        </is>
      </c>
      <c r="E3198" s="17" t="inlineStr">
        <is>
          <t>CustomSeatingIT</t>
        </is>
      </c>
      <c r="F3198" s="17" t="inlineStr"/>
      <c r="G3198" s="17" t="inlineStr">
        <is>
          <t>khai ba khu trong một lần: VIP 100, Thường 500, khu đứng 300</t>
        </is>
      </c>
      <c r="H3198" s="17" t="inlineStr">
        <is>
          <t>khai_ba_khu_mot_lan</t>
        </is>
      </c>
      <c r="I3198" s="16" t="inlineStr">
        <is>
          <t>Đạt</t>
        </is>
      </c>
      <c r="J3198" s="16" t="n">
        <v>0.046</v>
      </c>
    </row>
    <row r="3199">
      <c r="A3199" s="16" t="n">
        <v>3195</v>
      </c>
      <c r="B3199" s="16" t="inlineStr">
        <is>
          <t>Backend</t>
        </is>
      </c>
      <c r="C3199" s="17" t="inlineStr">
        <is>
          <t>catalog-service</t>
        </is>
      </c>
      <c r="D3199" s="16" t="inlineStr">
        <is>
          <t>Integration</t>
        </is>
      </c>
      <c r="E3199" s="17" t="inlineStr">
        <is>
          <t>CustomSeatingIT</t>
        </is>
      </c>
      <c r="F3199" s="17" t="inlineStr"/>
      <c r="G3199" s="17" t="inlineStr">
        <is>
          <t>bỏ hẳn một khu thì hạng vé của khu đó bị xoá theo, và phản hồi nói rõ</t>
        </is>
      </c>
      <c r="H3199" s="17" t="inlineStr">
        <is>
          <t>bo_khu_thi_bao_so_hang_ve_mat_theo</t>
        </is>
      </c>
      <c r="I3199" s="16" t="inlineStr">
        <is>
          <t>Đạt</t>
        </is>
      </c>
      <c r="J3199" s="16" t="n">
        <v>0.089</v>
      </c>
    </row>
    <row r="3200">
      <c r="A3200" s="16" t="n">
        <v>3196</v>
      </c>
      <c r="B3200" s="16" t="inlineStr">
        <is>
          <t>Backend</t>
        </is>
      </c>
      <c r="C3200" s="17" t="inlineStr">
        <is>
          <t>catalog-service</t>
        </is>
      </c>
      <c r="D3200" s="16" t="inlineStr">
        <is>
          <t>Integration</t>
        </is>
      </c>
      <c r="E3200" s="17" t="inlineStr">
        <is>
          <t>CustomSeatingIT</t>
        </is>
      </c>
      <c r="F3200" s="17" t="inlineStr"/>
      <c r="G3200" s="17" t="inlineStr">
        <is>
          <t>sơ đồ rỗng bị từ chối ngay, không để lộ ra ở bước publish</t>
        </is>
      </c>
      <c r="H3200" s="17" t="inlineStr">
        <is>
          <t>so_do_rong_bi_tu_choi</t>
        </is>
      </c>
      <c r="I3200" s="16" t="inlineStr">
        <is>
          <t>Đạt</t>
        </is>
      </c>
      <c r="J3200" s="16" t="n">
        <v>0.047</v>
      </c>
    </row>
    <row r="3201">
      <c r="A3201" s="16" t="n">
        <v>3197</v>
      </c>
      <c r="B3201" s="16" t="inlineStr">
        <is>
          <t>Backend</t>
        </is>
      </c>
      <c r="C3201" s="17" t="inlineStr">
        <is>
          <t>catalog-service</t>
        </is>
      </c>
      <c r="D3201" s="16" t="inlineStr">
        <is>
          <t>Integration</t>
        </is>
      </c>
      <c r="E3201" s="17" t="inlineStr">
        <is>
          <t>CustomSeatingIT</t>
        </is>
      </c>
      <c r="F3201" s="17" t="inlineStr"/>
      <c r="G3201" s="17" t="inlineStr">
        <is>
          <t>sơ đồ đến từ khung của nền tảng thì không sửa được</t>
        </is>
      </c>
      <c r="H3201" s="17" t="inlineStr">
        <is>
          <t>so_do_tu_khung_bi_khoa</t>
        </is>
      </c>
      <c r="I3201" s="16" t="inlineStr">
        <is>
          <t>Đạt</t>
        </is>
      </c>
      <c r="J3201" s="16" t="n">
        <v>0.098</v>
      </c>
    </row>
    <row r="3202">
      <c r="A3202" s="16" t="n">
        <v>3198</v>
      </c>
      <c r="B3202" s="16" t="inlineStr">
        <is>
          <t>Backend</t>
        </is>
      </c>
      <c r="C3202" s="17" t="inlineStr">
        <is>
          <t>catalog-service</t>
        </is>
      </c>
      <c r="D3202" s="16" t="inlineStr">
        <is>
          <t>Integration</t>
        </is>
      </c>
      <c r="E3202" s="17" t="inlineStr">
        <is>
          <t>CustomSeatingIT</t>
        </is>
      </c>
      <c r="F3202" s="17" t="inlineStr"/>
      <c r="G3202" s="17" t="inlineStr">
        <is>
          <t>địa điểm đã có sự kiện từng lên bán thì không sửa sơ đồ được</t>
        </is>
      </c>
      <c r="H3202" s="17" t="inlineStr">
        <is>
          <t>da_len_ban_thi_khong_sua_so_do</t>
        </is>
      </c>
      <c r="I3202" s="16" t="inlineStr">
        <is>
          <t>Đạt</t>
        </is>
      </c>
      <c r="J3202" s="16" t="n">
        <v>0.165</v>
      </c>
    </row>
    <row r="3203">
      <c r="A3203" s="16" t="n">
        <v>3199</v>
      </c>
      <c r="B3203" s="16" t="inlineStr">
        <is>
          <t>Backend</t>
        </is>
      </c>
      <c r="C3203" s="17" t="inlineStr">
        <is>
          <t>catalog-service</t>
        </is>
      </c>
      <c r="D3203" s="16" t="inlineStr">
        <is>
          <t>Integration</t>
        </is>
      </c>
      <c r="E3203" s="17" t="inlineStr">
        <is>
          <t>EventFromTemplateIT</t>
        </is>
      </c>
      <c r="F3203" s="17" t="inlineStr"/>
      <c r="G3203" s="17" t="inlineStr">
        <is>
          <t>chọn khung + điền thông tin: ra một sự kiện publish được ngay</t>
        </is>
      </c>
      <c r="H3203" s="17" t="inlineStr">
        <is>
          <t>ap_khung_ra_su_kien_hoan_chinh</t>
        </is>
      </c>
      <c r="I3203" s="16" t="inlineStr">
        <is>
          <t>Đạt</t>
        </is>
      </c>
      <c r="J3203" s="16" t="n">
        <v>0.146</v>
      </c>
    </row>
    <row r="3204">
      <c r="A3204" s="16" t="n">
        <v>3200</v>
      </c>
      <c r="B3204" s="16" t="inlineStr">
        <is>
          <t>Backend</t>
        </is>
      </c>
      <c r="C3204" s="17" t="inlineStr">
        <is>
          <t>catalog-service</t>
        </is>
      </c>
      <c r="D3204" s="16" t="inlineStr">
        <is>
          <t>Integration</t>
        </is>
      </c>
      <c r="E3204" s="17" t="inlineStr">
        <is>
          <t>EventFromTemplateIT</t>
        </is>
      </c>
      <c r="F3204" s="17" t="inlineStr"/>
      <c r="G3204" s="17" t="inlineStr">
        <is>
          <t>không dựng được sự kiện cho tổ chức mình không thuộc</t>
        </is>
      </c>
      <c r="H3204" s="17" t="inlineStr">
        <is>
          <t>khong_dung_duoc_cho_to_chuc_khac</t>
        </is>
      </c>
      <c r="I3204" s="16" t="inlineStr">
        <is>
          <t>Đạt</t>
        </is>
      </c>
      <c r="J3204" s="16" t="n">
        <v>0.045</v>
      </c>
    </row>
    <row r="3205">
      <c r="A3205" s="16" t="n">
        <v>3201</v>
      </c>
      <c r="B3205" s="16" t="inlineStr">
        <is>
          <t>Backend</t>
        </is>
      </c>
      <c r="C3205" s="17" t="inlineStr">
        <is>
          <t>catalog-service</t>
        </is>
      </c>
      <c r="D3205" s="16" t="inlineStr">
        <is>
          <t>Integration</t>
        </is>
      </c>
      <c r="E3205" s="17" t="inlineStr">
        <is>
          <t>EventFromTemplateIT</t>
        </is>
      </c>
      <c r="F3205" s="17" t="inlineStr"/>
      <c r="G3205" s="17" t="inlineStr">
        <is>
          <t>khung đã lưu trữ thì không dựng sự kiện mới được</t>
        </is>
      </c>
      <c r="H3205" s="17" t="inlineStr">
        <is>
          <t>khung_luu_tru_khong_dung_duoc</t>
        </is>
      </c>
      <c r="I3205" s="16" t="inlineStr">
        <is>
          <t>Đạt</t>
        </is>
      </c>
      <c r="J3205" s="16" t="n">
        <v>0.07000000000000001</v>
      </c>
    </row>
    <row r="3206">
      <c r="A3206" s="16" t="n">
        <v>3202</v>
      </c>
      <c r="B3206" s="16" t="inlineStr">
        <is>
          <t>Backend</t>
        </is>
      </c>
      <c r="C3206" s="17" t="inlineStr">
        <is>
          <t>catalog-service</t>
        </is>
      </c>
      <c r="D3206" s="16" t="inlineStr">
        <is>
          <t>Integration</t>
        </is>
      </c>
      <c r="E3206" s="17" t="inlineStr">
        <is>
          <t>EventFromTemplateIT</t>
        </is>
      </c>
      <c r="F3206" s="17" t="inlineStr"/>
      <c r="G3206" s="17" t="inlineStr">
        <is>
          <t>giá của tổ chức thắng giá gợi ý của khung</t>
        </is>
      </c>
      <c r="H3206" s="17" t="inlineStr">
        <is>
          <t>gia_cua_to_chuc_thang</t>
        </is>
      </c>
      <c r="I3206" s="16" t="inlineStr">
        <is>
          <t>Đạt</t>
        </is>
      </c>
      <c r="J3206" s="16" t="n">
        <v>0.081</v>
      </c>
    </row>
    <row r="3207">
      <c r="A3207" s="16" t="n">
        <v>3203</v>
      </c>
      <c r="B3207" s="16" t="inlineStr">
        <is>
          <t>Backend</t>
        </is>
      </c>
      <c r="C3207" s="17" t="inlineStr">
        <is>
          <t>catalog-service</t>
        </is>
      </c>
      <c r="D3207" s="16" t="inlineStr">
        <is>
          <t>Integration</t>
        </is>
      </c>
      <c r="E3207" s="17" t="inlineStr">
        <is>
          <t>EventFromTemplateIT</t>
        </is>
      </c>
      <c r="F3207" s="17" t="inlineStr"/>
      <c r="G3207" s="17" t="inlineStr">
        <is>
          <t>khu và số ghế chép nguyên từ khung, không phải nhập lại</t>
        </is>
      </c>
      <c r="H3207" s="17" t="inlineStr">
        <is>
          <t>khu_chep_nguyen_tu_khung</t>
        </is>
      </c>
      <c r="I3207" s="16" t="inlineStr">
        <is>
          <t>Đạt</t>
        </is>
      </c>
      <c r="J3207" s="16" t="n">
        <v>0.077</v>
      </c>
    </row>
    <row r="3208">
      <c r="A3208" s="16" t="n">
        <v>3204</v>
      </c>
      <c r="B3208" s="16" t="inlineStr">
        <is>
          <t>Backend</t>
        </is>
      </c>
      <c r="C3208" s="17" t="inlineStr">
        <is>
          <t>catalog-service</t>
        </is>
      </c>
      <c r="D3208" s="16" t="inlineStr">
        <is>
          <t>Integration</t>
        </is>
      </c>
      <c r="E3208" s="17" t="inlineStr">
        <is>
          <t>EventFromTemplateIT</t>
        </is>
      </c>
      <c r="F3208" s="17" t="inlineStr"/>
      <c r="G3208" s="17" t="inlineStr">
        <is>
          <t>khung không gợi ý giá mà tổ chức cũng không khai: 422 kèm danh sách khu còn thiếu</t>
        </is>
      </c>
      <c r="H3208" s="17" t="inlineStr">
        <is>
          <t>thieu_gia_thi_tu_choi</t>
        </is>
      </c>
      <c r="I3208" s="16" t="inlineStr">
        <is>
          <t>Đạt</t>
        </is>
      </c>
      <c r="J3208" s="16" t="n">
        <v>0.054</v>
      </c>
    </row>
    <row r="3209">
      <c r="A3209" s="16" t="n">
        <v>3205</v>
      </c>
      <c r="B3209" s="16" t="inlineStr">
        <is>
          <t>Backend</t>
        </is>
      </c>
      <c r="C3209" s="17" t="inlineStr">
        <is>
          <t>catalog-service</t>
        </is>
      </c>
      <c r="D3209" s="16" t="inlineStr">
        <is>
          <t>Integration</t>
        </is>
      </c>
      <c r="E3209" s="17" t="inlineStr">
        <is>
          <t>PosterLifecycleIT</t>
        </is>
      </c>
      <c r="F3209" s="17" t="inlineStr"/>
      <c r="G3209" s="17" t="inlineStr">
        <is>
          <t>khoá chưa có gì thì bị từ chối, không phải ném ngoại lệ lạ</t>
        </is>
      </c>
      <c r="H3209" s="17" t="inlineStr">
        <is>
          <t>khoa_trong_bi_tu_choi</t>
        </is>
      </c>
      <c r="I3209" s="16" t="inlineStr">
        <is>
          <t>Đạt</t>
        </is>
      </c>
      <c r="J3209" s="16" t="n">
        <v>0.412</v>
      </c>
    </row>
    <row r="3210">
      <c r="A3210" s="16" t="n">
        <v>3206</v>
      </c>
      <c r="B3210" s="16" t="inlineStr">
        <is>
          <t>Backend</t>
        </is>
      </c>
      <c r="C3210" s="17" t="inlineStr">
        <is>
          <t>catalog-service</t>
        </is>
      </c>
      <c r="D3210" s="16" t="inlineStr">
        <is>
          <t>Integration</t>
        </is>
      </c>
      <c r="E3210" s="17" t="inlineStr">
        <is>
          <t>PosterLifecycleIT</t>
        </is>
      </c>
      <c r="F3210" s="17" t="inlineStr"/>
      <c r="G3210" s="17" t="inlineStr">
        <is>
          <t>xoá rồi thì đọc ẩn danh cũng không còn thấy</t>
        </is>
      </c>
      <c r="H3210" s="17" t="inlineStr">
        <is>
          <t>xoa_that_su_xoa</t>
        </is>
      </c>
      <c r="I3210" s="16" t="inlineStr">
        <is>
          <t>Đạt</t>
        </is>
      </c>
      <c r="J3210" s="16" t="n">
        <v>0.372</v>
      </c>
    </row>
    <row r="3211">
      <c r="A3211" s="16" t="n">
        <v>3207</v>
      </c>
      <c r="B3211" s="16" t="inlineStr">
        <is>
          <t>Backend</t>
        </is>
      </c>
      <c r="C3211" s="17" t="inlineStr">
        <is>
          <t>catalog-service</t>
        </is>
      </c>
      <c r="D3211" s="16" t="inlineStr">
        <is>
          <t>Integration</t>
        </is>
      </c>
      <c r="E3211" s="17" t="inlineStr">
        <is>
          <t>PosterLifecycleIT</t>
        </is>
      </c>
      <c r="F3211" s="17" t="inlineStr"/>
      <c r="G3211" s="17" t="inlineStr">
        <is>
          <t>vẽ → đẩy lên → kiểm → đọc được không cần khoá</t>
        </is>
      </c>
      <c r="H3211" s="17" t="inlineStr">
        <is>
          <t>vong_doi_day_du</t>
        </is>
      </c>
      <c r="I3211" s="16" t="inlineStr">
        <is>
          <t>Đạt</t>
        </is>
      </c>
      <c r="J3211" s="16" t="n">
        <v>0.041</v>
      </c>
    </row>
    <row r="3212">
      <c r="A3212" s="16" t="n">
        <v>3208</v>
      </c>
      <c r="B3212" s="16" t="inlineStr">
        <is>
          <t>Backend</t>
        </is>
      </c>
      <c r="C3212" s="17" t="inlineStr">
        <is>
          <t>catalog-service</t>
        </is>
      </c>
      <c r="D3212" s="16" t="inlineStr">
        <is>
          <t>Integration</t>
        </is>
      </c>
      <c r="E3212" s="17" t="inlineStr">
        <is>
          <t>PosterLifecycleIT</t>
        </is>
      </c>
      <c r="F3212" s="17" t="inlineStr"/>
      <c r="G3212" s="17" t="inlineStr">
        <is>
          <t>ảnh quá cỡ bị từ chối VÀ bị dọn khỏi kho</t>
        </is>
      </c>
      <c r="H3212" s="17" t="inlineStr">
        <is>
          <t>anh_qua_co_bi_don</t>
        </is>
      </c>
      <c r="I3212" s="16" t="inlineStr">
        <is>
          <t>Đạt</t>
        </is>
      </c>
      <c r="J3212" s="16" t="n">
        <v>0.154</v>
      </c>
    </row>
    <row r="3213">
      <c r="A3213" s="16" t="n">
        <v>3209</v>
      </c>
      <c r="B3213" s="16" t="inlineStr">
        <is>
          <t>Backend</t>
        </is>
      </c>
      <c r="C3213" s="17" t="inlineStr">
        <is>
          <t>catalog-service</t>
        </is>
      </c>
      <c r="D3213" s="16" t="inlineStr">
        <is>
          <t>Integration</t>
        </is>
      </c>
      <c r="E3213" s="17" t="inlineStr">
        <is>
          <t>OrganizationDashboardIT</t>
        </is>
      </c>
      <c r="F3213" s="17" t="inlineStr"/>
      <c r="G3213" s="17" t="inlineStr">
        <is>
          <t>bảng điều khiển chỉ cộng sự kiện của chính tổ chức mình</t>
        </is>
      </c>
      <c r="H3213" s="17" t="inlineStr">
        <is>
          <t>tong_quan_khong_gom_su_kien_to_chuc_khac</t>
        </is>
      </c>
      <c r="I3213" s="16" t="inlineStr">
        <is>
          <t>Đạt</t>
        </is>
      </c>
      <c r="J3213" s="16" t="n">
        <v>0.259</v>
      </c>
    </row>
    <row r="3214">
      <c r="A3214" s="16" t="n">
        <v>3210</v>
      </c>
      <c r="B3214" s="16" t="inlineStr">
        <is>
          <t>Backend</t>
        </is>
      </c>
      <c r="C3214" s="17" t="inlineStr">
        <is>
          <t>catalog-service</t>
        </is>
      </c>
      <c r="D3214" s="16" t="inlineStr">
        <is>
          <t>Integration</t>
        </is>
      </c>
      <c r="E3214" s="17" t="inlineStr">
        <is>
          <t>OrganizationDashboardIT</t>
        </is>
      </c>
      <c r="F3214" s="17" t="inlineStr"/>
      <c r="G3214" s="17" t="inlineStr">
        <is>
          <t>inventory chết: vẫn trả 200 với phần catalog, và nói rõ thiếu vì sao</t>
        </is>
      </c>
      <c r="H3214" s="17" t="inlineStr">
        <is>
          <t>inventory_chet_thi_van_mo_duoc_man_hinh</t>
        </is>
      </c>
      <c r="I3214" s="16" t="inlineStr">
        <is>
          <t>Đạt</t>
        </is>
      </c>
      <c r="J3214" s="16" t="n">
        <v>0.111</v>
      </c>
    </row>
    <row r="3215">
      <c r="A3215" s="16" t="n">
        <v>3211</v>
      </c>
      <c r="B3215" s="16" t="inlineStr">
        <is>
          <t>Backend</t>
        </is>
      </c>
      <c r="C3215" s="17" t="inlineStr">
        <is>
          <t>catalog-service</t>
        </is>
      </c>
      <c r="D3215" s="16" t="inlineStr">
        <is>
          <t>Integration</t>
        </is>
      </c>
      <c r="E3215" s="17" t="inlineStr">
        <is>
          <t>OrganizationDashboardIT</t>
        </is>
      </c>
      <c r="F3215" s="17" t="inlineStr"/>
      <c r="G3215" s="17" t="inlineStr">
        <is>
          <t>tổng quan: analytics im lặng thì eventSales RỖNG, không phải một danh sách toàn 0</t>
        </is>
      </c>
      <c r="H3215" s="17" t="inlineStr">
        <is>
          <t>analytics_im_lang_thi_khong_bia_so_khong</t>
        </is>
      </c>
      <c r="I3215" s="16" t="inlineStr">
        <is>
          <t>Đạt</t>
        </is>
      </c>
      <c r="J3215" s="16" t="n">
        <v>0.101</v>
      </c>
    </row>
    <row r="3216">
      <c r="A3216" s="16" t="n">
        <v>3212</v>
      </c>
      <c r="B3216" s="16" t="inlineStr">
        <is>
          <t>Backend</t>
        </is>
      </c>
      <c r="C3216" s="17" t="inlineStr">
        <is>
          <t>catalog-service</t>
        </is>
      </c>
      <c r="D3216" s="16" t="inlineStr">
        <is>
          <t>Integration</t>
        </is>
      </c>
      <c r="E3216" s="17" t="inlineStr">
        <is>
          <t>OrganizationDashboardIT</t>
        </is>
      </c>
      <c r="F3216" s="17" t="inlineStr"/>
      <c r="G3216" s="17" t="inlineStr">
        <is>
          <t>analytics chết: tổng quan không báo 0đ, nó báo là không hỏi được</t>
        </is>
      </c>
      <c r="H3216" s="17" t="inlineStr">
        <is>
          <t>analytics_chet_thi_khong_bao_khong_dong</t>
        </is>
      </c>
      <c r="I3216" s="16" t="inlineStr">
        <is>
          <t>Đạt</t>
        </is>
      </c>
      <c r="J3216" s="16" t="n">
        <v>0.102</v>
      </c>
    </row>
    <row r="3217">
      <c r="A3217" s="16" t="n">
        <v>3213</v>
      </c>
      <c r="B3217" s="16" t="inlineStr">
        <is>
          <t>Backend</t>
        </is>
      </c>
      <c r="C3217" s="17" t="inlineStr">
        <is>
          <t>catalog-service</t>
        </is>
      </c>
      <c r="D3217" s="16" t="inlineStr">
        <is>
          <t>Integration</t>
        </is>
      </c>
      <c r="E3217" s="17" t="inlineStr">
        <is>
          <t>OrganizationDashboardIT</t>
        </is>
      </c>
      <c r="F3217" s="17" t="inlineStr"/>
      <c r="G3217" s="17" t="inlineStr">
        <is>
          <t>mượn đường dẫn của CHÍNH MÌNH để đọc sự kiện của tổ chức khác: vẫn 404</t>
        </is>
      </c>
      <c r="H3217" s="17" t="inlineStr">
        <is>
          <t>khong_muon_duoc_duong_dan_cua_minh</t>
        </is>
      </c>
      <c r="I3217" s="16" t="inlineStr">
        <is>
          <t>Đạt</t>
        </is>
      </c>
      <c r="J3217" s="16" t="n">
        <v>0.098</v>
      </c>
    </row>
    <row r="3218">
      <c r="A3218" s="16" t="n">
        <v>3214</v>
      </c>
      <c r="B3218" s="16" t="inlineStr">
        <is>
          <t>Backend</t>
        </is>
      </c>
      <c r="C3218" s="17" t="inlineStr">
        <is>
          <t>catalog-service</t>
        </is>
      </c>
      <c r="D3218" s="16" t="inlineStr">
        <is>
          <t>Integration</t>
        </is>
      </c>
      <c r="E3218" s="17" t="inlineStr">
        <is>
          <t>OrganizationDashboardIT</t>
        </is>
      </c>
      <c r="F3218" s="17" t="inlineStr"/>
      <c r="G3218" s="17" t="inlineStr">
        <is>
          <t>suất chưa lên bán: seating rỗng, và đó không phải lỗi</t>
        </is>
      </c>
      <c r="H3218" s="17" t="inlineStr">
        <is>
          <t>suat_chua_len_ban_thi_khong_co_ton_kho</t>
        </is>
      </c>
      <c r="I3218" s="16" t="inlineStr">
        <is>
          <t>Đạt</t>
        </is>
      </c>
      <c r="J3218" s="16" t="n">
        <v>0.105</v>
      </c>
    </row>
    <row r="3219">
      <c r="A3219" s="16" t="n">
        <v>3215</v>
      </c>
      <c r="B3219" s="16" t="inlineStr">
        <is>
          <t>Backend</t>
        </is>
      </c>
      <c r="C3219" s="17" t="inlineStr">
        <is>
          <t>catalog-service</t>
        </is>
      </c>
      <c r="D3219" s="16" t="inlineStr">
        <is>
          <t>Integration</t>
        </is>
      </c>
      <c r="E3219" s="17" t="inlineStr">
        <is>
          <t>OrganizationDashboardIT</t>
        </is>
      </c>
      <c r="F3219" s="17" t="inlineStr"/>
      <c r="G3219" s="17" t="inlineStr">
        <is>
          <t>sự kiện của tổ chức khác: 404 trước khi chạm tới dữ liệu</t>
        </is>
      </c>
      <c r="H3219" s="17" t="inlineStr">
        <is>
          <t>khong_xem_duoc_su_kien_to_chuc_khac</t>
        </is>
      </c>
      <c r="I3219" s="16" t="inlineStr">
        <is>
          <t>Đạt</t>
        </is>
      </c>
      <c r="J3219" s="16" t="n">
        <v>0.09</v>
      </c>
    </row>
    <row r="3220">
      <c r="A3220" s="16" t="n">
        <v>3216</v>
      </c>
      <c r="B3220" s="16" t="inlineStr">
        <is>
          <t>Backend</t>
        </is>
      </c>
      <c r="C3220" s="17" t="inlineStr">
        <is>
          <t>catalog-service</t>
        </is>
      </c>
      <c r="D3220" s="16" t="inlineStr">
        <is>
          <t>Integration</t>
        </is>
      </c>
      <c r="E3220" s="17" t="inlineStr">
        <is>
          <t>OrganizationDashboardIT</t>
        </is>
      </c>
      <c r="F3220" s="17" t="inlineStr"/>
      <c r="G3220" s="17" t="inlineStr">
        <is>
          <t>master data: chi tiết + khu vực + trạng thái ghế + doanh thu trong một lời gọi</t>
        </is>
      </c>
      <c r="H3220" s="17" t="inlineStr">
        <is>
          <t>master_data_day_du</t>
        </is>
      </c>
      <c r="I3220" s="16" t="inlineStr">
        <is>
          <t>Đạt</t>
        </is>
      </c>
      <c r="J3220" s="16" t="n">
        <v>0.08799999999999999</v>
      </c>
    </row>
    <row r="3221">
      <c r="A3221" s="16" t="n">
        <v>3217</v>
      </c>
      <c r="B3221" s="16" t="inlineStr">
        <is>
          <t>Backend</t>
        </is>
      </c>
      <c r="C3221" s="17" t="inlineStr">
        <is>
          <t>catalog-service</t>
        </is>
      </c>
      <c r="D3221" s="16" t="inlineStr">
        <is>
          <t>Integration</t>
        </is>
      </c>
      <c r="E3221" s="17" t="inlineStr">
        <is>
          <t>OrganizationDashboardIT</t>
        </is>
      </c>
      <c r="F3221" s="17" t="inlineStr"/>
      <c r="G3221" s="17" t="inlineStr">
        <is>
          <t>tổng quan: số bán gộp theo TỪNG sự kiện, không chỉ có tổng</t>
        </is>
      </c>
      <c r="H3221" s="17" t="inlineStr">
        <is>
          <t>tong_quan_co_so_ban_tung_su_kien</t>
        </is>
      </c>
      <c r="I3221" s="16" t="inlineStr">
        <is>
          <t>Đạt</t>
        </is>
      </c>
      <c r="J3221" s="16" t="n">
        <v>0.146</v>
      </c>
    </row>
    <row r="3222">
      <c r="A3222" s="16" t="n">
        <v>3218</v>
      </c>
      <c r="B3222" s="16" t="inlineStr">
        <is>
          <t>Backend</t>
        </is>
      </c>
      <c r="C3222" s="17" t="inlineStr">
        <is>
          <t>catalog-service</t>
        </is>
      </c>
      <c r="D3222" s="16" t="inlineStr">
        <is>
          <t>Integration</t>
        </is>
      </c>
      <c r="E3222" s="17" t="inlineStr">
        <is>
          <t>OrganizationDashboardIT</t>
        </is>
      </c>
      <c r="F3222" s="17" t="inlineStr"/>
      <c r="G3222" s="17" t="inlineStr">
        <is>
          <t>tổng quan: đếm sự kiện theo trạng thái và cộng sức chứa đã khai</t>
        </is>
      </c>
      <c r="H3222" s="17" t="inlineStr">
        <is>
          <t>tong_quan_dem_dung</t>
        </is>
      </c>
      <c r="I3222" s="16" t="inlineStr">
        <is>
          <t>Đạt</t>
        </is>
      </c>
      <c r="J3222" s="16" t="n">
        <v>0.189</v>
      </c>
    </row>
    <row r="3223">
      <c r="A3223" s="16" t="n">
        <v>3219</v>
      </c>
      <c r="B3223" s="16" t="inlineStr">
        <is>
          <t>Backend</t>
        </is>
      </c>
      <c r="C3223" s="17" t="inlineStr">
        <is>
          <t>catalog-service</t>
        </is>
      </c>
      <c r="D3223" s="16" t="inlineStr">
        <is>
          <t>Integration</t>
        </is>
      </c>
      <c r="E3223" s="17" t="inlineStr">
        <is>
          <t>SeatMapImageIT</t>
        </is>
      </c>
      <c r="F3223" s="17" t="inlineStr"/>
      <c r="G3223" s="17" t="inlineStr">
        <is>
          <t>ảnh của địa điểm hiện trên trang công khai của mọi sự kiện ở đó</t>
        </is>
      </c>
      <c r="H3223" s="17" t="inlineStr">
        <is>
          <t>anh_dia_diem_dung_cho_moi_su_kien</t>
        </is>
      </c>
      <c r="I3223" s="16" t="inlineStr">
        <is>
          <t>Đạt</t>
        </is>
      </c>
      <c r="J3223" s="16" t="n">
        <v>0.103</v>
      </c>
    </row>
    <row r="3224">
      <c r="A3224" s="16" t="n">
        <v>3220</v>
      </c>
      <c r="B3224" s="16" t="inlineStr">
        <is>
          <t>Backend</t>
        </is>
      </c>
      <c r="C3224" s="17" t="inlineStr">
        <is>
          <t>catalog-service</t>
        </is>
      </c>
      <c r="D3224" s="16" t="inlineStr">
        <is>
          <t>Integration</t>
        </is>
      </c>
      <c r="E3224" s="17" t="inlineStr">
        <is>
          <t>SeatMapImageIT</t>
        </is>
      </c>
      <c r="F3224" s="17" t="inlineStr"/>
      <c r="G3224" s="17" t="inlineStr">
        <is>
          <t>gỡ cả hai: trang công khai không có ảnh sơ đồ, và đó là trạng thái hợp lệ</t>
        </is>
      </c>
      <c r="H3224" s="17" t="inlineStr">
        <is>
          <t>khong_co_anh_nao</t>
        </is>
      </c>
      <c r="I3224" s="16" t="inlineStr">
        <is>
          <t>Đạt</t>
        </is>
      </c>
      <c r="J3224" s="16" t="n">
        <v>0.08799999999999999</v>
      </c>
    </row>
    <row r="3225">
      <c r="A3225" s="16" t="n">
        <v>3221</v>
      </c>
      <c r="B3225" s="16" t="inlineStr">
        <is>
          <t>Backend</t>
        </is>
      </c>
      <c r="C3225" s="17" t="inlineStr">
        <is>
          <t>catalog-service</t>
        </is>
      </c>
      <c r="D3225" s="16" t="inlineStr">
        <is>
          <t>Integration</t>
        </is>
      </c>
      <c r="E3225" s="17" t="inlineStr">
        <is>
          <t>SeatMapImageIT</t>
        </is>
      </c>
      <c r="F3225" s="17" t="inlineStr"/>
      <c r="G3225" s="17" t="inlineStr">
        <is>
          <t>gỡ ảnh riêng: quay về ảnh của địa điểm, không phải về trống</t>
        </is>
      </c>
      <c r="H3225" s="17" t="inlineStr">
        <is>
          <t>go_anh_su_kien_quay_ve_anh_dia_diem</t>
        </is>
      </c>
      <c r="I3225" s="16" t="inlineStr">
        <is>
          <t>Đạt</t>
        </is>
      </c>
      <c r="J3225" s="16" t="n">
        <v>0.103</v>
      </c>
    </row>
    <row r="3226">
      <c r="A3226" s="16" t="n">
        <v>3222</v>
      </c>
      <c r="B3226" s="16" t="inlineStr">
        <is>
          <t>Backend</t>
        </is>
      </c>
      <c r="C3226" s="17" t="inlineStr">
        <is>
          <t>catalog-service</t>
        </is>
      </c>
      <c r="D3226" s="16" t="inlineStr">
        <is>
          <t>Integration</t>
        </is>
      </c>
      <c r="E3226" s="17" t="inlineStr">
        <is>
          <t>SeatMapImageIT</t>
        </is>
      </c>
      <c r="F3226" s="17" t="inlineStr"/>
      <c r="G3226" s="17" t="inlineStr">
        <is>
          <t>đường dẫn không phải https bị từ chối</t>
        </is>
      </c>
      <c r="H3226" s="17" t="inlineStr">
        <is>
          <t>tu_choi_duong_dan_khong_https</t>
        </is>
      </c>
      <c r="I3226" s="16" t="inlineStr">
        <is>
          <t>Đạt</t>
        </is>
      </c>
      <c r="J3226" s="16" t="n">
        <v>0.08400000000000001</v>
      </c>
    </row>
    <row r="3227">
      <c r="A3227" s="16" t="n">
        <v>3223</v>
      </c>
      <c r="B3227" s="16" t="inlineStr">
        <is>
          <t>Backend</t>
        </is>
      </c>
      <c r="C3227" s="17" t="inlineStr">
        <is>
          <t>catalog-service</t>
        </is>
      </c>
      <c r="D3227" s="16" t="inlineStr">
        <is>
          <t>Integration</t>
        </is>
      </c>
      <c r="E3227" s="17" t="inlineStr">
        <is>
          <t>SeatMapImageIT</t>
        </is>
      </c>
      <c r="F3227" s="17" t="inlineStr"/>
      <c r="G3227" s="17" t="inlineStr">
        <is>
          <t>địa điểm của tổ chức khác: 404, không phải 403</t>
        </is>
      </c>
      <c r="H3227" s="17" t="inlineStr">
        <is>
          <t>dia_diem_to_chuc_khac</t>
        </is>
      </c>
      <c r="I3227" s="16" t="inlineStr">
        <is>
          <t>Đạt</t>
        </is>
      </c>
      <c r="J3227" s="16" t="n">
        <v>0.081</v>
      </c>
    </row>
    <row r="3228">
      <c r="A3228" s="16" t="n">
        <v>3224</v>
      </c>
      <c r="B3228" s="16" t="inlineStr">
        <is>
          <t>Backend</t>
        </is>
      </c>
      <c r="C3228" s="17" t="inlineStr">
        <is>
          <t>catalog-service</t>
        </is>
      </c>
      <c r="D3228" s="16" t="inlineStr">
        <is>
          <t>Integration</t>
        </is>
      </c>
      <c r="E3228" s="17" t="inlineStr">
        <is>
          <t>SeatMapImageIT</t>
        </is>
      </c>
      <c r="F3228" s="17" t="inlineStr"/>
      <c r="G3228" s="17" t="inlineStr">
        <is>
          <t>ảnh riêng của sự kiện đè lên ảnh của địa điểm</t>
        </is>
      </c>
      <c r="H3228" s="17" t="inlineStr">
        <is>
          <t>anh_su_kien_de_len_anh_dia_diem</t>
        </is>
      </c>
      <c r="I3228" s="16" t="inlineStr">
        <is>
          <t>Đạt</t>
        </is>
      </c>
      <c r="J3228" s="16" t="n">
        <v>0.096</v>
      </c>
    </row>
    <row r="3229">
      <c r="A3229" s="16" t="n">
        <v>3225</v>
      </c>
      <c r="B3229" s="16" t="inlineStr">
        <is>
          <t>Backend</t>
        </is>
      </c>
      <c r="C3229" s="17" t="inlineStr">
        <is>
          <t>catalog-service</t>
        </is>
      </c>
      <c r="D3229" s="16" t="inlineStr">
        <is>
          <t>Integration</t>
        </is>
      </c>
      <c r="E3229" s="17" t="inlineStr">
        <is>
          <t>SeatMapImageIT</t>
        </is>
      </c>
      <c r="F3229" s="17" t="inlineStr"/>
      <c r="G3229" s="17" t="inlineStr">
        <is>
          <t>màn hình quản trị thấy cả hai ảnh, không chỉ ảnh đang có hiệu lực</t>
        </is>
      </c>
      <c r="H3229" s="17" t="inlineStr">
        <is>
          <t>quan_tri_thay_ca_hai</t>
        </is>
      </c>
      <c r="I3229" s="16" t="inlineStr">
        <is>
          <t>Đạt</t>
        </is>
      </c>
      <c r="J3229" s="16" t="n">
        <v>0.091</v>
      </c>
    </row>
    <row r="3230">
      <c r="A3230" s="16" t="n">
        <v>3226</v>
      </c>
      <c r="B3230" s="16" t="inlineStr">
        <is>
          <t>Backend</t>
        </is>
      </c>
      <c r="C3230" s="17" t="inlineStr">
        <is>
          <t>identity-service</t>
        </is>
      </c>
      <c r="D3230" s="16" t="inlineStr">
        <is>
          <t>Integration</t>
        </is>
      </c>
      <c r="E3230" s="17" t="inlineStr">
        <is>
          <t>AccessControlIT</t>
        </is>
      </c>
      <c r="F3230" s="17" t="inlineStr"/>
      <c r="G3230" s="17" t="inlineStr">
        <is>
          <t>superadmin cấp thẳng ORG_ADMIN cho người đã từng đăng nhập</t>
        </is>
      </c>
      <c r="H3230" s="17" t="inlineStr">
        <is>
          <t>cap_thang_cho_nguoi_da_ton_tai</t>
        </is>
      </c>
      <c r="I3230" s="16" t="inlineStr">
        <is>
          <t>Đạt</t>
        </is>
      </c>
      <c r="J3230" s="16" t="n">
        <v>1.947</v>
      </c>
    </row>
    <row r="3231">
      <c r="A3231" s="16" t="n">
        <v>3227</v>
      </c>
      <c r="B3231" s="16" t="inlineStr">
        <is>
          <t>Backend</t>
        </is>
      </c>
      <c r="C3231" s="17" t="inlineStr">
        <is>
          <t>identity-service</t>
        </is>
      </c>
      <c r="D3231" s="16" t="inlineStr">
        <is>
          <t>Integration</t>
        </is>
      </c>
      <c r="E3231" s="17" t="inlineStr">
        <is>
          <t>AccessControlIT</t>
        </is>
      </c>
      <c r="F3231" s="17" t="inlineStr"/>
      <c r="G3231" s="17" t="inlineStr">
        <is>
          <t>EVENT_MANAGER không gửi được thư đặt lại mật khẩu cho ai</t>
        </is>
      </c>
      <c r="H3231" s="17" t="inlineStr">
        <is>
          <t>quan_ly_su_kien_khong_gui_duoc</t>
        </is>
      </c>
      <c r="I3231" s="16" t="inlineStr">
        <is>
          <t>Đạt</t>
        </is>
      </c>
      <c r="J3231" s="16" t="n">
        <v>0.11</v>
      </c>
    </row>
    <row r="3232">
      <c r="A3232" s="16" t="n">
        <v>3228</v>
      </c>
      <c r="B3232" s="16" t="inlineStr">
        <is>
          <t>Backend</t>
        </is>
      </c>
      <c r="C3232" s="17" t="inlineStr">
        <is>
          <t>identity-service</t>
        </is>
      </c>
      <c r="D3232" s="16" t="inlineStr">
        <is>
          <t>Integration</t>
        </is>
      </c>
      <c r="E3232" s="17" t="inlineStr">
        <is>
          <t>AccessControlIT</t>
        </is>
      </c>
      <c r="F3232" s="17" t="inlineStr"/>
      <c r="G3232" s="17" t="inlineStr">
        <is>
          <t>không gửi được cho người ngoài tổ chức mình</t>
        </is>
      </c>
      <c r="H3232" s="17" t="inlineStr">
        <is>
          <t>khong_gui_duoc_cho_nguoi_ngoai</t>
        </is>
      </c>
      <c r="I3232" s="16" t="inlineStr">
        <is>
          <t>Đạt</t>
        </is>
      </c>
      <c r="J3232" s="16" t="n">
        <v>0.08400000000000001</v>
      </c>
    </row>
    <row r="3233">
      <c r="A3233" s="16" t="n">
        <v>3229</v>
      </c>
      <c r="B3233" s="16" t="inlineStr">
        <is>
          <t>Backend</t>
        </is>
      </c>
      <c r="C3233" s="17" t="inlineStr">
        <is>
          <t>identity-service</t>
        </is>
      </c>
      <c r="D3233" s="16" t="inlineStr">
        <is>
          <t>Integration</t>
        </is>
      </c>
      <c r="E3233" s="17" t="inlineStr">
        <is>
          <t>AccessControlIT</t>
        </is>
      </c>
      <c r="F3233" s="17" t="inlineStr"/>
      <c r="G3233" s="17" t="inlineStr">
        <is>
          <t>GET /v1/roles trả cả ma trận, để frontend không phải hard-code tên vai trò</t>
        </is>
      </c>
      <c r="H3233" s="17" t="inlineStr">
        <is>
          <t>ma_tran_doc_duoc</t>
        </is>
      </c>
      <c r="I3233" s="16" t="inlineStr">
        <is>
          <t>Đạt</t>
        </is>
      </c>
      <c r="J3233" s="16" t="n">
        <v>0.08500000000000001</v>
      </c>
    </row>
    <row r="3234">
      <c r="A3234" s="16" t="n">
        <v>3230</v>
      </c>
      <c r="B3234" s="16" t="inlineStr">
        <is>
          <t>Backend</t>
        </is>
      </c>
      <c r="C3234" s="17" t="inlineStr">
        <is>
          <t>identity-service</t>
        </is>
      </c>
      <c r="D3234" s="16" t="inlineStr">
        <is>
          <t>Integration</t>
        </is>
      </c>
      <c r="E3234" s="17" t="inlineStr">
        <is>
          <t>AccessControlIT</t>
        </is>
      </c>
      <c r="F3234" s="17" t="inlineStr"/>
      <c r="G3234" s="17" t="inlineStr">
        <is>
          <t>quản trị viên gửi hộ thư đặt lại mật khẩu cho nhân viên của mình</t>
        </is>
      </c>
      <c r="H3234" s="17" t="inlineStr">
        <is>
          <t>gui_ho_thu_dat_lai_mat_khau</t>
        </is>
      </c>
      <c r="I3234" s="16" t="inlineStr">
        <is>
          <t>Đạt</t>
        </is>
      </c>
      <c r="J3234" s="16" t="n">
        <v>0.109</v>
      </c>
    </row>
    <row r="3235">
      <c r="A3235" s="16" t="n">
        <v>3231</v>
      </c>
      <c r="B3235" s="16" t="inlineStr">
        <is>
          <t>Backend</t>
        </is>
      </c>
      <c r="C3235" s="17" t="inlineStr">
        <is>
          <t>identity-service</t>
        </is>
      </c>
      <c r="D3235" s="16" t="inlineStr">
        <is>
          <t>Integration</t>
        </is>
      </c>
      <c r="E3235" s="17" t="inlineStr">
        <is>
          <t>AccessControlIT</t>
        </is>
      </c>
      <c r="F3235" s="17" t="inlineStr"/>
      <c r="G3235" s="17" t="inlineStr">
        <is>
          <t>GET /v1/me/permissions trả quyền theo từng tổ chức của chính người gọi</t>
        </is>
      </c>
      <c r="H3235" s="17" t="inlineStr">
        <is>
          <t>quyen_cua_toi</t>
        </is>
      </c>
      <c r="I3235" s="16" t="inlineStr">
        <is>
          <t>Đạt</t>
        </is>
      </c>
      <c r="J3235" s="16" t="n">
        <v>0.049</v>
      </c>
    </row>
    <row r="3236">
      <c r="A3236" s="16" t="n">
        <v>3232</v>
      </c>
      <c r="B3236" s="16" t="inlineStr">
        <is>
          <t>Backend</t>
        </is>
      </c>
      <c r="C3236" s="17" t="inlineStr">
        <is>
          <t>identity-service</t>
        </is>
      </c>
      <c r="D3236" s="16" t="inlineStr">
        <is>
          <t>Integration</t>
        </is>
      </c>
      <c r="E3236" s="17" t="inlineStr">
        <is>
          <t>AccessControlIT</t>
        </is>
      </c>
      <c r="F3236" s="17" t="inlineStr"/>
      <c r="G3236" s="17" t="inlineStr">
        <is>
          <t>không phải superadmin thì không cấp được thành viên</t>
        </is>
      </c>
      <c r="H3236" s="17" t="inlineStr">
        <is>
          <t>nguoi_thuong_khong_cap_duoc</t>
        </is>
      </c>
      <c r="I3236" s="16" t="inlineStr">
        <is>
          <t>Đạt</t>
        </is>
      </c>
      <c r="J3236" s="16" t="n">
        <v>0.038</v>
      </c>
    </row>
    <row r="3237">
      <c r="A3237" s="16" t="n">
        <v>3233</v>
      </c>
      <c r="B3237" s="16" t="inlineStr">
        <is>
          <t>Backend</t>
        </is>
      </c>
      <c r="C3237" s="17" t="inlineStr">
        <is>
          <t>identity-service</t>
        </is>
      </c>
      <c r="D3237" s="16" t="inlineStr">
        <is>
          <t>Integration</t>
        </is>
      </c>
      <c r="E3237" s="17" t="inlineStr">
        <is>
          <t>AccessControlIT</t>
        </is>
      </c>
      <c r="F3237" s="17" t="inlineStr"/>
      <c r="G3237" s="17" t="inlineStr">
        <is>
          <t>tổ chức đọc được vết thao tác của chính mình</t>
        </is>
      </c>
      <c r="H3237" s="17" t="inlineStr">
        <is>
          <t>doc_nhat_ky_cua_to_chuc</t>
        </is>
      </c>
      <c r="I3237" s="16" t="inlineStr">
        <is>
          <t>Đạt</t>
        </is>
      </c>
      <c r="J3237" s="16" t="n">
        <v>0.121</v>
      </c>
    </row>
    <row r="3238">
      <c r="A3238" s="16" t="n">
        <v>3234</v>
      </c>
      <c r="B3238" s="16" t="inlineStr">
        <is>
          <t>Backend</t>
        </is>
      </c>
      <c r="C3238" s="17" t="inlineStr">
        <is>
          <t>identity-service</t>
        </is>
      </c>
      <c r="D3238" s="16" t="inlineStr">
        <is>
          <t>Integration</t>
        </is>
      </c>
      <c r="E3238" s="17" t="inlineStr">
        <is>
          <t>AccessControlIT</t>
        </is>
      </c>
      <c r="F3238" s="17" t="inlineStr"/>
      <c r="G3238" s="17" t="inlineStr">
        <is>
          <t>Keycloak không trả lời: 503 kèm lý do, không phải 500</t>
        </is>
      </c>
      <c r="H3238" s="17" t="inlineStr">
        <is>
          <t>idp_im_lang_thi_503</t>
        </is>
      </c>
      <c r="I3238" s="16" t="inlineStr">
        <is>
          <t>Đạt</t>
        </is>
      </c>
      <c r="J3238" s="16" t="n">
        <v>0.08</v>
      </c>
    </row>
    <row r="3239">
      <c r="A3239" s="16" t="n">
        <v>3235</v>
      </c>
      <c r="B3239" s="16" t="inlineStr">
        <is>
          <t>Backend</t>
        </is>
      </c>
      <c r="C3239" s="17" t="inlineStr">
        <is>
          <t>identity-service</t>
        </is>
      </c>
      <c r="D3239" s="16" t="inlineStr">
        <is>
          <t>Integration</t>
        </is>
      </c>
      <c r="E3239" s="17" t="inlineStr">
        <is>
          <t>AccessControlIT</t>
        </is>
      </c>
      <c r="F3239" s="17" t="inlineStr"/>
      <c r="G3239" s="17" t="inlineStr">
        <is>
          <t>người chưa từng đăng nhập: rơi về lời mời, và nói rõ là đã làm thế</t>
        </is>
      </c>
      <c r="H3239" s="17" t="inlineStr">
        <is>
          <t>chua_dang_nhap_thi_roi_ve_loi_moi</t>
        </is>
      </c>
      <c r="I3239" s="16" t="inlineStr">
        <is>
          <t>Đạt</t>
        </is>
      </c>
      <c r="J3239" s="16" t="n">
        <v>0.079</v>
      </c>
    </row>
    <row r="3240">
      <c r="A3240" s="16" t="n">
        <v>3236</v>
      </c>
      <c r="B3240" s="16" t="inlineStr">
        <is>
          <t>Backend</t>
        </is>
      </c>
      <c r="C3240" s="17" t="inlineStr">
        <is>
          <t>identity-service</t>
        </is>
      </c>
      <c r="D3240" s="16" t="inlineStr">
        <is>
          <t>Integration</t>
        </is>
      </c>
      <c r="E3240" s="17" t="inlineStr">
        <is>
          <t>AccessControlIT</t>
        </is>
      </c>
      <c r="F3240" s="17" t="inlineStr"/>
      <c r="G3240" s="17" t="inlineStr">
        <is>
          <t>EVENT_MANAGER không mời được thành viên, ORG_OWNER thì được</t>
        </is>
      </c>
      <c r="H3240" s="17" t="inlineStr">
        <is>
          <t>chi_quan_tri_moi_duoc_thanh_vien</t>
        </is>
      </c>
      <c r="I3240" s="16" t="inlineStr">
        <is>
          <t>Đạt</t>
        </is>
      </c>
      <c r="J3240" s="16" t="n">
        <v>0.108</v>
      </c>
    </row>
    <row r="3241">
      <c r="A3241" s="16" t="n">
        <v>3237</v>
      </c>
      <c r="B3241" s="16" t="inlineStr">
        <is>
          <t>Backend</t>
        </is>
      </c>
      <c r="C3241" s="17" t="inlineStr">
        <is>
          <t>identity-service</t>
        </is>
      </c>
      <c r="D3241" s="16" t="inlineStr">
        <is>
          <t>Integration</t>
        </is>
      </c>
      <c r="E3241" s="17" t="inlineStr">
        <is>
          <t>AccessControlIT</t>
        </is>
      </c>
      <c r="F3241" s="17" t="inlineStr"/>
      <c r="G3241" s="17" t="inlineStr">
        <is>
          <t>không đọc được nhật ký của tổ chức mình không thuộc</t>
        </is>
      </c>
      <c r="H3241" s="17" t="inlineStr">
        <is>
          <t>khong_doc_duoc_nhat_ky_to_chuc_khac</t>
        </is>
      </c>
      <c r="I3241" s="16" t="inlineStr">
        <is>
          <t>Đạt</t>
        </is>
      </c>
      <c r="J3241" s="16" t="n">
        <v>0.053</v>
      </c>
    </row>
    <row r="3242">
      <c r="A3242" s="16" t="n">
        <v>3238</v>
      </c>
      <c r="B3242" s="16" t="inlineStr">
        <is>
          <t>Backend</t>
        </is>
      </c>
      <c r="C3242" s="17" t="inlineStr">
        <is>
          <t>identity-service</t>
        </is>
      </c>
      <c r="D3242" s="16" t="inlineStr">
        <is>
          <t>Integration</t>
        </is>
      </c>
      <c r="E3242" s="17" t="inlineStr">
        <is>
          <t>AccessControlIT</t>
        </is>
      </c>
      <c r="F3242" s="17" t="inlineStr"/>
      <c r="G3242" s="17" t="inlineStr">
        <is>
          <t>CUSTOMER không phải vai trò của tổ chức: 400</t>
        </is>
      </c>
      <c r="H3242" s="17" t="inlineStr">
        <is>
          <t>vai_tro_ngoai_pham_vi_to_chuc</t>
        </is>
      </c>
      <c r="I3242" s="16" t="inlineStr">
        <is>
          <t>Đạt</t>
        </is>
      </c>
      <c r="J3242" s="16" t="n">
        <v>0.06</v>
      </c>
    </row>
    <row r="3243">
      <c r="A3243" s="16" t="n">
        <v>3239</v>
      </c>
      <c r="B3243" s="16" t="inlineStr">
        <is>
          <t>Backend</t>
        </is>
      </c>
      <c r="C3243" s="17" t="inlineStr">
        <is>
          <t>identity-service</t>
        </is>
      </c>
      <c r="D3243" s="16" t="inlineStr">
        <is>
          <t>Integration</t>
        </is>
      </c>
      <c r="E3243" s="17" t="inlineStr">
        <is>
          <t>AccessControlIT</t>
        </is>
      </c>
      <c r="F3243" s="17" t="inlineStr"/>
      <c r="G3243" s="17" t="inlineStr">
        <is>
          <t>EVENT_MANAGER không đọc được nhật ký kiểm toán</t>
        </is>
      </c>
      <c r="H3243" s="17" t="inlineStr">
        <is>
          <t>quan_ly_su_kien_khong_doc_nhat_ky</t>
        </is>
      </c>
      <c r="I3243" s="16" t="inlineStr">
        <is>
          <t>Đạt</t>
        </is>
      </c>
      <c r="J3243" s="16" t="n">
        <v>0.044</v>
      </c>
    </row>
    <row r="3244">
      <c r="A3244" s="16" t="n">
        <v>3240</v>
      </c>
      <c r="B3244" s="16" t="inlineStr">
        <is>
          <t>Backend</t>
        </is>
      </c>
      <c r="C3244" s="17" t="inlineStr">
        <is>
          <t>identity-service</t>
        </is>
      </c>
      <c r="D3244" s="16" t="inlineStr">
        <is>
          <t>Integration</t>
        </is>
      </c>
      <c r="E3244" s="17" t="inlineStr">
        <is>
          <t>AuthenticationFlowIT</t>
        </is>
      </c>
      <c r="F3244" s="17" t="inlineStr"/>
      <c r="G3244" s="17" t="inlineStr">
        <is>
          <t>Không có token: 401</t>
        </is>
      </c>
      <c r="H3244" s="17" t="inlineStr">
        <is>
          <t>khong_co_token</t>
        </is>
      </c>
      <c r="I3244" s="16" t="inlineStr">
        <is>
          <t>Đạt</t>
        </is>
      </c>
      <c r="J3244" s="16" t="n">
        <v>0.048</v>
      </c>
    </row>
    <row r="3245">
      <c r="A3245" s="16" t="n">
        <v>3241</v>
      </c>
      <c r="B3245" s="16" t="inlineStr">
        <is>
          <t>Backend</t>
        </is>
      </c>
      <c r="C3245" s="17" t="inlineStr">
        <is>
          <t>identity-service</t>
        </is>
      </c>
      <c r="D3245" s="16" t="inlineStr">
        <is>
          <t>Integration</t>
        </is>
      </c>
      <c r="E3245" s="17" t="inlineStr">
        <is>
          <t>AuthenticationFlowIT</t>
        </is>
      </c>
      <c r="F3245" s="17" t="inlineStr"/>
      <c r="G3245" s="17" t="inlineStr">
        <is>
          <t>JWT hợp lệ nhưng KHÔNG phải superadmin: 403, không phải 401</t>
        </is>
      </c>
      <c r="H3245" s="17" t="inlineStr">
        <is>
          <t>nguoi_thuong_bi_tu_choi_dung_ma</t>
        </is>
      </c>
      <c r="I3245" s="16" t="inlineStr">
        <is>
          <t>Đạt</t>
        </is>
      </c>
      <c r="J3245" s="16" t="n">
        <v>0.039</v>
      </c>
    </row>
    <row r="3246">
      <c r="A3246" s="16" t="n">
        <v>3242</v>
      </c>
      <c r="B3246" s="16" t="inlineStr">
        <is>
          <t>Backend</t>
        </is>
      </c>
      <c r="C3246" s="17" t="inlineStr">
        <is>
          <t>identity-service</t>
        </is>
      </c>
      <c r="D3246" s="16" t="inlineStr">
        <is>
          <t>Integration</t>
        </is>
      </c>
      <c r="E3246" s="17" t="inlineStr">
        <is>
          <t>AuthenticationFlowIT</t>
        </is>
      </c>
      <c r="F3246" s="17" t="inlineStr"/>
      <c r="G3246" s="17" t="inlineStr">
        <is>
          <t>người thường vào route nền tảng: 403, không phải 404</t>
        </is>
      </c>
      <c r="H3246" s="17" t="inlineStr">
        <is>
          <t>nguoi_thuong_vao_route_nen_tang</t>
        </is>
      </c>
      <c r="I3246" s="16" t="inlineStr">
        <is>
          <t>Đạt</t>
        </is>
      </c>
      <c r="J3246" s="16" t="n">
        <v>0.038</v>
      </c>
    </row>
    <row r="3247">
      <c r="A3247" s="16" t="n">
        <v>3243</v>
      </c>
      <c r="B3247" s="16" t="inlineStr">
        <is>
          <t>Backend</t>
        </is>
      </c>
      <c r="C3247" s="17" t="inlineStr">
        <is>
          <t>identity-service</t>
        </is>
      </c>
      <c r="D3247" s="16" t="inlineStr">
        <is>
          <t>Integration</t>
        </is>
      </c>
      <c r="E3247" s="17" t="inlineStr">
        <is>
          <t>AuthenticationFlowIT</t>
        </is>
      </c>
      <c r="F3247" s="17" t="inlineStr"/>
      <c r="G3247" s="17" t="inlineStr">
        <is>
          <t>superadmin dùng được route /v1/platform/{id}/... dù không là thành viên tổ chức đó</t>
        </is>
      </c>
      <c r="H3247" s="17" t="inlineStr">
        <is>
          <t>superadmin_thao_tac_cross_tenant</t>
        </is>
      </c>
      <c r="I3247" s="16" t="inlineStr">
        <is>
          <t>Đạt</t>
        </is>
      </c>
      <c r="J3247" s="16" t="n">
        <v>0.132</v>
      </c>
    </row>
    <row r="3248">
      <c r="A3248" s="16" t="n">
        <v>3244</v>
      </c>
      <c r="B3248" s="16" t="inlineStr">
        <is>
          <t>Backend</t>
        </is>
      </c>
      <c r="C3248" s="17" t="inlineStr">
        <is>
          <t>identity-service</t>
        </is>
      </c>
      <c r="D3248" s="16" t="inlineStr">
        <is>
          <t>Integration</t>
        </is>
      </c>
      <c r="E3248" s="17" t="inlineStr">
        <is>
          <t>AuthenticationFlowIT</t>
        </is>
      </c>
      <c r="F3248" s="17" t="inlineStr"/>
      <c r="G3248" s="17" t="inlineStr">
        <is>
          <t>JWT hợp lệ nhưng chưa có bản ghi user: KHÔNG được là 401 câm</t>
        </is>
      </c>
      <c r="H3248" s="17" t="inlineStr">
        <is>
          <t>chua_provision_thi_khong_duoc_401_cam</t>
        </is>
      </c>
      <c r="I3248" s="16" t="inlineStr">
        <is>
          <t>Đạt</t>
        </is>
      </c>
      <c r="J3248" s="16" t="n">
        <v>0.051</v>
      </c>
    </row>
    <row r="3249">
      <c r="A3249" s="16" t="n">
        <v>3245</v>
      </c>
      <c r="B3249" s="16" t="inlineStr">
        <is>
          <t>Backend</t>
        </is>
      </c>
      <c r="C3249" s="17" t="inlineStr">
        <is>
          <t>identity-service</t>
        </is>
      </c>
      <c r="D3249" s="16" t="inlineStr">
        <is>
          <t>Integration</t>
        </is>
      </c>
      <c r="E3249" s="17" t="inlineStr">
        <is>
          <t>AuthenticationFlowIT</t>
        </is>
      </c>
      <c r="F3249" s="17" t="inlineStr"/>
      <c r="G3249" s="17" t="inlineStr">
        <is>
          <t>JWT hợp lệ + user đã có + là superadmin: tạo được tổ chức</t>
        </is>
      </c>
      <c r="H3249" s="17" t="inlineStr">
        <is>
          <t>superadmin_tao_duoc_to_chuc</t>
        </is>
      </c>
      <c r="I3249" s="16" t="inlineStr">
        <is>
          <t>Đạt</t>
        </is>
      </c>
      <c r="J3249" s="16" t="n">
        <v>0.061</v>
      </c>
    </row>
    <row r="3250">
      <c r="A3250" s="16" t="n">
        <v>3246</v>
      </c>
      <c r="B3250" s="16" t="inlineStr">
        <is>
          <t>Backend</t>
        </is>
      </c>
      <c r="C3250" s="17" t="inlineStr">
        <is>
          <t>identity-service</t>
        </is>
      </c>
      <c r="D3250" s="16" t="inlineStr">
        <is>
          <t>Integration</t>
        </is>
      </c>
      <c r="E3250" s="17" t="inlineStr">
        <is>
          <t>InternalApiSecretIT</t>
        </is>
      </c>
      <c r="F3250" s="17" t="inlineStr"/>
      <c r="G3250" s="17" t="inlineStr">
        <is>
          <t>không có header thì 404, không phải 401</t>
        </is>
      </c>
      <c r="H3250" s="17" t="inlineStr">
        <is>
          <t>thieu_header_thi_404</t>
        </is>
      </c>
      <c r="I3250" s="16" t="inlineStr">
        <is>
          <t>Đạt</t>
        </is>
      </c>
      <c r="J3250" s="16" t="n">
        <v>0.018</v>
      </c>
    </row>
    <row r="3251">
      <c r="A3251" s="16" t="n">
        <v>3247</v>
      </c>
      <c r="B3251" s="16" t="inlineStr">
        <is>
          <t>Backend</t>
        </is>
      </c>
      <c r="C3251" s="17" t="inlineStr">
        <is>
          <t>identity-service</t>
        </is>
      </c>
      <c r="D3251" s="16" t="inlineStr">
        <is>
          <t>Integration</t>
        </is>
      </c>
      <c r="E3251" s="17" t="inlineStr">
        <is>
          <t>InternalApiSecretIT</t>
        </is>
      </c>
      <c r="F3251" s="17" t="inlineStr"/>
      <c r="G3251" s="17" t="inlineStr">
        <is>
          <t>chỉ chắn /internal/**: đường của người dùng vẫn đi tới lớp xác thực</t>
        </is>
      </c>
      <c r="H3251" s="17" t="inlineStr">
        <is>
          <t>khong_cham_duong_khac</t>
        </is>
      </c>
      <c r="I3251" s="16" t="inlineStr">
        <is>
          <t>Đạt</t>
        </is>
      </c>
      <c r="J3251" s="16" t="n">
        <v>0.017</v>
      </c>
    </row>
    <row r="3252">
      <c r="A3252" s="16" t="n">
        <v>3248</v>
      </c>
      <c r="B3252" s="16" t="inlineStr">
        <is>
          <t>Backend</t>
        </is>
      </c>
      <c r="C3252" s="17" t="inlineStr">
        <is>
          <t>identity-service</t>
        </is>
      </c>
      <c r="D3252" s="16" t="inlineStr">
        <is>
          <t>Integration</t>
        </is>
      </c>
      <c r="E3252" s="17" t="inlineStr">
        <is>
          <t>InternalApiSecretIT</t>
        </is>
      </c>
      <c r="F3252" s="17" t="inlineStr"/>
      <c r="G3252" s="17" t="inlineStr">
        <is>
          <t>sai bí mật thì cũng 404</t>
        </is>
      </c>
      <c r="H3252" s="17" t="inlineStr">
        <is>
          <t>sai_bi_mat_thi_404</t>
        </is>
      </c>
      <c r="I3252" s="16" t="inlineStr">
        <is>
          <t>Đạt</t>
        </is>
      </c>
      <c r="J3252" s="16" t="n">
        <v>0.013</v>
      </c>
    </row>
    <row r="3253">
      <c r="A3253" s="16" t="n">
        <v>3249</v>
      </c>
      <c r="B3253" s="16" t="inlineStr">
        <is>
          <t>Backend</t>
        </is>
      </c>
      <c r="C3253" s="17" t="inlineStr">
        <is>
          <t>identity-service</t>
        </is>
      </c>
      <c r="D3253" s="16" t="inlineStr">
        <is>
          <t>Integration</t>
        </is>
      </c>
      <c r="E3253" s="17" t="inlineStr">
        <is>
          <t>InternalApiSecretIT</t>
        </is>
      </c>
      <c r="F3253" s="17" t="inlineStr"/>
      <c r="G3253" s="17" t="inlineStr">
        <is>
          <t>đúng bí mật thì đi qua</t>
        </is>
      </c>
      <c r="H3253" s="17" t="inlineStr">
        <is>
          <t>dung_bi_mat_thi_qua</t>
        </is>
      </c>
      <c r="I3253" s="16" t="inlineStr">
        <is>
          <t>Đạt</t>
        </is>
      </c>
      <c r="J3253" s="16" t="n">
        <v>0.03</v>
      </c>
    </row>
    <row r="3254">
      <c r="A3254" s="16" t="n">
        <v>3250</v>
      </c>
      <c r="B3254" s="16" t="inlineStr">
        <is>
          <t>Backend</t>
        </is>
      </c>
      <c r="C3254" s="17" t="inlineStr">
        <is>
          <t>identity-service</t>
        </is>
      </c>
      <c r="D3254" s="16" t="inlineStr">
        <is>
          <t>Integration</t>
        </is>
      </c>
      <c r="E3254" s="17" t="inlineStr">
        <is>
          <t>InternalAuditIT</t>
        </is>
      </c>
      <c r="F3254" s="17" t="inlineStr"/>
      <c r="G3254" s="17" t="inlineStr">
        <is>
          <t>Service khác ghi được lượt xuất danh sách người mua, với đúng người thực hiện và tổ chức</t>
        </is>
      </c>
      <c r="H3254" s="17" t="inlineStr">
        <is>
          <t>ghi_luot_xuat</t>
        </is>
      </c>
      <c r="I3254" s="16" t="inlineStr">
        <is>
          <t>Đạt</t>
        </is>
      </c>
      <c r="J3254" s="16" t="n">
        <v>0.075</v>
      </c>
    </row>
    <row r="3255">
      <c r="A3255" s="16" t="n">
        <v>3251</v>
      </c>
      <c r="B3255" s="16" t="inlineStr">
        <is>
          <t>Backend</t>
        </is>
      </c>
      <c r="C3255" s="17" t="inlineStr">
        <is>
          <t>identity-service</t>
        </is>
      </c>
      <c r="D3255" s="16" t="inlineStr">
        <is>
          <t>Integration</t>
        </is>
      </c>
      <c r="E3255" s="17" t="inlineStr">
        <is>
          <t>InternalAuditIT</t>
        </is>
      </c>
      <c r="F3255" s="17" t="inlineStr"/>
      <c r="G3255" s="17" t="inlineStr">
        <is>
          <t>Đường này không dựng được dòng nhật ký giả cho hành động của identity</t>
        </is>
      </c>
      <c r="H3255" s="17" t="inlineStr">
        <is>
          <t>khong_ghi_duoc_hanh_dong_ngoai_danh_sach</t>
        </is>
      </c>
      <c r="I3255" s="16" t="inlineStr">
        <is>
          <t>Đạt</t>
        </is>
      </c>
      <c r="J3255" s="16" t="n">
        <v>0.029</v>
      </c>
    </row>
    <row r="3256">
      <c r="A3256" s="16" t="n">
        <v>3252</v>
      </c>
      <c r="B3256" s="16" t="inlineStr">
        <is>
          <t>Backend</t>
        </is>
      </c>
      <c r="C3256" s="17" t="inlineStr">
        <is>
          <t>identity-service</t>
        </is>
      </c>
      <c r="D3256" s="16" t="inlineStr">
        <is>
          <t>Integration</t>
        </is>
      </c>
      <c r="E3256" s="17" t="inlineStr">
        <is>
          <t>InternalOhsIT</t>
        </is>
      </c>
      <c r="F3256" s="17" t="inlineStr"/>
      <c r="G3256" s="17" t="inlineStr">
        <is>
          <t>lần chạm sau KHÔNG ghi đè tên người dùng đã tự sửa</t>
        </is>
      </c>
      <c r="H3256" s="17" t="inlineStr">
        <is>
          <t>khong_ghi_de_ho_so</t>
        </is>
      </c>
      <c r="I3256" s="16" t="inlineStr">
        <is>
          <t>Đạt</t>
        </is>
      </c>
      <c r="J3256" s="16" t="n">
        <v>0.095</v>
      </c>
    </row>
    <row r="3257">
      <c r="A3257" s="16" t="n">
        <v>3253</v>
      </c>
      <c r="B3257" s="16" t="inlineStr">
        <is>
          <t>Backend</t>
        </is>
      </c>
      <c r="C3257" s="17" t="inlineStr">
        <is>
          <t>identity-service</t>
        </is>
      </c>
      <c r="D3257" s="16" t="inlineStr">
        <is>
          <t>Integration</t>
        </is>
      </c>
      <c r="E3257" s="17" t="inlineStr">
        <is>
          <t>InternalOhsIT</t>
        </is>
      </c>
      <c r="F3257" s="17" t="inlineStr"/>
      <c r="G3257" s="17" t="inlineStr">
        <is>
          <t>không có email thì không tạo người dùng, và cũng không 500</t>
        </is>
      </c>
      <c r="H3257" s="17" t="inlineStr">
        <is>
          <t>thieu_email_thi_khong_tao</t>
        </is>
      </c>
      <c r="I3257" s="16" t="inlineStr">
        <is>
          <t>Đạt</t>
        </is>
      </c>
      <c r="J3257" s="16" t="n">
        <v>0.049</v>
      </c>
    </row>
    <row r="3258">
      <c r="A3258" s="16" t="n">
        <v>3254</v>
      </c>
      <c r="B3258" s="16" t="inlineStr">
        <is>
          <t>Backend</t>
        </is>
      </c>
      <c r="C3258" s="17" t="inlineStr">
        <is>
          <t>identity-service</t>
        </is>
      </c>
      <c r="D3258" s="16" t="inlineStr">
        <is>
          <t>Integration</t>
        </is>
      </c>
      <c r="E3258" s="17" t="inlineStr">
        <is>
          <t>InternalOhsIT</t>
        </is>
      </c>
      <c r="F3258" s="17" t="inlineStr"/>
      <c r="G3258" s="17" t="inlineStr">
        <is>
          <t>lần chạm đầu tiên tạo bản ghi người dùng</t>
        </is>
      </c>
      <c r="H3258" s="17" t="inlineStr">
        <is>
          <t>lan_dau_tao_ban_ghi</t>
        </is>
      </c>
      <c r="I3258" s="16" t="inlineStr">
        <is>
          <t>Đạt</t>
        </is>
      </c>
      <c r="J3258" s="16" t="n">
        <v>0.048</v>
      </c>
    </row>
    <row r="3259">
      <c r="A3259" s="16" t="n">
        <v>3255</v>
      </c>
      <c r="B3259" s="16" t="inlineStr">
        <is>
          <t>Backend</t>
        </is>
      </c>
      <c r="C3259" s="17" t="inlineStr">
        <is>
          <t>identity-service</t>
        </is>
      </c>
      <c r="D3259" s="16" t="inlineStr">
        <is>
          <t>Integration</t>
        </is>
      </c>
      <c r="E3259" s="17" t="inlineStr">
        <is>
          <t>MemberManagementIT</t>
        </is>
      </c>
      <c r="F3259" s="17" t="inlineStr"/>
      <c r="G3259" s="17" t="inlineStr">
        <is>
          <t>đổi tên tổ chức</t>
        </is>
      </c>
      <c r="H3259" s="17" t="inlineStr">
        <is>
          <t>doi_ten_to_chuc</t>
        </is>
      </c>
      <c r="I3259" s="16" t="inlineStr">
        <is>
          <t>Đạt</t>
        </is>
      </c>
      <c r="J3259" s="16" t="n">
        <v>0.142</v>
      </c>
    </row>
    <row r="3260">
      <c r="A3260" s="16" t="n">
        <v>3256</v>
      </c>
      <c r="B3260" s="16" t="inlineStr">
        <is>
          <t>Backend</t>
        </is>
      </c>
      <c r="C3260" s="17" t="inlineStr">
        <is>
          <t>identity-service</t>
        </is>
      </c>
      <c r="D3260" s="16" t="inlineStr">
        <is>
          <t>Integration</t>
        </is>
      </c>
      <c r="E3260" s="17" t="inlineStr">
        <is>
          <t>MemberManagementIT</t>
        </is>
      </c>
      <c r="F3260" s="17" t="inlineStr"/>
      <c r="G3260" s="17" t="inlineStr">
        <is>
          <t>không tự gỡ chính mình khỏi tổ chức</t>
        </is>
      </c>
      <c r="H3260" s="17" t="inlineStr">
        <is>
          <t>khong_tu_go_chinh_minh</t>
        </is>
      </c>
      <c r="I3260" s="16" t="inlineStr">
        <is>
          <t>Đạt</t>
        </is>
      </c>
      <c r="J3260" s="16" t="n">
        <v>0.065</v>
      </c>
    </row>
    <row r="3261">
      <c r="A3261" s="16" t="n">
        <v>3257</v>
      </c>
      <c r="B3261" s="16" t="inlineStr">
        <is>
          <t>Backend</t>
        </is>
      </c>
      <c r="C3261" s="17" t="inlineStr">
        <is>
          <t>identity-service</t>
        </is>
      </c>
      <c r="D3261" s="16" t="inlineStr">
        <is>
          <t>Integration</t>
        </is>
      </c>
      <c r="E3261" s="17" t="inlineStr">
        <is>
          <t>MemberManagementIT</t>
        </is>
      </c>
      <c r="F3261" s="17" t="inlineStr"/>
      <c r="G3261" s="17" t="inlineStr">
        <is>
          <t>gỡ được thành viên khác</t>
        </is>
      </c>
      <c r="H3261" s="17" t="inlineStr">
        <is>
          <t>go_thanh_vien_khac</t>
        </is>
      </c>
      <c r="I3261" s="16" t="inlineStr">
        <is>
          <t>Đạt</t>
        </is>
      </c>
      <c r="J3261" s="16" t="n">
        <v>0.104</v>
      </c>
    </row>
    <row r="3262">
      <c r="A3262" s="16" t="n">
        <v>3258</v>
      </c>
      <c r="B3262" s="16" t="inlineStr">
        <is>
          <t>Backend</t>
        </is>
      </c>
      <c r="C3262" s="17" t="inlineStr">
        <is>
          <t>identity-service</t>
        </is>
      </c>
      <c r="D3262" s="16" t="inlineStr">
        <is>
          <t>Integration</t>
        </is>
      </c>
      <c r="E3262" s="17" t="inlineStr">
        <is>
          <t>MemberManagementIT</t>
        </is>
      </c>
      <c r="F3262" s="17" t="inlineStr"/>
      <c r="G3262" s="17" t="inlineStr">
        <is>
          <t>EVENT_MANAGER không quản lý được thành viên</t>
        </is>
      </c>
      <c r="H3262" s="17" t="inlineStr">
        <is>
          <t>event_manager_khong_quan_ly_thanh_vien</t>
        </is>
      </c>
      <c r="I3262" s="16" t="inlineStr">
        <is>
          <t>Đạt</t>
        </is>
      </c>
      <c r="J3262" s="16" t="n">
        <v>0.058</v>
      </c>
    </row>
    <row r="3263">
      <c r="A3263" s="16" t="n">
        <v>3259</v>
      </c>
      <c r="B3263" s="16" t="inlineStr">
        <is>
          <t>Backend</t>
        </is>
      </c>
      <c r="C3263" s="17" t="inlineStr">
        <is>
          <t>identity-service</t>
        </is>
      </c>
      <c r="D3263" s="16" t="inlineStr">
        <is>
          <t>Integration</t>
        </is>
      </c>
      <c r="E3263" s="17" t="inlineStr">
        <is>
          <t>MemberManagementIT</t>
        </is>
      </c>
      <c r="F3263" s="17" t="inlineStr"/>
      <c r="G3263" s="17" t="inlineStr">
        <is>
          <t>GET /v1/me trả hồ sơ kèm tổ chức và vai trò</t>
        </is>
      </c>
      <c r="H3263" s="17" t="inlineStr">
        <is>
          <t>ho_so_kem_to_chuc</t>
        </is>
      </c>
      <c r="I3263" s="16" t="inlineStr">
        <is>
          <t>Đạt</t>
        </is>
      </c>
      <c r="J3263" s="16" t="n">
        <v>0.078</v>
      </c>
    </row>
    <row r="3264">
      <c r="A3264" s="16" t="n">
        <v>3260</v>
      </c>
      <c r="B3264" s="16" t="inlineStr">
        <is>
          <t>Backend</t>
        </is>
      </c>
      <c r="C3264" s="17" t="inlineStr">
        <is>
          <t>identity-service</t>
        </is>
      </c>
      <c r="D3264" s="16" t="inlineStr">
        <is>
          <t>Integration</t>
        </is>
      </c>
      <c r="E3264" s="17" t="inlineStr">
        <is>
          <t>MemberManagementIT</t>
        </is>
      </c>
      <c r="F3264" s="17" t="inlineStr"/>
      <c r="G3264" s="17" t="inlineStr">
        <is>
          <t>PATCH /v1/me: bỏ trống một ô thì KHÔNG xoá giá trị cũ</t>
        </is>
      </c>
      <c r="H3264" s="17" t="inlineStr">
        <is>
          <t>patch_bo_trong_thi_giu_nguyen</t>
        </is>
      </c>
      <c r="I3264" s="16" t="inlineStr">
        <is>
          <t>Đạt</t>
        </is>
      </c>
      <c r="J3264" s="16" t="n">
        <v>0.126</v>
      </c>
    </row>
    <row r="3265">
      <c r="A3265" s="16" t="n">
        <v>3261</v>
      </c>
      <c r="B3265" s="16" t="inlineStr">
        <is>
          <t>Backend</t>
        </is>
      </c>
      <c r="C3265" s="17" t="inlineStr">
        <is>
          <t>identity-service</t>
        </is>
      </c>
      <c r="D3265" s="16" t="inlineStr">
        <is>
          <t>Integration</t>
        </is>
      </c>
      <c r="E3265" s="17" t="inlineStr">
        <is>
          <t>MemberManagementIT</t>
        </is>
      </c>
      <c r="F3265" s="17" t="inlineStr"/>
      <c r="G3265" s="17" t="inlineStr">
        <is>
          <t>bảng thành viên có email và tên, không chỉ UUID</t>
        </is>
      </c>
      <c r="H3265" s="17" t="inlineStr">
        <is>
          <t>bang_thanh_vien_co_email</t>
        </is>
      </c>
      <c r="I3265" s="16" t="inlineStr">
        <is>
          <t>Đạt</t>
        </is>
      </c>
      <c r="J3265" s="16" t="n">
        <v>0.066</v>
      </c>
    </row>
    <row r="3266">
      <c r="A3266" s="16" t="n">
        <v>3262</v>
      </c>
      <c r="B3266" s="16" t="inlineStr">
        <is>
          <t>Backend</t>
        </is>
      </c>
      <c r="C3266" s="17" t="inlineStr">
        <is>
          <t>identity-service</t>
        </is>
      </c>
      <c r="D3266" s="16" t="inlineStr">
        <is>
          <t>Integration</t>
        </is>
      </c>
      <c r="E3266" s="17" t="inlineStr">
        <is>
          <t>MemberManagementIT</t>
        </is>
      </c>
      <c r="F3266" s="17" t="inlineStr"/>
      <c r="G3266" s="17" t="inlineStr">
        <is>
          <t>ORG_ADMIN không phong được người khác lên ORG_OWNER</t>
        </is>
      </c>
      <c r="H3266" s="17" t="inlineStr">
        <is>
          <t>org_admin_khong_phong_duoc_owner</t>
        </is>
      </c>
      <c r="I3266" s="16" t="inlineStr">
        <is>
          <t>Đạt</t>
        </is>
      </c>
      <c r="J3266" s="16" t="n">
        <v>0.099</v>
      </c>
    </row>
    <row r="3267">
      <c r="A3267" s="16" t="n">
        <v>3263</v>
      </c>
      <c r="B3267" s="16" t="inlineStr">
        <is>
          <t>Backend</t>
        </is>
      </c>
      <c r="C3267" s="17" t="inlineStr">
        <is>
          <t>identity-service</t>
        </is>
      </c>
      <c r="D3267" s="16" t="inlineStr">
        <is>
          <t>Integration</t>
        </is>
      </c>
      <c r="E3267" s="17" t="inlineStr">
        <is>
          <t>MemberManagementIT</t>
        </is>
      </c>
      <c r="F3267" s="17" t="inlineStr"/>
      <c r="G3267" s="17" t="inlineStr">
        <is>
          <t>staff thấy lời mời trong app và chỉ email được mời mới chấp nhận được</t>
        </is>
      </c>
      <c r="H3267" s="17" t="inlineStr">
        <is>
          <t>staff_nhan_va_chap_nhan_loi_moi_trong_app</t>
        </is>
      </c>
      <c r="I3267" s="16" t="inlineStr">
        <is>
          <t>Đạt</t>
        </is>
      </c>
      <c r="J3267" s="16" t="n">
        <v>0.296</v>
      </c>
    </row>
    <row r="3268">
      <c r="A3268" s="16" t="n">
        <v>3264</v>
      </c>
      <c r="B3268" s="16" t="inlineStr">
        <is>
          <t>Backend</t>
        </is>
      </c>
      <c r="C3268" s="17" t="inlineStr">
        <is>
          <t>identity-service</t>
        </is>
      </c>
      <c r="D3268" s="16" t="inlineStr">
        <is>
          <t>Integration</t>
        </is>
      </c>
      <c r="E3268" s="17" t="inlineStr">
        <is>
          <t>MemberManagementIT</t>
        </is>
      </c>
      <c r="F3268" s="17" t="inlineStr"/>
      <c r="G3268" s="17" t="inlineStr">
        <is>
          <t>không phải thành viên: 404, không lộ tổ chức tồn tại</t>
        </is>
      </c>
      <c r="H3268" s="17" t="inlineStr">
        <is>
          <t>to_chuc_la_thi_404</t>
        </is>
      </c>
      <c r="I3268" s="16" t="inlineStr">
        <is>
          <t>Đạt</t>
        </is>
      </c>
      <c r="J3268" s="16" t="n">
        <v>0.049</v>
      </c>
    </row>
    <row r="3269">
      <c r="A3269" s="16" t="n">
        <v>3265</v>
      </c>
      <c r="B3269" s="16" t="inlineStr">
        <is>
          <t>Backend</t>
        </is>
      </c>
      <c r="C3269" s="17" t="inlineStr">
        <is>
          <t>identity-service</t>
        </is>
      </c>
      <c r="D3269" s="16" t="inlineStr">
        <is>
          <t>Integration</t>
        </is>
      </c>
      <c r="E3269" s="17" t="inlineStr">
        <is>
          <t>MemberManagementIT</t>
        </is>
      </c>
      <c r="F3269" s="17" t="inlineStr"/>
      <c r="G3269" s="17" t="inlineStr">
        <is>
          <t>lời mời: hiện ra ở danh sách, thu hồi được, và KHÔNG lộ token</t>
        </is>
      </c>
      <c r="H3269" s="17" t="inlineStr">
        <is>
          <t>moi_va_thu_hoi</t>
        </is>
      </c>
      <c r="I3269" s="16" t="inlineStr">
        <is>
          <t>Đạt</t>
        </is>
      </c>
      <c r="J3269" s="16" t="n">
        <v>0.162</v>
      </c>
    </row>
    <row r="3270">
      <c r="A3270" s="16" t="n">
        <v>3266</v>
      </c>
      <c r="B3270" s="16" t="inlineStr">
        <is>
          <t>Backend</t>
        </is>
      </c>
      <c r="C3270" s="17" t="inlineStr">
        <is>
          <t>identity-service</t>
        </is>
      </c>
      <c r="D3270" s="16" t="inlineStr">
        <is>
          <t>Integration</t>
        </is>
      </c>
      <c r="E3270" s="17" t="inlineStr">
        <is>
          <t>MemberManagementIT</t>
        </is>
      </c>
      <c r="F3270" s="17" t="inlineStr"/>
      <c r="G3270" s="17" t="inlineStr">
        <is>
          <t>không hạ được vai trò của chủ sở hữu cuối cùng</t>
        </is>
      </c>
      <c r="H3270" s="17" t="inlineStr">
        <is>
          <t>khong_ha_duoc_chu_so_huu_cuoi</t>
        </is>
      </c>
      <c r="I3270" s="16" t="inlineStr">
        <is>
          <t>Đạt</t>
        </is>
      </c>
      <c r="J3270" s="16" t="n">
        <v>0.054</v>
      </c>
    </row>
    <row r="3271">
      <c r="A3271" s="16" t="n">
        <v>3267</v>
      </c>
      <c r="B3271" s="16" t="inlineStr">
        <is>
          <t>Backend</t>
        </is>
      </c>
      <c r="C3271" s="17" t="inlineStr">
        <is>
          <t>identity-service</t>
        </is>
      </c>
      <c r="D3271" s="16" t="inlineStr">
        <is>
          <t>Integration</t>
        </is>
      </c>
      <c r="E3271" s="17" t="inlineStr">
        <is>
          <t>MemberManagementIT</t>
        </is>
      </c>
      <c r="F3271" s="17" t="inlineStr"/>
      <c r="G3271" s="17" t="inlineStr">
        <is>
          <t>trần mua vé: null nghĩa là kế thừa, và ghi lại đọc lại đúng</t>
        </is>
      </c>
      <c r="H3271" s="17" t="inlineStr">
        <is>
          <t>tran_mua_ve</t>
        </is>
      </c>
      <c r="I3271" s="16" t="inlineStr">
        <is>
          <t>Đạt</t>
        </is>
      </c>
      <c r="J3271" s="16" t="n">
        <v>0.116</v>
      </c>
    </row>
    <row r="3272">
      <c r="A3272" s="16" t="n">
        <v>3268</v>
      </c>
      <c r="B3272" s="16" t="inlineStr">
        <is>
          <t>Backend</t>
        </is>
      </c>
      <c r="C3272" s="17" t="inlineStr">
        <is>
          <t>identity-service</t>
        </is>
      </c>
      <c r="D3272" s="16" t="inlineStr">
        <is>
          <t>Integration</t>
        </is>
      </c>
      <c r="E3272" s="17" t="inlineStr">
        <is>
          <t>MemberManagementIT</t>
        </is>
      </c>
      <c r="F3272" s="17" t="inlineStr"/>
      <c r="G3272" s="17" t="inlineStr">
        <is>
          <t>đổi vai trò của thành viên khác</t>
        </is>
      </c>
      <c r="H3272" s="17" t="inlineStr">
        <is>
          <t>doi_vai_tro</t>
        </is>
      </c>
      <c r="I3272" s="16" t="inlineStr">
        <is>
          <t>Đạt</t>
        </is>
      </c>
      <c r="J3272" s="16" t="n">
        <v>0.08</v>
      </c>
    </row>
    <row r="3273">
      <c r="A3273" s="16" t="n">
        <v>3269</v>
      </c>
      <c r="B3273" s="16" t="inlineStr">
        <is>
          <t>Backend</t>
        </is>
      </c>
      <c r="C3273" s="17" t="inlineStr">
        <is>
          <t>identity-service</t>
        </is>
      </c>
      <c r="D3273" s="16" t="inlineStr">
        <is>
          <t>Integration</t>
        </is>
      </c>
      <c r="E3273" s="17" t="inlineStr">
        <is>
          <t>OrganizationConcurrencyIT</t>
        </is>
      </c>
      <c r="F3273" s="17" t="inlineStr"/>
      <c r="G3273" s="17" t="inlineStr">
        <is>
          <t>gỡ một người không được xoá mất người khác vừa nhận lời mời cùng lúc</t>
        </is>
      </c>
      <c r="H3273" s="17" t="inlineStr">
        <is>
          <t>go_thanh_vien_khong_xoa_nguoi_vua_vao</t>
        </is>
      </c>
      <c r="I3273" s="16" t="inlineStr">
        <is>
          <t>Đạt</t>
        </is>
      </c>
      <c r="J3273" s="16" t="n">
        <v>3.097</v>
      </c>
    </row>
    <row r="3274">
      <c r="A3274" s="16" t="n">
        <v>3270</v>
      </c>
      <c r="B3274" s="16" t="inlineStr">
        <is>
          <t>Backend</t>
        </is>
      </c>
      <c r="C3274" s="17" t="inlineStr">
        <is>
          <t>identity-service</t>
        </is>
      </c>
      <c r="D3274" s="16" t="inlineStr">
        <is>
          <t>Integration</t>
        </is>
      </c>
      <c r="E3274" s="17" t="inlineStr">
        <is>
          <t>OrganizationConcurrencyIT</t>
        </is>
      </c>
      <c r="F3274" s="17" t="inlineStr"/>
      <c r="G3274" s="17" t="inlineStr">
        <is>
          <t>thêm một người không được hồi sinh người vừa bị gỡ cùng lúc</t>
        </is>
      </c>
      <c r="H3274" s="17" t="inlineStr">
        <is>
          <t>them_thanh_vien_khong_hoi_sinh_nguoi_bi_go</t>
        </is>
      </c>
      <c r="I3274" s="16" t="inlineStr">
        <is>
          <t>Đạt</t>
        </is>
      </c>
      <c r="J3274" s="16" t="n">
        <v>3.094</v>
      </c>
    </row>
    <row r="3275">
      <c r="A3275" s="16" t="n">
        <v>3271</v>
      </c>
      <c r="B3275" s="16" t="inlineStr">
        <is>
          <t>Backend</t>
        </is>
      </c>
      <c r="C3275" s="17" t="inlineStr">
        <is>
          <t>identity-service</t>
        </is>
      </c>
      <c r="D3275" s="16" t="inlineStr">
        <is>
          <t>Integration</t>
        </is>
      </c>
      <c r="E3275" s="17" t="inlineStr">
        <is>
          <t>OrganizationConcurrencyIT</t>
        </is>
      </c>
      <c r="F3275" s="17" t="inlineStr"/>
      <c r="G3275" s="17" t="inlineStr">
        <is>
          <t>hai lệnh gỡ hai chủ sở hữu khác nhau cùng lúc: một lệnh phải bị từ chối, không lệnh nào bị nuốt</t>
        </is>
      </c>
      <c r="H3275" s="17" t="inlineStr">
        <is>
          <t>hai_lenh_go_chu_so_huu_dong_thoi</t>
        </is>
      </c>
      <c r="I3275" s="16" t="inlineStr">
        <is>
          <t>Đạt</t>
        </is>
      </c>
      <c r="J3275" s="16" t="n">
        <v>3.1</v>
      </c>
    </row>
    <row r="3276">
      <c r="A3276" s="16" t="n">
        <v>3272</v>
      </c>
      <c r="B3276" s="16" t="inlineStr">
        <is>
          <t>Backend</t>
        </is>
      </c>
      <c r="C3276" s="17" t="inlineStr">
        <is>
          <t>identity-service</t>
        </is>
      </c>
      <c r="D3276" s="16" t="inlineStr">
        <is>
          <t>Integration</t>
        </is>
      </c>
      <c r="E3276" s="17" t="inlineStr">
        <is>
          <t>OrganizationRepositoryIT</t>
        </is>
      </c>
      <c r="F3276" s="17" t="inlineStr"/>
      <c r="G3276" s="17" t="inlineStr">
        <is>
          <t>findAllByMember chi tra to chuc cua nguoi do</t>
        </is>
      </c>
      <c r="H3276" s="17" t="inlineStr">
        <is>
          <t>findAllByMember_chi_tra_to_chuc_cua_nguoi_do</t>
        </is>
      </c>
      <c r="I3276" s="16" t="inlineStr">
        <is>
          <t>Đạt</t>
        </is>
      </c>
      <c r="J3276" s="16" t="n">
        <v>0.089</v>
      </c>
    </row>
    <row r="3277">
      <c r="A3277" s="16" t="n">
        <v>3273</v>
      </c>
      <c r="B3277" s="16" t="inlineStr">
        <is>
          <t>Backend</t>
        </is>
      </c>
      <c r="C3277" s="17" t="inlineStr">
        <is>
          <t>identity-service</t>
        </is>
      </c>
      <c r="D3277" s="16" t="inlineStr">
        <is>
          <t>Integration</t>
        </is>
      </c>
      <c r="E3277" s="17" t="inlineStr">
        <is>
          <t>OrganizationRepositoryIT</t>
        </is>
      </c>
      <c r="F3277" s="17" t="inlineStr"/>
      <c r="G3277" s="17" t="inlineStr">
        <is>
          <t>slugExists phat hien trung</t>
        </is>
      </c>
      <c r="H3277" s="17" t="inlineStr">
        <is>
          <t>slugExists_phat_hien_trung</t>
        </is>
      </c>
      <c r="I3277" s="16" t="inlineStr">
        <is>
          <t>Đạt</t>
        </is>
      </c>
      <c r="J3277" s="16" t="n">
        <v>0.054</v>
      </c>
    </row>
    <row r="3278">
      <c r="A3278" s="16" t="n">
        <v>3274</v>
      </c>
      <c r="B3278" s="16" t="inlineStr">
        <is>
          <t>Backend</t>
        </is>
      </c>
      <c r="C3278" s="17" t="inlineStr">
        <is>
          <t>identity-service</t>
        </is>
      </c>
      <c r="D3278" s="16" t="inlineStr">
        <is>
          <t>Integration</t>
        </is>
      </c>
      <c r="E3278" s="17" t="inlineStr">
        <is>
          <t>OrganizationRepositoryIT</t>
        </is>
      </c>
      <c r="F3278" s="17" t="inlineStr"/>
      <c r="G3278" s="17" t="inlineStr">
        <is>
          <t>luu va doc lai giu nguyen thanh vien</t>
        </is>
      </c>
      <c r="H3278" s="17" t="inlineStr">
        <is>
          <t>luu_va_doc_lai_giu_nguyen_thanh_vien</t>
        </is>
      </c>
      <c r="I3278" s="16" t="inlineStr">
        <is>
          <t>Đạt</t>
        </is>
      </c>
      <c r="J3278" s="16" t="n">
        <v>0.05</v>
      </c>
    </row>
    <row r="3279">
      <c r="A3279" s="16" t="n">
        <v>3275</v>
      </c>
      <c r="B3279" s="16" t="inlineStr">
        <is>
          <t>Backend</t>
        </is>
      </c>
      <c r="C3279" s="17" t="inlineStr">
        <is>
          <t>identity-service</t>
        </is>
      </c>
      <c r="D3279" s="16" t="inlineStr">
        <is>
          <t>Integration</t>
        </is>
      </c>
      <c r="E3279" s="17" t="inlineStr">
        <is>
          <t>OrganizationRepositoryIT</t>
        </is>
      </c>
      <c r="F3279" s="17" t="inlineStr"/>
      <c r="G3279" s="17" t="inlineStr">
        <is>
          <t>xoa thanh vien trong aggregate thi dong bo xuong database</t>
        </is>
      </c>
      <c r="H3279" s="17" t="inlineStr">
        <is>
          <t>xoa_thanh_vien_trong_aggregate_thi_dong_bo_xuong_database</t>
        </is>
      </c>
      <c r="I3279" s="16" t="inlineStr">
        <is>
          <t>Đạt</t>
        </is>
      </c>
      <c r="J3279" s="16" t="n">
        <v>0.065</v>
      </c>
    </row>
    <row r="3280">
      <c r="A3280" s="16" t="n">
        <v>3276</v>
      </c>
      <c r="B3280" s="16" t="inlineStr">
        <is>
          <t>Backend</t>
        </is>
      </c>
      <c r="C3280" s="17" t="inlineStr">
        <is>
          <t>identity-service</t>
        </is>
      </c>
      <c r="D3280" s="16" t="inlineStr">
        <is>
          <t>Integration</t>
        </is>
      </c>
      <c r="E3280" s="17" t="inlineStr">
        <is>
          <t>PermissionGuardWiringIT</t>
        </is>
      </c>
      <c r="F3280" s="17" t="inlineStr"/>
      <c r="G3280" s="17" t="inlineStr">
        <is>
          <t>mọi endpoint ghi ở khu vực nền tảng đều khai quyền</t>
        </is>
      </c>
      <c r="H3280" s="17" t="inlineStr">
        <is>
          <t>endpoint_nen_tang_deu_khai_quyen</t>
        </is>
      </c>
      <c r="I3280" s="16" t="inlineStr">
        <is>
          <t>Đạt</t>
        </is>
      </c>
      <c r="J3280" s="16" t="n">
        <v>0.032</v>
      </c>
    </row>
    <row r="3281">
      <c r="A3281" s="16" t="n">
        <v>3277</v>
      </c>
      <c r="B3281" s="16" t="inlineStr">
        <is>
          <t>Backend</t>
        </is>
      </c>
      <c r="C3281" s="17" t="inlineStr">
        <is>
          <t>identity-service</t>
        </is>
      </c>
      <c r="D3281" s="16" t="inlineStr">
        <is>
          <t>Integration</t>
        </is>
      </c>
      <c r="E3281" s="17" t="inlineStr">
        <is>
          <t>PermissionGuardWiringIT</t>
        </is>
      </c>
      <c r="F3281" s="17" t="inlineStr"/>
      <c r="G3281" s="17" t="inlineStr">
        <is>
          <t>chỉ có đúng một bean PermissionGuard được đăng ký</t>
        </is>
      </c>
      <c r="H3281" s="17" t="inlineStr">
        <is>
          <t>khong_dang_ky_trung</t>
        </is>
      </c>
      <c r="I3281" s="16" t="inlineStr">
        <is>
          <t>Đạt</t>
        </is>
      </c>
      <c r="J3281" s="16" t="n">
        <v>0.027</v>
      </c>
    </row>
    <row r="3282">
      <c r="A3282" s="16" t="n">
        <v>3278</v>
      </c>
      <c r="B3282" s="16" t="inlineStr">
        <is>
          <t>Backend</t>
        </is>
      </c>
      <c r="C3282" s="17" t="inlineStr">
        <is>
          <t>identity-service</t>
        </is>
      </c>
      <c r="D3282" s="16" t="inlineStr">
        <is>
          <t>Integration</t>
        </is>
      </c>
      <c r="E3282" s="17" t="inlineStr">
        <is>
          <t>PermissionGuardWiringIT</t>
        </is>
      </c>
      <c r="F3282" s="17" t="inlineStr"/>
      <c r="G3282" s="17" t="inlineStr">
        <is>
          <t>interceptor đọc được annotation trên đúng phương thức của controller</t>
        </is>
      </c>
      <c r="H3282" s="17" t="inlineStr">
        <is>
          <t>guard_doc_duoc_annotation</t>
        </is>
      </c>
      <c r="I3282" s="16" t="inlineStr">
        <is>
          <t>Đạt</t>
        </is>
      </c>
      <c r="J3282" s="16" t="n">
        <v>0.014</v>
      </c>
    </row>
    <row r="3283">
      <c r="A3283" s="16" t="n">
        <v>3279</v>
      </c>
      <c r="B3283" s="16" t="inlineStr">
        <is>
          <t>Backend</t>
        </is>
      </c>
      <c r="C3283" s="17" t="inlineStr">
        <is>
          <t>identity-service</t>
        </is>
      </c>
      <c r="D3283" s="16" t="inlineStr">
        <is>
          <t>Integration</t>
        </is>
      </c>
      <c r="E3283" s="17" t="inlineStr">
        <is>
          <t>PermissionGuardWiringIT</t>
        </is>
      </c>
      <c r="F3283" s="17" t="inlineStr"/>
      <c r="G3283" s="17" t="inlineStr">
        <is>
          <t>PermissionGuard được cắm vào chuỗi interceptor của MVC</t>
        </is>
      </c>
      <c r="H3283" s="17" t="inlineStr">
        <is>
          <t>guard_duoc_dang_ky</t>
        </is>
      </c>
      <c r="I3283" s="16" t="inlineStr">
        <is>
          <t>Đạt</t>
        </is>
      </c>
      <c r="J3283" s="16" t="n">
        <v>0.032</v>
      </c>
    </row>
    <row r="3284">
      <c r="A3284" s="16" t="n">
        <v>3280</v>
      </c>
      <c r="B3284" s="16" t="inlineStr">
        <is>
          <t>Backend</t>
        </is>
      </c>
      <c r="C3284" s="17" t="inlineStr">
        <is>
          <t>identity-service</t>
        </is>
      </c>
      <c r="D3284" s="16" t="inlineStr">
        <is>
          <t>Integration</t>
        </is>
      </c>
      <c r="E3284" s="17" t="inlineStr">
        <is>
          <t>SessionRevocationIT</t>
        </is>
      </c>
      <c r="F3284" s="17" t="inlineStr"/>
      <c r="G3284" s="17" t="inlineStr">
        <is>
          <t>vô hiệu hoá tài khoản: đăng nhập lại cũng không vào được</t>
        </is>
      </c>
      <c r="H3284" s="17" t="inlineStr">
        <is>
          <t>vo_hieu_hoa_tai_khoan</t>
        </is>
      </c>
      <c r="I3284" s="16" t="inlineStr">
        <is>
          <t>Đạt</t>
        </is>
      </c>
      <c r="J3284" s="16" t="n">
        <v>0.238</v>
      </c>
    </row>
    <row r="3285">
      <c r="A3285" s="16" t="n">
        <v>3281</v>
      </c>
      <c r="B3285" s="16" t="inlineStr">
        <is>
          <t>Backend</t>
        </is>
      </c>
      <c r="C3285" s="17" t="inlineStr">
        <is>
          <t>identity-service</t>
        </is>
      </c>
      <c r="D3285" s="16" t="inlineStr">
        <is>
          <t>Integration</t>
        </is>
      </c>
      <c r="E3285" s="17" t="inlineStr">
        <is>
          <t>SessionRevocationIT</t>
        </is>
      </c>
      <c r="F3285" s="17" t="inlineStr"/>
      <c r="G3285" s="17" t="inlineStr">
        <is>
          <t>không tự vô hiệu hoá chính mình</t>
        </is>
      </c>
      <c r="H3285" s="17" t="inlineStr">
        <is>
          <t>khong_tu_khoa_minh</t>
        </is>
      </c>
      <c r="I3285" s="16" t="inlineStr">
        <is>
          <t>Đạt</t>
        </is>
      </c>
      <c r="J3285" s="16" t="n">
        <v>0.07099999999999999</v>
      </c>
    </row>
    <row r="3286">
      <c r="A3286" s="16" t="n">
        <v>3282</v>
      </c>
      <c r="B3286" s="16" t="inlineStr">
        <is>
          <t>Backend</t>
        </is>
      </c>
      <c r="C3286" s="17" t="inlineStr">
        <is>
          <t>identity-service</t>
        </is>
      </c>
      <c r="D3286" s="16" t="inlineStr">
        <is>
          <t>Integration</t>
        </is>
      </c>
      <c r="E3286" s="17" t="inlineStr">
        <is>
          <t>SessionRevocationIT</t>
        </is>
      </c>
      <c r="F3286" s="17" t="inlineStr"/>
      <c r="G3286" s="17" t="inlineStr">
        <is>
          <t>thu hồi một phiên chỉ đá một thiết bị, các thiết bị khác vẫn vào được</t>
        </is>
      </c>
      <c r="H3286" s="17" t="inlineStr">
        <is>
          <t>thu_hoi_mot_phien</t>
        </is>
      </c>
      <c r="I3286" s="16" t="inlineStr">
        <is>
          <t>Đạt</t>
        </is>
      </c>
      <c r="J3286" s="16" t="n">
        <v>0.115</v>
      </c>
    </row>
    <row r="3287">
      <c r="A3287" s="16" t="n">
        <v>3283</v>
      </c>
      <c r="B3287" s="16" t="inlineStr">
        <is>
          <t>Backend</t>
        </is>
      </c>
      <c r="C3287" s="17" t="inlineStr">
        <is>
          <t>identity-service</t>
        </is>
      </c>
      <c r="D3287" s="16" t="inlineStr">
        <is>
          <t>Integration</t>
        </is>
      </c>
      <c r="E3287" s="17" t="inlineStr">
        <is>
          <t>SessionRevocationIT</t>
        </is>
      </c>
      <c r="F3287" s="17" t="inlineStr"/>
      <c r="G3287" s="17" t="inlineStr">
        <is>
          <t>không đăng xuất được người ngoài tổ chức mình</t>
        </is>
      </c>
      <c r="H3287" s="17" t="inlineStr">
        <is>
          <t>khong_thu_hoi_duoc_nguoi_ngoai</t>
        </is>
      </c>
      <c r="I3287" s="16" t="inlineStr">
        <is>
          <t>Đạt</t>
        </is>
      </c>
      <c r="J3287" s="16" t="n">
        <v>0.075</v>
      </c>
    </row>
    <row r="3288">
      <c r="A3288" s="16" t="n">
        <v>3284</v>
      </c>
      <c r="B3288" s="16" t="inlineStr">
        <is>
          <t>Backend</t>
        </is>
      </c>
      <c r="C3288" s="17" t="inlineStr">
        <is>
          <t>identity-service</t>
        </is>
      </c>
      <c r="D3288" s="16" t="inlineStr">
        <is>
          <t>Integration</t>
        </is>
      </c>
      <c r="E3288" s="17" t="inlineStr">
        <is>
          <t>SessionRevocationIT</t>
        </is>
      </c>
      <c r="F3288" s="17" t="inlineStr"/>
      <c r="G3288" s="17" t="inlineStr">
        <is>
          <t>quản trị viên tổ chức đăng xuất được nhân viên của mình</t>
        </is>
      </c>
      <c r="H3288" s="17" t="inlineStr">
        <is>
          <t>org_admin_thu_hoi_phien_nhan_vien</t>
        </is>
      </c>
      <c r="I3288" s="16" t="inlineStr">
        <is>
          <t>Đạt</t>
        </is>
      </c>
      <c r="J3288" s="16" t="n">
        <v>0.09</v>
      </c>
    </row>
    <row r="3289">
      <c r="A3289" s="16" t="n">
        <v>3285</v>
      </c>
      <c r="B3289" s="16" t="inlineStr">
        <is>
          <t>Backend</t>
        </is>
      </c>
      <c r="C3289" s="17" t="inlineStr">
        <is>
          <t>identity-service</t>
        </is>
      </c>
      <c r="D3289" s="16" t="inlineStr">
        <is>
          <t>Integration</t>
        </is>
      </c>
      <c r="E3289" s="17" t="inlineStr">
        <is>
          <t>SessionRevocationIT</t>
        </is>
      </c>
      <c r="F3289" s="17" t="inlineStr"/>
      <c r="G3289" s="17" t="inlineStr">
        <is>
          <t>thu hồi toàn bộ phiên: token đang cầm chết ngay, đăng nhập lại thì dùng được</t>
        </is>
      </c>
      <c r="H3289" s="17" t="inlineStr">
        <is>
          <t>thu_hoi_toan_bo_phien</t>
        </is>
      </c>
      <c r="I3289" s="16" t="inlineStr">
        <is>
          <t>Đạt</t>
        </is>
      </c>
      <c r="J3289" s="16" t="n">
        <v>0.157</v>
      </c>
    </row>
    <row r="3290">
      <c r="A3290" s="16" t="n">
        <v>3286</v>
      </c>
      <c r="B3290" s="16" t="inlineStr">
        <is>
          <t>Backend</t>
        </is>
      </c>
      <c r="C3290" s="17" t="inlineStr">
        <is>
          <t>identity-service</t>
        </is>
      </c>
      <c r="D3290" s="16" t="inlineStr">
        <is>
          <t>Integration</t>
        </is>
      </c>
      <c r="E3290" s="17" t="inlineStr">
        <is>
          <t>SessionRevocationIT</t>
        </is>
      </c>
      <c r="F3290" s="17" t="inlineStr"/>
      <c r="G3290" s="17" t="inlineStr">
        <is>
          <t>nhân viên soát vé không thu hồi được phiên của ai</t>
        </is>
      </c>
      <c r="H3290" s="17" t="inlineStr">
        <is>
          <t>checkin_staff_khong_co_quyen</t>
        </is>
      </c>
      <c r="I3290" s="16" t="inlineStr">
        <is>
          <t>Đạt</t>
        </is>
      </c>
      <c r="J3290" s="16" t="n">
        <v>0.04</v>
      </c>
    </row>
    <row r="3291">
      <c r="A3291" s="16" t="n">
        <v>3287</v>
      </c>
      <c r="B3291" s="16" t="inlineStr">
        <is>
          <t>Backend</t>
        </is>
      </c>
      <c r="C3291" s="17" t="inlineStr">
        <is>
          <t>identity-service</t>
        </is>
      </c>
      <c r="D3291" s="16" t="inlineStr">
        <is>
          <t>Integration</t>
        </is>
      </c>
      <c r="E3291" s="17" t="inlineStr">
        <is>
          <t>StaffAccountIT</t>
        </is>
      </c>
      <c r="F3291" s="17" t="inlineStr"/>
      <c r="G3291" s="17" t="inlineStr">
        <is>
          <t>Cấp lại PIN: PIN mới bên Keycloak, mọi phiên cũ bị đóng, token cũ hết hiệu lực</t>
        </is>
      </c>
      <c r="H3291" s="17" t="inlineStr">
        <is>
          <t>cap_lai_pin</t>
        </is>
      </c>
      <c r="I3291" s="16" t="inlineStr">
        <is>
          <t>Đạt</t>
        </is>
      </c>
      <c r="J3291" s="16" t="n">
        <v>0.39</v>
      </c>
    </row>
    <row r="3292">
      <c r="A3292" s="16" t="n">
        <v>3288</v>
      </c>
      <c r="B3292" s="16" t="inlineStr">
        <is>
          <t>Backend</t>
        </is>
      </c>
      <c r="C3292" s="17" t="inlineStr">
        <is>
          <t>identity-service</t>
        </is>
      </c>
      <c r="D3292" s="16" t="inlineStr">
        <is>
          <t>Integration</t>
        </is>
      </c>
      <c r="E3292" s="17" t="inlineStr">
        <is>
          <t>StaffAccountIT</t>
        </is>
      </c>
      <c r="F3292" s="17" t="inlineStr"/>
      <c r="G3292" s="17" t="inlineStr">
        <is>
          <t>Khoá / mở khoá: tắt bên Keycloak, và màn đăng nhập hỏi được trạng thái mà không cần token</t>
        </is>
      </c>
      <c r="H3292" s="17" t="inlineStr">
        <is>
          <t>khoa_mo_khoa</t>
        </is>
      </c>
      <c r="I3292" s="16" t="inlineStr">
        <is>
          <t>Đạt</t>
        </is>
      </c>
      <c r="J3292" s="16" t="n">
        <v>0.355</v>
      </c>
    </row>
    <row r="3293">
      <c r="A3293" s="16" t="n">
        <v>3289</v>
      </c>
      <c r="B3293" s="16" t="inlineStr">
        <is>
          <t>Backend</t>
        </is>
      </c>
      <c r="C3293" s="17" t="inlineStr">
        <is>
          <t>identity-service</t>
        </is>
      </c>
      <c r="D3293" s="16" t="inlineStr">
        <is>
          <t>Integration</t>
        </is>
      </c>
      <c r="E3293" s="17" t="inlineStr">
        <is>
          <t>StaffAccountIT</t>
        </is>
      </c>
      <c r="F3293" s="17" t="inlineStr"/>
      <c r="G3293" s="17" t="inlineStr">
        <is>
          <t>ticketing không trả lời: lượt hết hạn không khoá ai</t>
        </is>
      </c>
      <c r="H3293" s="17" t="inlineStr">
        <is>
          <t>het_han_khi_ticketing_sap</t>
        </is>
      </c>
      <c r="I3293" s="16" t="inlineStr">
        <is>
          <t>Đạt</t>
        </is>
      </c>
      <c r="J3293" s="16" t="n">
        <v>0.114</v>
      </c>
    </row>
    <row r="3294">
      <c r="A3294" s="16" t="n">
        <v>3290</v>
      </c>
      <c r="B3294" s="16" t="inlineStr">
        <is>
          <t>Backend</t>
        </is>
      </c>
      <c r="C3294" s="17" t="inlineStr">
        <is>
          <t>identity-service</t>
        </is>
      </c>
      <c r="D3294" s="16" t="inlineStr">
        <is>
          <t>Integration</t>
        </is>
      </c>
      <c r="E3294" s="17" t="inlineStr">
        <is>
          <t>StaffAccountIT</t>
        </is>
      </c>
      <c r="F3294" s="17" t="inlineStr"/>
      <c r="G3294" s="17" t="inlineStr">
        <is>
          <t>Tạo nhân viên: tên đăng nhập tự sinh, PIN 6 số, tài khoản Keycloak không email thật, gán sự kiện</t>
        </is>
      </c>
      <c r="H3294" s="17" t="inlineStr">
        <is>
          <t>tao_nhan_vien</t>
        </is>
      </c>
      <c r="I3294" s="16" t="inlineStr">
        <is>
          <t>Đạt</t>
        </is>
      </c>
      <c r="J3294" s="16" t="n">
        <v>0.237</v>
      </c>
    </row>
    <row r="3295">
      <c r="A3295" s="16" t="n">
        <v>3291</v>
      </c>
      <c r="B3295" s="16" t="inlineStr">
        <is>
          <t>Backend</t>
        </is>
      </c>
      <c r="C3295" s="17" t="inlineStr">
        <is>
          <t>identity-service</t>
        </is>
      </c>
      <c r="D3295" s="16" t="inlineStr">
        <is>
          <t>Integration</t>
        </is>
      </c>
      <c r="E3295" s="17" t="inlineStr">
        <is>
          <t>StaffAccountIT</t>
        </is>
      </c>
      <c r="F3295" s="17" t="inlineStr"/>
      <c r="G3295" s="17" t="inlineStr">
        <is>
          <t>Tên đăng nhập đã có bên Keycloak: lấy số kế tiếp, không báo lỗi</t>
        </is>
      </c>
      <c r="H3295" s="17" t="inlineStr">
        <is>
          <t>ten_dang_nhap_trung</t>
        </is>
      </c>
      <c r="I3295" s="16" t="inlineStr">
        <is>
          <t>Đạt</t>
        </is>
      </c>
      <c r="J3295" s="16" t="n">
        <v>0.161</v>
      </c>
    </row>
    <row r="3296">
      <c r="A3296" s="16" t="n">
        <v>3292</v>
      </c>
      <c r="B3296" s="16" t="inlineStr">
        <is>
          <t>Backend</t>
        </is>
      </c>
      <c r="C3296" s="17" t="inlineStr">
        <is>
          <t>identity-service</t>
        </is>
      </c>
      <c r="D3296" s="16" t="inlineStr">
        <is>
          <t>Integration</t>
        </is>
      </c>
      <c r="E3296" s="17" t="inlineStr">
        <is>
          <t>StaffAccountIT</t>
        </is>
      </c>
      <c r="F3296" s="17" t="inlineStr"/>
      <c r="G3296" s="17" t="inlineStr">
        <is>
          <t>Tự hết hạn: khoá khi suất cuối đã qua 6 giờ; chưa tới hạn, đã gia hạn, hay chưa có lịch thì để yên</t>
        </is>
      </c>
      <c r="H3296" s="17" t="inlineStr">
        <is>
          <t>tu_het_han</t>
        </is>
      </c>
      <c r="I3296" s="16" t="inlineStr">
        <is>
          <t>Đạt</t>
        </is>
      </c>
      <c r="J3296" s="16" t="n">
        <v>0.399</v>
      </c>
    </row>
    <row r="3297">
      <c r="A3297" s="16" t="n">
        <v>3293</v>
      </c>
      <c r="B3297" s="16" t="inlineStr">
        <is>
          <t>Backend</t>
        </is>
      </c>
      <c r="C3297" s="17" t="inlineStr">
        <is>
          <t>identity-service</t>
        </is>
      </c>
      <c r="D3297" s="16" t="inlineStr">
        <is>
          <t>Integration</t>
        </is>
      </c>
      <c r="E3297" s="17" t="inlineStr">
        <is>
          <t>StaffInvitationIT</t>
        </is>
      </c>
      <c r="F3297" s="17" t="inlineStr"/>
      <c r="G3297" s="17" t="inlineStr">
        <is>
          <t>Nhân viên đặt mật khẩu xong: trạng thái thành đã kích hoạt, và chỉ thấy sự kiện được gán</t>
        </is>
      </c>
      <c r="H3297" s="17" t="inlineStr">
        <is>
          <t>kich_hoat_va_su_kien_duoc_gan</t>
        </is>
      </c>
      <c r="I3297" s="16" t="inlineStr">
        <is>
          <t>Đạt</t>
        </is>
      </c>
      <c r="J3297" s="16" t="n">
        <v>0.187</v>
      </c>
    </row>
    <row r="3298">
      <c r="A3298" s="16" t="n">
        <v>3294</v>
      </c>
      <c r="B3298" s="16" t="inlineStr">
        <is>
          <t>Backend</t>
        </is>
      </c>
      <c r="C3298" s="17" t="inlineStr">
        <is>
          <t>identity-service</t>
        </is>
      </c>
      <c r="D3298" s="16" t="inlineStr">
        <is>
          <t>Integration</t>
        </is>
      </c>
      <c r="E3298" s="17" t="inlineStr">
        <is>
          <t>StaffInvitationIT</t>
        </is>
      </c>
      <c r="F3298" s="17" t="inlineStr"/>
      <c r="G3298" s="17" t="inlineStr">
        <is>
          <t>Luồng lời mời bằng mã KHÔNG cấp được vai trò nhân viên soát vé, kể cả gọi thẳng API</t>
        </is>
      </c>
      <c r="H3298" s="17" t="inlineStr">
        <is>
          <t>luong_cu_khong_cap_duoc_staff</t>
        </is>
      </c>
      <c r="I3298" s="16" t="inlineStr">
        <is>
          <t>Đạt</t>
        </is>
      </c>
      <c r="J3298" s="16" t="n">
        <v>0.049</v>
      </c>
    </row>
    <row r="3299">
      <c r="A3299" s="16" t="n">
        <v>3295</v>
      </c>
      <c r="B3299" s="16" t="inlineStr">
        <is>
          <t>Backend</t>
        </is>
      </c>
      <c r="C3299" s="17" t="inlineStr">
        <is>
          <t>identity-service</t>
        </is>
      </c>
      <c r="D3299" s="16" t="inlineStr">
        <is>
          <t>Integration</t>
        </is>
      </c>
      <c r="E3299" s="17" t="inlineStr">
        <is>
          <t>StaffInvitationIT</t>
        </is>
      </c>
      <c r="F3299" s="17" t="inlineStr"/>
      <c r="G3299" s="17" t="inlineStr">
        <is>
          <t>Email đã là khách, hoặc thuộc tổ chức khác: cùng một lỗi chung, không lộ lý do</t>
        </is>
      </c>
      <c r="H3299" s="17" t="inlineStr">
        <is>
          <t>email_khong_moi_duoc</t>
        </is>
      </c>
      <c r="I3299" s="16" t="inlineStr">
        <is>
          <t>Đạt</t>
        </is>
      </c>
      <c r="J3299" s="16" t="n">
        <v>0.132</v>
      </c>
    </row>
    <row r="3300">
      <c r="A3300" s="16" t="n">
        <v>3296</v>
      </c>
      <c r="B3300" s="16" t="inlineStr">
        <is>
          <t>Backend</t>
        </is>
      </c>
      <c r="C3300" s="17" t="inlineStr">
        <is>
          <t>identity-service</t>
        </is>
      </c>
      <c r="D3300" s="16" t="inlineStr">
        <is>
          <t>Integration</t>
        </is>
      </c>
      <c r="E3300" s="17" t="inlineStr">
        <is>
          <t>StaffInvitationIT</t>
        </is>
      </c>
      <c r="F3300" s="17" t="inlineStr"/>
      <c r="G3300" s="17" t="inlineStr">
        <is>
          <t>Huỷ lời mời chưa kích hoạt: không còn tài khoản, tư cách thành viên, hay sự kiện nào</t>
        </is>
      </c>
      <c r="H3300" s="17" t="inlineStr">
        <is>
          <t>huy_loi_moi</t>
        </is>
      </c>
      <c r="I3300" s="16" t="inlineStr">
        <is>
          <t>Đạt</t>
        </is>
      </c>
      <c r="J3300" s="16" t="n">
        <v>0.176</v>
      </c>
    </row>
    <row r="3301">
      <c r="A3301" s="16" t="n">
        <v>3297</v>
      </c>
      <c r="B3301" s="16" t="inlineStr">
        <is>
          <t>Backend</t>
        </is>
      </c>
      <c r="C3301" s="17" t="inlineStr">
        <is>
          <t>identity-service</t>
        </is>
      </c>
      <c r="D3301" s="16" t="inlineStr">
        <is>
          <t>Integration</t>
        </is>
      </c>
      <c r="E3301" s="17" t="inlineStr">
        <is>
          <t>StaffInvitationIT</t>
        </is>
      </c>
      <c r="F3301" s="17" t="inlineStr"/>
      <c r="G3301" s="17" t="inlineStr">
        <is>
          <t>Gửi lại lời mời: tài khoản Keycloak cũ bị xoá, id người dùng và việc gán giữ nguyên</t>
        </is>
      </c>
      <c r="H3301" s="17" t="inlineStr">
        <is>
          <t>gui_lai_loi_moi</t>
        </is>
      </c>
      <c r="I3301" s="16" t="inlineStr">
        <is>
          <t>Đạt</t>
        </is>
      </c>
      <c r="J3301" s="16" t="n">
        <v>0.137</v>
      </c>
    </row>
    <row r="3302">
      <c r="A3302" s="16" t="n">
        <v>3298</v>
      </c>
      <c r="B3302" s="16" t="inlineStr">
        <is>
          <t>Backend</t>
        </is>
      </c>
      <c r="C3302" s="17" t="inlineStr">
        <is>
          <t>identity-service</t>
        </is>
      </c>
      <c r="D3302" s="16" t="inlineStr">
        <is>
          <t>Integration</t>
        </is>
      </c>
      <c r="E3302" s="17" t="inlineStr">
        <is>
          <t>StaffInvitationIT</t>
        </is>
      </c>
      <c r="F3302" s="17" t="inlineStr"/>
      <c r="G3302" s="17" t="inlineStr">
        <is>
          <t>Tài khoản ĐÃ kích hoạt: gửi lại và huỷ đều bị từ chối, không tài khoản nào bị xoá</t>
        </is>
      </c>
      <c r="H3302" s="17" t="inlineStr">
        <is>
          <t>khong_xoa_tai_khoan_da_kich_hoat</t>
        </is>
      </c>
      <c r="I3302" s="16" t="inlineStr">
        <is>
          <t>Đạt</t>
        </is>
      </c>
      <c r="J3302" s="16" t="n">
        <v>0.216</v>
      </c>
    </row>
    <row r="3303">
      <c r="A3303" s="16" t="n">
        <v>3299</v>
      </c>
      <c r="B3303" s="16" t="inlineStr">
        <is>
          <t>Backend</t>
        </is>
      </c>
      <c r="C3303" s="17" t="inlineStr">
        <is>
          <t>identity-service</t>
        </is>
      </c>
      <c r="D3303" s="16" t="inlineStr">
        <is>
          <t>Integration</t>
        </is>
      </c>
      <c r="E3303" s="17" t="inlineStr">
        <is>
          <t>StaffInvitationIT</t>
        </is>
      </c>
      <c r="F3303" s="17" t="inlineStr"/>
      <c r="G3303" s="17" t="inlineStr">
        <is>
          <t>Mời email mới: tạo sẵn tài khoản chưa kích hoạt, gán sự kiện, gửi đúng một thư</t>
        </is>
      </c>
      <c r="H3303" s="17" t="inlineStr">
        <is>
          <t>moi_email_moi</t>
        </is>
      </c>
      <c r="I3303" s="16" t="inlineStr">
        <is>
          <t>Đạt</t>
        </is>
      </c>
      <c r="J3303" s="16" t="n">
        <v>0.173</v>
      </c>
    </row>
    <row r="3304">
      <c r="A3304" s="16" t="n">
        <v>3300</v>
      </c>
      <c r="B3304" s="16" t="inlineStr">
        <is>
          <t>Backend</t>
        </is>
      </c>
      <c r="C3304" s="17" t="inlineStr">
        <is>
          <t>identity-service</t>
        </is>
      </c>
      <c r="D3304" s="16" t="inlineStr">
        <is>
          <t>Integration</t>
        </is>
      </c>
      <c r="E3304" s="17" t="inlineStr">
        <is>
          <t>StaffInvitationIT</t>
        </is>
      </c>
      <c r="F3304" s="17" t="inlineStr"/>
      <c r="G3304" s="17" t="inlineStr">
        <is>
          <t>Gỡ nhân viên khỏi sự kiện: giữ tài khoản, danh sách sự kiện rỗng</t>
        </is>
      </c>
      <c r="H3304" s="17" t="inlineStr">
        <is>
          <t>go_khoi_su_kien</t>
        </is>
      </c>
      <c r="I3304" s="16" t="inlineStr">
        <is>
          <t>Đạt</t>
        </is>
      </c>
      <c r="J3304" s="16" t="n">
        <v>0.13</v>
      </c>
    </row>
    <row r="3305">
      <c r="A3305" s="16" t="n">
        <v>3301</v>
      </c>
      <c r="B3305" s="16" t="inlineStr">
        <is>
          <t>Backend</t>
        </is>
      </c>
      <c r="C3305" s="17" t="inlineStr">
        <is>
          <t>identity-service</t>
        </is>
      </c>
      <c r="D3305" s="16" t="inlineStr">
        <is>
          <t>Integration</t>
        </is>
      </c>
      <c r="E3305" s="17" t="inlineStr">
        <is>
          <t>StaffInvitationIT</t>
        </is>
      </c>
      <c r="F3305" s="17" t="inlineStr"/>
      <c r="G3305" s="17" t="inlineStr">
        <is>
          <t>Thư không gửi được: lời mời vẫn còn ở trạng thái lỗi gửi, và gửi lại thì đi</t>
        </is>
      </c>
      <c r="H3305" s="17" t="inlineStr">
        <is>
          <t>loi_gui_thu</t>
        </is>
      </c>
      <c r="I3305" s="16" t="inlineStr">
        <is>
          <t>Đạt</t>
        </is>
      </c>
      <c r="J3305" s="16" t="n">
        <v>0.148</v>
      </c>
    </row>
    <row r="3306">
      <c r="A3306" s="16" t="n">
        <v>3302</v>
      </c>
      <c r="B3306" s="16" t="inlineStr">
        <is>
          <t>Backend</t>
        </is>
      </c>
      <c r="C3306" s="17" t="inlineStr">
        <is>
          <t>identity-service</t>
        </is>
      </c>
      <c r="D3306" s="16" t="inlineStr">
        <is>
          <t>Integration</t>
        </is>
      </c>
      <c r="E3306" s="17" t="inlineStr">
        <is>
          <t>StaffInvitationIT</t>
        </is>
      </c>
      <c r="F3306" s="17" t="inlineStr"/>
      <c r="G3306" s="17" t="inlineStr">
        <is>
          <t>Mời lại email đang chờ kích hoạt: không tạo trùng, không gửi thư trùng, chỉ gán thêm sự kiện</t>
        </is>
      </c>
      <c r="H3306" s="17" t="inlineStr">
        <is>
          <t>moi_trung_khi_dang_cho</t>
        </is>
      </c>
      <c r="I3306" s="16" t="inlineStr">
        <is>
          <t>Đạt</t>
        </is>
      </c>
      <c r="J3306" s="16" t="n">
        <v>0.138</v>
      </c>
    </row>
    <row r="3307">
      <c r="A3307" s="16" t="n">
        <v>3303</v>
      </c>
      <c r="B3307" s="16" t="inlineStr">
        <is>
          <t>Backend</t>
        </is>
      </c>
      <c r="C3307" s="17" t="inlineStr">
        <is>
          <t>identity-service</t>
        </is>
      </c>
      <c r="D3307" s="16" t="inlineStr">
        <is>
          <t>Integration</t>
        </is>
      </c>
      <c r="E3307" s="17" t="inlineStr">
        <is>
          <t>StaffInvitationIT</t>
        </is>
      </c>
      <c r="F3307" s="17" t="inlineStr"/>
      <c r="G3307" s="17" t="inlineStr">
        <is>
          <t>Mời email đã là nhân viên soát vé của chính tổ chức: chỉ gán thêm sự kiện</t>
        </is>
      </c>
      <c r="H3307" s="17" t="inlineStr">
        <is>
          <t>moi_nguoi_da_la_staff</t>
        </is>
      </c>
      <c r="I3307" s="16" t="inlineStr">
        <is>
          <t>Đạt</t>
        </is>
      </c>
      <c r="J3307" s="16" t="n">
        <v>0.167</v>
      </c>
    </row>
    <row r="3308">
      <c r="A3308" s="16" t="n">
        <v>3304</v>
      </c>
      <c r="B3308" s="16" t="inlineStr">
        <is>
          <t>Backend</t>
        </is>
      </c>
      <c r="C3308" s="17" t="inlineStr">
        <is>
          <t>identity-service</t>
        </is>
      </c>
      <c r="D3308" s="16" t="inlineStr">
        <is>
          <t>Integration</t>
        </is>
      </c>
      <c r="E3308" s="17" t="inlineStr">
        <is>
          <t>TenantIsolationIT</t>
        </is>
      </c>
      <c r="F3308" s="17" t="inlineStr"/>
      <c r="G3308" s="17" t="inlineStr">
        <is>
          <t>đoạn đường dẫn thừa không đánh lừa được bộ lọc</t>
        </is>
      </c>
      <c r="H3308" s="17" t="inlineStr">
        <is>
          <t>doan_duong_dan_thua</t>
        </is>
      </c>
      <c r="I3308" s="16" t="inlineStr">
        <is>
          <t>Đạt</t>
        </is>
      </c>
      <c r="J3308" s="16" t="n">
        <v>0.493</v>
      </c>
    </row>
    <row r="3309">
      <c r="A3309" s="16" t="n">
        <v>3305</v>
      </c>
      <c r="B3309" s="16" t="inlineStr">
        <is>
          <t>Backend</t>
        </is>
      </c>
      <c r="C3309" s="17" t="inlineStr">
        <is>
          <t>identity-service</t>
        </is>
      </c>
      <c r="D3309" s="16" t="inlineStr">
        <is>
          <t>Integration</t>
        </is>
      </c>
      <c r="E3309" s="17" t="inlineStr">
        <is>
          <t>TenantIsolationIT</t>
        </is>
      </c>
      <c r="F3309" s="17" t="inlineStr"/>
      <c r="G3309" s="17" t="inlineStr">
        <is>
          <t>UUID mã hoá phần trăm KHÔNG lọt qua tenant filter</t>
        </is>
      </c>
      <c r="H3309" s="17" t="inlineStr">
        <is>
          <t>uuid_ma_hoa_phan_tram</t>
        </is>
      </c>
      <c r="I3309" s="16" t="inlineStr">
        <is>
          <t>Đạt</t>
        </is>
      </c>
      <c r="J3309" s="16" t="n">
        <v>0.102</v>
      </c>
    </row>
    <row r="3310">
      <c r="A3310" s="16" t="n">
        <v>3306</v>
      </c>
      <c r="B3310" s="16" t="inlineStr">
        <is>
          <t>Backend</t>
        </is>
      </c>
      <c r="C3310" s="17" t="inlineStr">
        <is>
          <t>identity-service</t>
        </is>
      </c>
      <c r="D3310" s="16" t="inlineStr">
        <is>
          <t>Integration</t>
        </is>
      </c>
      <c r="E3310" s="17" t="inlineStr">
        <is>
          <t>TenantIsolationIT</t>
        </is>
      </c>
      <c r="F3310" s="17" t="inlineStr"/>
      <c r="G3310" s="17" t="inlineStr">
        <is>
          <t>đường dẫn thẳng: tổ chức của mình 200, của người khác 404</t>
        </is>
      </c>
      <c r="H3310" s="17" t="inlineStr">
        <is>
          <t>duong_dan_thang</t>
        </is>
      </c>
      <c r="I3310" s="16" t="inlineStr">
        <is>
          <t>Đạt</t>
        </is>
      </c>
      <c r="J3310" s="16" t="n">
        <v>0.144</v>
      </c>
    </row>
    <row r="3311">
      <c r="A3311" s="16" t="n">
        <v>3307</v>
      </c>
      <c r="B3311" s="16" t="inlineStr">
        <is>
          <t>Backend</t>
        </is>
      </c>
      <c r="C3311" s="17" t="inlineStr">
        <is>
          <t>identity-service</t>
        </is>
      </c>
      <c r="D3311" s="16" t="inlineStr">
        <is>
          <t>Integration</t>
        </is>
      </c>
      <c r="E3311" s="17" t="inlineStr">
        <is>
          <t>TenantIsolationIT</t>
        </is>
      </c>
      <c r="F3311" s="17" t="inlineStr"/>
      <c r="G3311" s="17" t="inlineStr">
        <is>
          <t>UUID viết hoa vẫn bị chặn</t>
        </is>
      </c>
      <c r="H3311" s="17" t="inlineStr">
        <is>
          <t>uuid_viet_hoa</t>
        </is>
      </c>
      <c r="I3311" s="16" t="inlineStr">
        <is>
          <t>Đạt</t>
        </is>
      </c>
      <c r="J3311" s="16" t="n">
        <v>0.11</v>
      </c>
    </row>
    <row r="3312">
      <c r="A3312" s="16" t="n">
        <v>3308</v>
      </c>
      <c r="B3312" s="16" t="inlineStr">
        <is>
          <t>Backend</t>
        </is>
      </c>
      <c r="C3312" s="17" t="inlineStr">
        <is>
          <t>inventory-service</t>
        </is>
      </c>
      <c r="D3312" s="16" t="inlineStr">
        <is>
          <t>Integration</t>
        </is>
      </c>
      <c r="E3312" s="17" t="inlineStr">
        <is>
          <t>HoldLifecycleIT</t>
        </is>
      </c>
      <c r="F3312" s="17" t="inlineStr"/>
      <c r="G3312" s="17" t="inlineStr">
        <is>
          <t>Xác nhận thanh toán đến SAU khi đơn đã huỷ: không bán ghế đã trả về kho</t>
        </is>
      </c>
      <c r="H3312" s="17" t="inlineStr">
        <is>
          <t>chot_ban_sau_khi_huy</t>
        </is>
      </c>
      <c r="I3312" s="16" t="inlineStr">
        <is>
          <t>Đạt</t>
        </is>
      </c>
      <c r="J3312" s="16" t="n">
        <v>1.627</v>
      </c>
    </row>
    <row r="3313">
      <c r="A3313" s="16" t="n">
        <v>3309</v>
      </c>
      <c r="B3313" s="16" t="inlineStr">
        <is>
          <t>Backend</t>
        </is>
      </c>
      <c r="C3313" s="17" t="inlineStr">
        <is>
          <t>inventory-service</t>
        </is>
      </c>
      <c r="D3313" s="16" t="inlineStr">
        <is>
          <t>Integration</t>
        </is>
      </c>
      <c r="E3313" s="17" t="inlineStr">
        <is>
          <t>HoldLifecycleIT</t>
        </is>
      </c>
      <c r="F3313" s="17" t="inlineStr"/>
      <c r="G3313" s="17" t="inlineStr">
        <is>
          <t>Đặt chỗ từ giữ chỗ quá hạn mà worker chưa quét: HOLD_EXPIRED, ghế vẫn HELD cho worker dọn</t>
        </is>
      </c>
      <c r="H3313" s="17" t="inlineStr">
        <is>
          <t>dat_cho_tu_giu_cho_qua_han</t>
        </is>
      </c>
      <c r="I3313" s="16" t="inlineStr">
        <is>
          <t>Đạt</t>
        </is>
      </c>
      <c r="J3313" s="16" t="n">
        <v>0.115</v>
      </c>
    </row>
    <row r="3314">
      <c r="A3314" s="16" t="n">
        <v>3310</v>
      </c>
      <c r="B3314" s="16" t="inlineStr">
        <is>
          <t>Backend</t>
        </is>
      </c>
      <c r="C3314" s="17" t="inlineStr">
        <is>
          <t>inventory-service</t>
        </is>
      </c>
      <c r="D3314" s="16" t="inlineStr">
        <is>
          <t>Integration</t>
        </is>
      </c>
      <c r="E3314" s="17" t="inlineStr">
        <is>
          <t>HoldLifecycleIT</t>
        </is>
      </c>
      <c r="F3314" s="17" t="inlineStr"/>
      <c r="G3314" s="17" t="inlineStr">
        <is>
          <t>Giữ chỗ đã thành đơn rồi quá hạn: worker KHÔNG nhả ghế đang RESERVED</t>
        </is>
      </c>
      <c r="H3314" s="17" t="inlineStr">
        <is>
          <t>worker_khong_nha_giu_cho_da_thanh_don</t>
        </is>
      </c>
      <c r="I3314" s="16" t="inlineStr">
        <is>
          <t>Đạt</t>
        </is>
      </c>
      <c r="J3314" s="16" t="n">
        <v>0.076</v>
      </c>
    </row>
    <row r="3315">
      <c r="A3315" s="16" t="n">
        <v>3311</v>
      </c>
      <c r="B3315" s="16" t="inlineStr">
        <is>
          <t>Backend</t>
        </is>
      </c>
      <c r="C3315" s="17" t="inlineStr">
        <is>
          <t>inventory-service</t>
        </is>
      </c>
      <c r="D3315" s="16" t="inlineStr">
        <is>
          <t>Integration</t>
        </is>
      </c>
      <c r="E3315" s="17" t="inlineStr">
        <is>
          <t>HoldLifecycleIT</t>
        </is>
      </c>
      <c r="F3315" s="17" t="inlineStr"/>
      <c r="G3315" s="17" t="inlineStr">
        <is>
          <t>Bỏ giữ chỗ hai lần: ghế về AVAILABLE đúng một lần, version chỉ nhảy một lần</t>
        </is>
      </c>
      <c r="H3315" s="17" t="inlineStr">
        <is>
          <t>bo_hai_lan_chi_nha_mot_lan</t>
        </is>
      </c>
      <c r="I3315" s="16" t="inlineStr">
        <is>
          <t>Đạt</t>
        </is>
      </c>
      <c r="J3315" s="16" t="n">
        <v>0.097</v>
      </c>
    </row>
    <row r="3316">
      <c r="A3316" s="16" t="n">
        <v>3312</v>
      </c>
      <c r="B3316" s="16" t="inlineStr">
        <is>
          <t>Backend</t>
        </is>
      </c>
      <c r="C3316" s="17" t="inlineStr">
        <is>
          <t>inventory-service</t>
        </is>
      </c>
      <c r="D3316" s="16" t="inlineStr">
        <is>
          <t>Integration</t>
        </is>
      </c>
      <c r="E3316" s="17" t="inlineStr">
        <is>
          <t>HoldLifecycleIT</t>
        </is>
      </c>
      <c r="F3316" s="17" t="inlineStr"/>
      <c r="G3316" s="17" t="inlineStr">
        <is>
          <t>Hết hạn rồi khách mới bấm bỏ: không nhả ghế mà người SAU đã giữ được</t>
        </is>
      </c>
      <c r="H3316" s="17" t="inlineStr">
        <is>
          <t>bo_giu_cho_sau_khi_het_han_khong_dung_ghe_nguoi_sau</t>
        </is>
      </c>
      <c r="I3316" s="16" t="inlineStr">
        <is>
          <t>Đạt</t>
        </is>
      </c>
      <c r="J3316" s="16" t="n">
        <v>0.12</v>
      </c>
    </row>
    <row r="3317">
      <c r="A3317" s="16" t="n">
        <v>3313</v>
      </c>
      <c r="B3317" s="16" t="inlineStr">
        <is>
          <t>Backend</t>
        </is>
      </c>
      <c r="C3317" s="17" t="inlineStr">
        <is>
          <t>inventory-service</t>
        </is>
      </c>
      <c r="D3317" s="16" t="inlineStr">
        <is>
          <t>Integration</t>
        </is>
      </c>
      <c r="E3317" s="17" t="inlineStr">
        <is>
          <t>HoldLifecycleIT</t>
        </is>
      </c>
      <c r="F3317" s="17" t="inlineStr"/>
      <c r="G3317" s="17" t="inlineStr">
        <is>
          <t>Đặt chỗ lại bằng giữ chỗ đã thành đơn cho một orderId KHÁC: từ chối, không có hai đơn trên cùng ghế</t>
        </is>
      </c>
      <c r="H3317" s="17" t="inlineStr">
        <is>
          <t>hai_don_mot_giu_cho</t>
        </is>
      </c>
      <c r="I3317" s="16" t="inlineStr">
        <is>
          <t>Đạt</t>
        </is>
      </c>
      <c r="J3317" s="16" t="n">
        <v>0.08400000000000001</v>
      </c>
    </row>
    <row r="3318">
      <c r="A3318" s="16" t="n">
        <v>3314</v>
      </c>
      <c r="B3318" s="16" t="inlineStr">
        <is>
          <t>Backend</t>
        </is>
      </c>
      <c r="C3318" s="17" t="inlineStr">
        <is>
          <t>inventory-service</t>
        </is>
      </c>
      <c r="D3318" s="16" t="inlineStr">
        <is>
          <t>Integration</t>
        </is>
      </c>
      <c r="E3318" s="17" t="inlineStr">
        <is>
          <t>HoldLifecycleIT</t>
        </is>
      </c>
      <c r="F3318" s="17" t="inlineStr"/>
      <c r="G3318" s="17" t="inlineStr">
        <is>
          <t>Worker chạy lại sau khi đã nhả: không còn gì để nhả, ghế không bị đụng lần hai</t>
        </is>
      </c>
      <c r="H3318" s="17" t="inlineStr">
        <is>
          <t>worker_chay_lai_khong_nha_lan_hai</t>
        </is>
      </c>
      <c r="I3318" s="16" t="inlineStr">
        <is>
          <t>Đạt</t>
        </is>
      </c>
      <c r="J3318" s="16" t="n">
        <v>0.083</v>
      </c>
    </row>
    <row r="3319">
      <c r="A3319" s="16" t="n">
        <v>3315</v>
      </c>
      <c r="B3319" s="16" t="inlineStr">
        <is>
          <t>Backend</t>
        </is>
      </c>
      <c r="C3319" s="17" t="inlineStr">
        <is>
          <t>inventory-service</t>
        </is>
      </c>
      <c r="D3319" s="16" t="inlineStr">
        <is>
          <t>Integration</t>
        </is>
      </c>
      <c r="E3319" s="17" t="inlineStr">
        <is>
          <t>MaterializeSessionIT</t>
        </is>
      </c>
      <c r="F3319" s="17" t="inlineStr"/>
      <c r="G3319" s="17" t="inlineStr">
        <is>
          <t>Chỗ bị chặn vẫn có mặt trên sơ đồ nhưng không bán được</t>
        </is>
      </c>
      <c r="H3319" s="17" t="inlineStr">
        <is>
          <t>cho_bi_chan_van_hien_nhung_khong_ban</t>
        </is>
      </c>
      <c r="I3319" s="16" t="inlineStr">
        <is>
          <t>Đạt</t>
        </is>
      </c>
      <c r="J3319" s="16" t="n">
        <v>0.053</v>
      </c>
    </row>
    <row r="3320">
      <c r="A3320" s="16" t="n">
        <v>3316</v>
      </c>
      <c r="B3320" s="16" t="inlineStr">
        <is>
          <t>Backend</t>
        </is>
      </c>
      <c r="C3320" s="17" t="inlineStr">
        <is>
          <t>inventory-service</t>
        </is>
      </c>
      <c r="D3320" s="16" t="inlineStr">
        <is>
          <t>Integration</t>
        </is>
      </c>
      <c r="E3320" s="17" t="inlineStr">
        <is>
          <t>MaterializeSessionIT</t>
        </is>
      </c>
      <c r="F3320" s="17" t="inlineStr"/>
      <c r="G3320" s="17" t="inlineStr">
        <is>
          <t>Khối vé đứng nở thành đơn vị ảo, KHÔNG hiện trên sơ đồ chỗ</t>
        </is>
      </c>
      <c r="H3320" s="17" t="inlineStr">
        <is>
          <t>ve_dung_no_thanh_don_vi_ao</t>
        </is>
      </c>
      <c r="I3320" s="16" t="inlineStr">
        <is>
          <t>Đạt</t>
        </is>
      </c>
      <c r="J3320" s="16" t="n">
        <v>0.788</v>
      </c>
    </row>
    <row r="3321">
      <c r="A3321" s="16" t="n">
        <v>3317</v>
      </c>
      <c r="B3321" s="16" t="inlineStr">
        <is>
          <t>Backend</t>
        </is>
      </c>
      <c r="C3321" s="17" t="inlineStr">
        <is>
          <t>inventory-service</t>
        </is>
      </c>
      <c r="D3321" s="16" t="inlineStr">
        <is>
          <t>Integration</t>
        </is>
      </c>
      <c r="E3321" s="17" t="inlineStr">
        <is>
          <t>MaterializeSessionIT</t>
        </is>
      </c>
      <c r="F3321" s="17" t="inlineStr"/>
      <c r="G3321" s="17" t="inlineStr">
        <is>
          <t>Publish lại với toạ độ mới: chỗ dịch đúng vị trí, trạng thái và người giữ không đổi</t>
        </is>
      </c>
      <c r="H3321" s="17" t="inlineStr">
        <is>
          <t>publish_lai_thi_dong_bo_toa_do</t>
        </is>
      </c>
      <c r="I3321" s="16" t="inlineStr">
        <is>
          <t>Đạt</t>
        </is>
      </c>
      <c r="J3321" s="16" t="n">
        <v>0.033</v>
      </c>
    </row>
    <row r="3322">
      <c r="A3322" s="16" t="n">
        <v>3318</v>
      </c>
      <c r="B3322" s="16" t="inlineStr">
        <is>
          <t>Backend</t>
        </is>
      </c>
      <c r="C3322" s="17" t="inlineStr">
        <is>
          <t>inventory-service</t>
        </is>
      </c>
      <c r="D3322" s="16" t="inlineStr">
        <is>
          <t>Integration</t>
        </is>
      </c>
      <c r="E3322" s="17" t="inlineStr">
        <is>
          <t>MaterializeSessionIT</t>
        </is>
      </c>
      <c r="F3322" s="17" t="inlineStr"/>
      <c r="G3322" s="17" t="inlineStr">
        <is>
          <t>Suất toàn ghế ngồi: mỗi chỗ thành một đơn vị tồn kho bán được</t>
        </is>
      </c>
      <c r="H3322" s="17" t="inlineStr">
        <is>
          <t>suat_toan_ghe_ngoi</t>
        </is>
      </c>
      <c r="I3322" s="16" t="inlineStr">
        <is>
          <t>Đạt</t>
        </is>
      </c>
      <c r="J3322" s="16" t="n">
        <v>0.025</v>
      </c>
    </row>
    <row r="3323">
      <c r="A3323" s="16" t="n">
        <v>3319</v>
      </c>
      <c r="B3323" s="16" t="inlineStr">
        <is>
          <t>Backend</t>
        </is>
      </c>
      <c r="C3323" s="17" t="inlineStr">
        <is>
          <t>inventory-service</t>
        </is>
      </c>
      <c r="D3323" s="16" t="inlineStr">
        <is>
          <t>Integration</t>
        </is>
      </c>
      <c r="E3323" s="17" t="inlineStr">
        <is>
          <t>MaterializeSessionIT</t>
        </is>
      </c>
      <c r="F3323" s="17" t="inlineStr"/>
      <c r="G3323" s="17" t="inlineStr">
        <is>
          <t>Publish lại sau khi sửa giá: chỗ CHƯA bán lấy giá mới, chỗ đã bán / đang giữ giữ giá khách đã thấy</t>
        </is>
      </c>
      <c r="H3323" s="17" t="inlineStr">
        <is>
          <t>publish_lai_thi_dong_bo_gia_cho_chua_ban</t>
        </is>
      </c>
      <c r="I3323" s="16" t="inlineStr">
        <is>
          <t>Đạt</t>
        </is>
      </c>
      <c r="J3323" s="16" t="n">
        <v>0.041</v>
      </c>
    </row>
    <row r="3324">
      <c r="A3324" s="16" t="n">
        <v>3320</v>
      </c>
      <c r="B3324" s="16" t="inlineStr">
        <is>
          <t>Backend</t>
        </is>
      </c>
      <c r="C3324" s="17" t="inlineStr">
        <is>
          <t>inventory-service</t>
        </is>
      </c>
      <c r="D3324" s="16" t="inlineStr">
        <is>
          <t>Integration</t>
        </is>
      </c>
      <c r="E3324" s="17" t="inlineStr">
        <is>
          <t>MaterializeSessionIT</t>
        </is>
      </c>
      <c r="F3324" s="17" t="inlineStr"/>
      <c r="G3324" s="17" t="inlineStr">
        <is>
          <t>Trần mua vé từ message được áp cho đường giữ chỗ</t>
        </is>
      </c>
      <c r="H3324" s="17" t="inlineStr">
        <is>
          <t>tran_mua_ve_tu_message_duoc_ap</t>
        </is>
      </c>
      <c r="I3324" s="16" t="inlineStr">
        <is>
          <t>Đạt</t>
        </is>
      </c>
      <c r="J3324" s="16" t="n">
        <v>0.026</v>
      </c>
    </row>
    <row r="3325">
      <c r="A3325" s="16" t="n">
        <v>3321</v>
      </c>
      <c r="B3325" s="16" t="inlineStr">
        <is>
          <t>Backend</t>
        </is>
      </c>
      <c r="C3325" s="17" t="inlineStr">
        <is>
          <t>inventory-service</t>
        </is>
      </c>
      <c r="D3325" s="16" t="inlineStr">
        <is>
          <t>Integration</t>
        </is>
      </c>
      <c r="E3325" s="17" t="inlineStr">
        <is>
          <t>MaterializeSessionIT</t>
        </is>
      </c>
      <c r="F3325" s="17" t="inlineStr"/>
      <c r="G3325" s="17" t="inlineStr">
        <is>
          <t>Publish lại sau khi sửa cửa bán: chỗ giữ nguyên, nhưng cấu hình được đồng bộ</t>
        </is>
      </c>
      <c r="H3325" s="17" t="inlineStr">
        <is>
          <t>publish_lai_thi_dong_bo_cua_ban</t>
        </is>
      </c>
      <c r="I3325" s="16" t="inlineStr">
        <is>
          <t>Đạt</t>
        </is>
      </c>
      <c r="J3325" s="16" t="n">
        <v>0.026</v>
      </c>
    </row>
    <row r="3326">
      <c r="A3326" s="16" t="n">
        <v>3322</v>
      </c>
      <c r="B3326" s="16" t="inlineStr">
        <is>
          <t>Backend</t>
        </is>
      </c>
      <c r="C3326" s="17" t="inlineStr">
        <is>
          <t>inventory-service</t>
        </is>
      </c>
      <c r="D3326" s="16" t="inlineStr">
        <is>
          <t>Integration</t>
        </is>
      </c>
      <c r="E3326" s="17" t="inlineStr">
        <is>
          <t>MaterializeSessionIT</t>
        </is>
      </c>
      <c r="F3326" s="17" t="inlineStr"/>
      <c r="G3326" s="17" t="inlineStr">
        <is>
          <t>Materialize lại một suất đã có tồn kho: bỏ qua, không dựng đè</t>
        </is>
      </c>
      <c r="H3326" s="17" t="inlineStr">
        <is>
          <t>materialize_lai_thi_bo_qua</t>
        </is>
      </c>
      <c r="I3326" s="16" t="inlineStr">
        <is>
          <t>Đạt</t>
        </is>
      </c>
      <c r="J3326" s="16" t="n">
        <v>0.026</v>
      </c>
    </row>
    <row r="3327">
      <c r="A3327" s="16" t="n">
        <v>3323</v>
      </c>
      <c r="B3327" s="16" t="inlineStr">
        <is>
          <t>Backend</t>
        </is>
      </c>
      <c r="C3327" s="17" t="inlineStr">
        <is>
          <t>inventory-service</t>
        </is>
      </c>
      <c r="D3327" s="16" t="inlineStr">
        <is>
          <t>Integration</t>
        </is>
      </c>
      <c r="E3327" s="17" t="inlineStr">
        <is>
          <t>MaterializeSessionIT</t>
        </is>
      </c>
      <c r="F3327" s="17" t="inlineStr"/>
      <c r="G3327" s="17" t="inlineStr">
        <is>
          <t>Tồn kho vừa dựng dùng được ngay cho đường giữ chỗ</t>
        </is>
      </c>
      <c r="H3327" s="17" t="inlineStr">
        <is>
          <t>ton_kho_dung_duoc_ngay</t>
        </is>
      </c>
      <c r="I3327" s="16" t="inlineStr">
        <is>
          <t>Đạt</t>
        </is>
      </c>
      <c r="J3327" s="16" t="n">
        <v>0.052</v>
      </c>
    </row>
    <row r="3328">
      <c r="A3328" s="16" t="n">
        <v>3324</v>
      </c>
      <c r="B3328" s="16" t="inlineStr">
        <is>
          <t>Backend</t>
        </is>
      </c>
      <c r="C3328" s="17" t="inlineStr">
        <is>
          <t>inventory-service</t>
        </is>
      </c>
      <c r="D3328" s="16" t="inlineStr">
        <is>
          <t>Integration</t>
        </is>
      </c>
      <c r="E3328" s="17" t="inlineStr">
        <is>
          <t>OversellBackstopIT</t>
        </is>
      </c>
      <c r="F3328" s="17" t="inlineStr"/>
      <c r="G3328" s="17" t="inlineStr">
        <is>
          <t>Cổng Redis mù, 200 người giành 1 ghế: database vẫn chỉ cho đúng 1 người</t>
        </is>
      </c>
      <c r="H3328" s="17" t="inlineStr">
        <is>
          <t>database_van_chan_khi_cong_redis_mu</t>
        </is>
      </c>
      <c r="I3328" s="16" t="inlineStr">
        <is>
          <t>Đạt</t>
        </is>
      </c>
      <c r="J3328" s="16" t="n">
        <v>0.26</v>
      </c>
    </row>
    <row r="3329">
      <c r="A3329" s="16" t="n">
        <v>3325</v>
      </c>
      <c r="B3329" s="16" t="inlineStr">
        <is>
          <t>Backend</t>
        </is>
      </c>
      <c r="C3329" s="17" t="inlineStr">
        <is>
          <t>inventory-service</t>
        </is>
      </c>
      <c r="D3329" s="16" t="inlineStr">
        <is>
          <t>Integration</t>
        </is>
      </c>
      <c r="E3329" s="17" t="inlineStr">
        <is>
          <t>OversellBackstopIT</t>
        </is>
      </c>
      <c r="F3329" s="17" t="inlineStr"/>
      <c r="G3329" s="17" t="inlineStr">
        <is>
          <t>Ghi thẳng SQL hai dòng ACTIVE cho cùng một chỗ: unique index từ chối</t>
        </is>
      </c>
      <c r="H3329" s="17" t="inlineStr">
        <is>
          <t>unique_index_tu_choi_hai_dong_active_cung_mot_cho</t>
        </is>
      </c>
      <c r="I3329" s="16" t="inlineStr">
        <is>
          <t>Đạt</t>
        </is>
      </c>
      <c r="J3329" s="16" t="n">
        <v>0.039</v>
      </c>
    </row>
    <row r="3330">
      <c r="A3330" s="16" t="n">
        <v>3326</v>
      </c>
      <c r="B3330" s="16" t="inlineStr">
        <is>
          <t>Backend</t>
        </is>
      </c>
      <c r="C3330" s="17" t="inlineStr">
        <is>
          <t>inventory-service</t>
        </is>
      </c>
      <c r="D3330" s="16" t="inlineStr">
        <is>
          <t>Integration</t>
        </is>
      </c>
      <c r="E3330" s="17" t="inlineStr">
        <is>
          <t>ReleaseReserveRaceIT</t>
        </is>
      </c>
      <c r="F3330" s="17" t="inlineStr"/>
      <c r="G3330" s="17" t="inlineStr">
        <is>
          <t>Bỏ giữ chỗ xếp hàng sau lệnh đặt chỗ đang chạy: ghế của đơn đã đặt KHÔNG được về AVAILABLE</t>
        </is>
      </c>
      <c r="H3330" s="17" t="inlineStr">
        <is>
          <t>bo_giu_cho_xep_hang_sau_dat_cho</t>
        </is>
      </c>
      <c r="I3330" s="16" t="inlineStr">
        <is>
          <t>Đạt</t>
        </is>
      </c>
      <c r="J3330" s="16" t="n">
        <v>0.08500000000000001</v>
      </c>
    </row>
    <row r="3331">
      <c r="A3331" s="16" t="n">
        <v>3327</v>
      </c>
      <c r="B3331" s="16" t="inlineStr">
        <is>
          <t>Backend</t>
        </is>
      </c>
      <c r="C3331" s="17" t="inlineStr">
        <is>
          <t>inventory-service</t>
        </is>
      </c>
      <c r="D3331" s="16" t="inlineStr">
        <is>
          <t>Integration</t>
        </is>
      </c>
      <c r="E3331" s="17" t="inlineStr">
        <is>
          <t>SeatedZoneHoldIT</t>
        </is>
      </c>
      <c r="F3331" s="17" t="inlineStr"/>
      <c r="G3331" s="17" t="inlineStr">
        <is>
          <t>xin 2 vé khu A: nhận đúng 2 ghế, và là hai ghế gần sân khấu nhất</t>
        </is>
      </c>
      <c r="H3331" s="17" t="inlineStr">
        <is>
          <t>chon_cho_gan_san_khau_truoc</t>
        </is>
      </c>
      <c r="I3331" s="16" t="inlineStr">
        <is>
          <t>Đạt</t>
        </is>
      </c>
      <c r="J3331" s="16" t="n">
        <v>0.06</v>
      </c>
    </row>
    <row r="3332">
      <c r="A3332" s="16" t="n">
        <v>3328</v>
      </c>
      <c r="B3332" s="16" t="inlineStr">
        <is>
          <t>Backend</t>
        </is>
      </c>
      <c r="C3332" s="17" t="inlineStr">
        <is>
          <t>inventory-service</t>
        </is>
      </c>
      <c r="D3332" s="16" t="inlineStr">
        <is>
          <t>Integration</t>
        </is>
      </c>
      <c r="E3332" s="17" t="inlineStr">
        <is>
          <t>SeatedZoneHoldIT</t>
        </is>
      </c>
      <c r="F3332" s="17" t="inlineStr"/>
      <c r="G3332" s="17" t="inlineStr">
        <is>
          <t>khu không còn đủ chỗ: ZONE_SOLD_OUT, và những ghế vừa cấp được nhả</t>
        </is>
      </c>
      <c r="H3332" s="17" t="inlineStr">
        <is>
          <t>khu_khong_du_cho</t>
        </is>
      </c>
      <c r="I3332" s="16" t="inlineStr">
        <is>
          <t>Đạt</t>
        </is>
      </c>
      <c r="J3332" s="16" t="n">
        <v>0.024</v>
      </c>
    </row>
    <row r="3333">
      <c r="A3333" s="16" t="n">
        <v>3329</v>
      </c>
      <c r="B3333" s="16" t="inlineStr">
        <is>
          <t>Backend</t>
        </is>
      </c>
      <c r="C3333" s="17" t="inlineStr">
        <is>
          <t>inventory-service</t>
        </is>
      </c>
      <c r="D3333" s="16" t="inlineStr">
        <is>
          <t>Integration</t>
        </is>
      </c>
      <c r="E3333" s="17" t="inlineStr">
        <is>
          <t>SeatedZoneHoldIT</t>
        </is>
      </c>
      <c r="F3333" s="17" t="inlineStr"/>
      <c r="G3333" s="17" t="inlineStr">
        <is>
          <t>100 người cùng xin 2 vé ở khu 60 chỗ: phát đúng 30 lần, không ai trùng ghế</t>
        </is>
      </c>
      <c r="H3333" s="17" t="inlineStr">
        <is>
          <t>mot_tram_nguoi_cung_xin_mot_khu</t>
        </is>
      </c>
      <c r="I3333" s="16" t="inlineStr">
        <is>
          <t>Đạt</t>
        </is>
      </c>
      <c r="J3333" s="16" t="n">
        <v>0.336</v>
      </c>
    </row>
    <row r="3334">
      <c r="A3334" s="16" t="n">
        <v>3330</v>
      </c>
      <c r="B3334" s="16" t="inlineStr">
        <is>
          <t>Backend</t>
        </is>
      </c>
      <c r="C3334" s="17" t="inlineStr">
        <is>
          <t>inventory-service</t>
        </is>
      </c>
      <c r="D3334" s="16" t="inlineStr">
        <is>
          <t>Integration</t>
        </is>
      </c>
      <c r="E3334" s="17" t="inlineStr">
        <is>
          <t>SeatedZoneHoldIT</t>
        </is>
      </c>
      <c r="F3334" s="17" t="inlineStr"/>
      <c r="G3334" s="17" t="inlineStr">
        <is>
          <t>trộn ghế đích danh với vé theo khu: cả hai vào cùng một lần giữ chỗ</t>
        </is>
      </c>
      <c r="H3334" s="17" t="inlineStr">
        <is>
          <t>tron_ghe_dich_danh_va_ve_theo_khu</t>
        </is>
      </c>
      <c r="I3334" s="16" t="inlineStr">
        <is>
          <t>Đạt</t>
        </is>
      </c>
      <c r="J3334" s="16" t="n">
        <v>0.058</v>
      </c>
    </row>
    <row r="3335">
      <c r="A3335" s="16" t="n">
        <v>3331</v>
      </c>
      <c r="B3335" s="16" t="inlineStr">
        <is>
          <t>Backend</t>
        </is>
      </c>
      <c r="C3335" s="17" t="inlineStr">
        <is>
          <t>inventory-service</t>
        </is>
      </c>
      <c r="D3335" s="16" t="inlineStr">
        <is>
          <t>Integration</t>
        </is>
      </c>
      <c r="E3335" s="17" t="inlineStr">
        <is>
          <t>SeatedZoneHoldIT</t>
        </is>
      </c>
      <c r="F3335" s="17" t="inlineStr"/>
      <c r="G3335" s="17" t="inlineStr">
        <is>
          <t>vé theo khu đếm vào trần vé ngồi mỗi lần giữ chỗ</t>
        </is>
      </c>
      <c r="H3335" s="17" t="inlineStr">
        <is>
          <t>dem_vao_tran_ve_ngoi</t>
        </is>
      </c>
      <c r="I3335" s="16" t="inlineStr">
        <is>
          <t>Đạt</t>
        </is>
      </c>
      <c r="J3335" s="16" t="n">
        <v>0.026</v>
      </c>
    </row>
    <row r="3336">
      <c r="A3336" s="16" t="n">
        <v>3332</v>
      </c>
      <c r="B3336" s="16" t="inlineStr">
        <is>
          <t>Backend</t>
        </is>
      </c>
      <c r="C3336" s="17" t="inlineStr">
        <is>
          <t>inventory-service</t>
        </is>
      </c>
      <c r="D3336" s="16" t="inlineStr">
        <is>
          <t>Integration</t>
        </is>
      </c>
      <c r="E3336" s="17" t="inlineStr">
        <is>
          <t>SeatedZoneHoldIT</t>
        </is>
      </c>
      <c r="F3336" s="17" t="inlineStr"/>
      <c r="G3336" s="17" t="inlineStr">
        <is>
          <t>hàng đầu đã có người: lượt sau nhận hàng kế tiếp, không nhận lại chỗ đã giữ</t>
        </is>
      </c>
      <c r="H3336" s="17" t="inlineStr">
        <is>
          <t>khong_cap_lai_cho_da_giu</t>
        </is>
      </c>
      <c r="I3336" s="16" t="inlineStr">
        <is>
          <t>Đạt</t>
        </is>
      </c>
      <c r="J3336" s="16" t="n">
        <v>0.082</v>
      </c>
    </row>
    <row r="3337">
      <c r="A3337" s="16" t="n">
        <v>3333</v>
      </c>
      <c r="B3337" s="16" t="inlineStr">
        <is>
          <t>Backend</t>
        </is>
      </c>
      <c r="C3337" s="17" t="inlineStr">
        <is>
          <t>inventory-service</t>
        </is>
      </c>
      <c r="D3337" s="16" t="inlineStr">
        <is>
          <t>Integration</t>
        </is>
      </c>
      <c r="E3337" s="17" t="inlineStr">
        <is>
          <t>SeatHoldConcurrencyIT</t>
        </is>
      </c>
      <c r="F3337" s="17" t="inlineStr"/>
      <c r="G3337" s="17" t="inlineStr">
        <is>
          <t>Giữ chỗ hỗn hợp 2 ngồi + 2 đứng: hỏng phần đứng thì rollback cả bốn</t>
        </is>
      </c>
      <c r="H3337" s="17" t="inlineStr">
        <is>
          <t>giu_cho_hon_hop_hong_mot_phan_thi_rollback_ca_bon</t>
        </is>
      </c>
      <c r="I3337" s="16" t="inlineStr">
        <is>
          <t>Đạt</t>
        </is>
      </c>
      <c r="J3337" s="16" t="n">
        <v>0.047</v>
      </c>
    </row>
    <row r="3338">
      <c r="A3338" s="16" t="n">
        <v>3334</v>
      </c>
      <c r="B3338" s="16" t="inlineStr">
        <is>
          <t>Backend</t>
        </is>
      </c>
      <c r="C3338" s="17" t="inlineStr">
        <is>
          <t>inventory-service</t>
        </is>
      </c>
      <c r="D3338" s="16" t="inlineStr">
        <is>
          <t>Integration</t>
        </is>
      </c>
      <c r="E3338" s="17" t="inlineStr">
        <is>
          <t>SeatHoldConcurrencyIT</t>
        </is>
      </c>
      <c r="F3338" s="17" t="inlineStr"/>
      <c r="G3338" s="17" t="inlineStr">
        <is>
          <t>500 người mua vé đứng ở zone 200 chỗ: phát đúng 200, không hơn một vé</t>
        </is>
      </c>
      <c r="H3338" s="17" t="inlineStr">
        <is>
          <t>nam_tram_nguoi_mua_ve_dung_zone_hai_tram</t>
        </is>
      </c>
      <c r="I3338" s="16" t="inlineStr">
        <is>
          <t>Đạt</t>
        </is>
      </c>
      <c r="J3338" s="16" t="n">
        <v>1.523</v>
      </c>
    </row>
    <row r="3339">
      <c r="A3339" s="16" t="n">
        <v>3335</v>
      </c>
      <c r="B3339" s="16" t="inlineStr">
        <is>
          <t>Backend</t>
        </is>
      </c>
      <c r="C3339" s="17" t="inlineStr">
        <is>
          <t>inventory-service</t>
        </is>
      </c>
      <c r="D3339" s="16" t="inlineStr">
        <is>
          <t>Integration</t>
        </is>
      </c>
      <c r="E3339" s="17" t="inlineStr">
        <is>
          <t>SeatHoldConcurrencyIT</t>
        </is>
      </c>
      <c r="F3339" s="17" t="inlineStr"/>
      <c r="G3339" s="17" t="inlineStr">
        <is>
          <t>Gửi trùng cùng một ghế hai lần trong một request: tính là một, không báo ghế bận</t>
        </is>
      </c>
      <c r="H3339" s="17" t="inlineStr">
        <is>
          <t>ghe_trung_lap_trong_mot_request</t>
        </is>
      </c>
      <c r="I3339" s="16" t="inlineStr">
        <is>
          <t>Đạt</t>
        </is>
      </c>
      <c r="J3339" s="16" t="n">
        <v>0.051</v>
      </c>
    </row>
    <row r="3340">
      <c r="A3340" s="16" t="n">
        <v>3336</v>
      </c>
      <c r="B3340" s="16" t="inlineStr">
        <is>
          <t>Backend</t>
        </is>
      </c>
      <c r="C3340" s="17" t="inlineStr">
        <is>
          <t>inventory-service</t>
        </is>
      </c>
      <c r="D3340" s="16" t="inlineStr">
        <is>
          <t>Integration</t>
        </is>
      </c>
      <c r="E3340" s="17" t="inlineStr">
        <is>
          <t>SeatHoldConcurrencyIT</t>
        </is>
      </c>
      <c r="F3340" s="17" t="inlineStr"/>
      <c r="G3340" s="17" t="inlineStr">
        <is>
          <t>Cùng một người mở 20 tab, trần 10 vé: giữ được đúng 10 chỗ</t>
        </is>
      </c>
      <c r="H3340" s="17" t="inlineStr">
        <is>
          <t>mot_nguoi_hai_muoi_tab_khong_vuot_tran_cong_don</t>
        </is>
      </c>
      <c r="I3340" s="16" t="inlineStr">
        <is>
          <t>Đạt</t>
        </is>
      </c>
      <c r="J3340" s="16" t="n">
        <v>0.189</v>
      </c>
    </row>
    <row r="3341">
      <c r="A3341" s="16" t="n">
        <v>3337</v>
      </c>
      <c r="B3341" s="16" t="inlineStr">
        <is>
          <t>Backend</t>
        </is>
      </c>
      <c r="C3341" s="17" t="inlineStr">
        <is>
          <t>inventory-service</t>
        </is>
      </c>
      <c r="D3341" s="16" t="inlineStr">
        <is>
          <t>Integration</t>
        </is>
      </c>
      <c r="E3341" s="17" t="inlineStr">
        <is>
          <t>SeatHoldConcurrencyIT</t>
        </is>
      </c>
      <c r="F3341" s="17" t="inlineStr"/>
      <c r="G3341" s="17" t="inlineStr">
        <is>
          <t>200 người giành cùng 1 ghế: đúng 1 người giữ được</t>
        </is>
      </c>
      <c r="H3341" s="17" t="inlineStr">
        <is>
          <t>hai_tram_nguoi_gianh_mot_ghe</t>
        </is>
      </c>
      <c r="I3341" s="16" t="inlineStr">
        <is>
          <t>Đạt</t>
        </is>
      </c>
      <c r="J3341" s="16" t="n">
        <v>0.25</v>
      </c>
    </row>
    <row r="3342">
      <c r="A3342" s="16" t="n">
        <v>3338</v>
      </c>
      <c r="B3342" s="16" t="inlineStr">
        <is>
          <t>Backend</t>
        </is>
      </c>
      <c r="C3342" s="17" t="inlineStr">
        <is>
          <t>inventory-service</t>
        </is>
      </c>
      <c r="D3342" s="16" t="inlineStr">
        <is>
          <t>Integration</t>
        </is>
      </c>
      <c r="E3342" s="17" t="inlineStr">
        <is>
          <t>SeatMapCompressionIT</t>
        </is>
      </c>
      <c r="F3342" s="17" t="inlineStr"/>
      <c r="G3342" s="17" t="inlineStr">
        <is>
          <t>Client gửi Accept-Encoding: gzip: sơ đồ nhiều ghế được nén thật và nhỏ đi nhiều lần</t>
        </is>
      </c>
      <c r="H3342" s="17" t="inlineStr">
        <is>
          <t>duoc_nen</t>
        </is>
      </c>
      <c r="I3342" s="16" t="inlineStr">
        <is>
          <t>Đạt</t>
        </is>
      </c>
      <c r="J3342" s="16" t="n">
        <v>0.615</v>
      </c>
    </row>
    <row r="3343">
      <c r="A3343" s="16" t="n">
        <v>3339</v>
      </c>
      <c r="B3343" s="16" t="inlineStr">
        <is>
          <t>Backend</t>
        </is>
      </c>
      <c r="C3343" s="17" t="inlineStr">
        <is>
          <t>inventory-service</t>
        </is>
      </c>
      <c r="D3343" s="16" t="inlineStr">
        <is>
          <t>Integration</t>
        </is>
      </c>
      <c r="E3343" s="17" t="inlineStr">
        <is>
          <t>SeatMapCompressionIT</t>
        </is>
      </c>
      <c r="F3343" s="17" t="inlineStr"/>
      <c r="G3343" s="17" t="inlineStr">
        <is>
          <t>ETag là ETag yếu, và gửi lại đúng nó thì 304 không có thân</t>
        </is>
      </c>
      <c r="H3343" s="17" t="inlineStr">
        <is>
          <t>etag_yeu_va_304</t>
        </is>
      </c>
      <c r="I3343" s="16" t="inlineStr">
        <is>
          <t>Đạt</t>
        </is>
      </c>
      <c r="J3343" s="16" t="n">
        <v>0.097</v>
      </c>
    </row>
    <row r="3344">
      <c r="A3344" s="16" t="n">
        <v>3340</v>
      </c>
      <c r="B3344" s="16" t="inlineStr">
        <is>
          <t>Backend</t>
        </is>
      </c>
      <c r="C3344" s="17" t="inlineStr">
        <is>
          <t>inventory-service</t>
        </is>
      </c>
      <c r="D3344" s="16" t="inlineStr">
        <is>
          <t>Integration</t>
        </is>
      </c>
      <c r="E3344" s="17" t="inlineStr">
        <is>
          <t>SeatMapCompressionIT</t>
        </is>
      </c>
      <c r="F3344" s="17" t="inlineStr"/>
      <c r="G3344" s="17" t="inlineStr">
        <is>
          <t>Suất không tồn tại: 404 (không bị biến thành 304 bởi nhánh trả sớm)</t>
        </is>
      </c>
      <c r="H3344" s="17" t="inlineStr">
        <is>
          <t>suat_khong_ton_tai</t>
        </is>
      </c>
      <c r="I3344" s="16" t="inlineStr">
        <is>
          <t>Đạt</t>
        </is>
      </c>
      <c r="J3344" s="16" t="n">
        <v>0.031</v>
      </c>
    </row>
    <row r="3345">
      <c r="A3345" s="16" t="n">
        <v>3341</v>
      </c>
      <c r="B3345" s="16" t="inlineStr">
        <is>
          <t>Backend</t>
        </is>
      </c>
      <c r="C3345" s="17" t="inlineStr">
        <is>
          <t>inventory-service</t>
        </is>
      </c>
      <c r="D3345" s="16" t="inlineStr">
        <is>
          <t>Integration</t>
        </is>
      </c>
      <c r="E3345" s="17" t="inlineStr">
        <is>
          <t>SeatMapIT</t>
        </is>
      </c>
      <c r="F3345" s="17" t="inlineStr"/>
      <c r="G3345" s="17" t="inlineStr">
        <is>
          <t>Đường đọc không làm nhảy version — nếu không, ETag đổi mỗi lần gọi và mất sạch 304</t>
        </is>
      </c>
      <c r="H3345" s="17" t="inlineStr">
        <is>
          <t>duong_doc_khong_bump_version</t>
        </is>
      </c>
      <c r="I3345" s="16" t="inlineStr">
        <is>
          <t>Đạt</t>
        </is>
      </c>
      <c r="J3345" s="16" t="n">
        <v>0.061</v>
      </c>
    </row>
    <row r="3346">
      <c r="A3346" s="16" t="n">
        <v>3342</v>
      </c>
      <c r="B3346" s="16" t="inlineStr">
        <is>
          <t>Backend</t>
        </is>
      </c>
      <c r="C3346" s="17" t="inlineStr">
        <is>
          <t>inventory-service</t>
        </is>
      </c>
      <c r="D3346" s="16" t="inlineStr">
        <is>
          <t>Integration</t>
        </is>
      </c>
      <c r="E3346" s="17" t="inlineStr">
        <is>
          <t>SeatMapIT</t>
        </is>
      </c>
      <c r="F3346" s="17" t="inlineStr"/>
      <c r="G3346" s="17" t="inlineStr">
        <is>
          <t>Sự kiện 3.000 vé đứng KHÔNG trả 3.000 phần tử, chỉ một dòng tóm tắt mỗi zone</t>
        </is>
      </c>
      <c r="H3346" s="17" t="inlineStr">
        <is>
          <t>ve_dung_khong_tra_tung_don_vi</t>
        </is>
      </c>
      <c r="I3346" s="16" t="inlineStr">
        <is>
          <t>Đạt</t>
        </is>
      </c>
      <c r="J3346" s="16" t="n">
        <v>0.737</v>
      </c>
    </row>
    <row r="3347">
      <c r="A3347" s="16" t="n">
        <v>3343</v>
      </c>
      <c r="B3347" s="16" t="inlineStr">
        <is>
          <t>Backend</t>
        </is>
      </c>
      <c r="C3347" s="17" t="inlineStr">
        <is>
          <t>inventory-service</t>
        </is>
      </c>
      <c r="D3347" s="16" t="inlineStr">
        <is>
          <t>Integration</t>
        </is>
      </c>
      <c r="E3347" s="17" t="inlineStr">
        <is>
          <t>SeatMapIT</t>
        </is>
      </c>
      <c r="F3347" s="17" t="inlineStr"/>
      <c r="G3347" s="17" t="inlineStr">
        <is>
          <t>Khách chưa đăng nhập vẫn xem được sơ đồ, nhưng không có phần hạn mức</t>
        </is>
      </c>
      <c r="H3347" s="17" t="inlineStr">
        <is>
          <t>khach_an_danh_khong_co_han_muc</t>
        </is>
      </c>
      <c r="I3347" s="16" t="inlineStr">
        <is>
          <t>Đạt</t>
        </is>
      </c>
      <c r="J3347" s="16" t="n">
        <v>0.022</v>
      </c>
    </row>
    <row r="3348">
      <c r="A3348" s="16" t="n">
        <v>3344</v>
      </c>
      <c r="B3348" s="16" t="inlineStr">
        <is>
          <t>Backend</t>
        </is>
      </c>
      <c r="C3348" s="17" t="inlineStr">
        <is>
          <t>inventory-service</t>
        </is>
      </c>
      <c r="D3348" s="16" t="inlineStr">
        <is>
          <t>Integration</t>
        </is>
      </c>
      <c r="E3348" s="17" t="inlineStr">
        <is>
          <t>SeatMapIT</t>
        </is>
      </c>
      <c r="F3348" s="17" t="inlineStr"/>
      <c r="G3348" s="17" t="inlineStr">
        <is>
          <t>purchaseAllowance khớp số đếm thật sau mỗi thao tác</t>
        </is>
      </c>
      <c r="H3348" s="17" t="inlineStr">
        <is>
          <t>han_muc_khop_so_dem_that</t>
        </is>
      </c>
      <c r="I3348" s="16" t="inlineStr">
        <is>
          <t>Đạt</t>
        </is>
      </c>
      <c r="J3348" s="16" t="n">
        <v>0.106</v>
      </c>
    </row>
    <row r="3349">
      <c r="A3349" s="16" t="n">
        <v>3345</v>
      </c>
      <c r="B3349" s="16" t="inlineStr">
        <is>
          <t>Backend</t>
        </is>
      </c>
      <c r="C3349" s="17" t="inlineStr">
        <is>
          <t>inventory-service</t>
        </is>
      </c>
      <c r="D3349" s="16" t="inlineStr">
        <is>
          <t>Integration</t>
        </is>
      </c>
      <c r="E3349" s="17" t="inlineStr">
        <is>
          <t>SeatReleaseIT</t>
        </is>
      </c>
      <c r="F3349" s="17" t="inlineStr"/>
      <c r="G3349" s="17" t="inlineStr">
        <is>
          <t>Xác nhận thanh toán hai lần: chỉ bán một lần</t>
        </is>
      </c>
      <c r="H3349" s="17" t="inlineStr">
        <is>
          <t>settle_idempotent</t>
        </is>
      </c>
      <c r="I3349" s="16" t="inlineStr">
        <is>
          <t>Đạt</t>
        </is>
      </c>
      <c r="J3349" s="16" t="n">
        <v>0.081</v>
      </c>
    </row>
    <row r="3350">
      <c r="A3350" s="16" t="n">
        <v>3346</v>
      </c>
      <c r="B3350" s="16" t="inlineStr">
        <is>
          <t>Backend</t>
        </is>
      </c>
      <c r="C3350" s="17" t="inlineStr">
        <is>
          <t>inventory-service</t>
        </is>
      </c>
      <c r="D3350" s="16" t="inlineStr">
        <is>
          <t>Integration</t>
        </is>
      </c>
      <c r="E3350" s="17" t="inlineStr">
        <is>
          <t>SeatReleaseIT</t>
        </is>
      </c>
      <c r="F3350" s="17" t="inlineStr"/>
      <c r="G3350" s="17" t="inlineStr">
        <is>
          <t>Đường 4 — hoàn tiền CHƯA CÓ: cancel() không đụng được chỗ đã SOLD</t>
        </is>
      </c>
      <c r="H3350" s="17" t="inlineStr">
        <is>
          <t>duong_4_hoan_tien_chua_duoc_ho_tro</t>
        </is>
      </c>
      <c r="I3350" s="16" t="inlineStr">
        <is>
          <t>Đạt</t>
        </is>
      </c>
      <c r="J3350" s="16" t="n">
        <v>0.077</v>
      </c>
    </row>
    <row r="3351">
      <c r="A3351" s="16" t="n">
        <v>3347</v>
      </c>
      <c r="B3351" s="16" t="inlineStr">
        <is>
          <t>Backend</t>
        </is>
      </c>
      <c r="C3351" s="17" t="inlineStr">
        <is>
          <t>inventory-service</t>
        </is>
      </c>
      <c r="D3351" s="16" t="inlineStr">
        <is>
          <t>Integration</t>
        </is>
      </c>
      <c r="E3351" s="17" t="inlineStr">
        <is>
          <t>SeatReleaseIT</t>
        </is>
      </c>
      <c r="F3351" s="17" t="inlineStr"/>
      <c r="G3351" s="17" t="inlineStr">
        <is>
          <t>Đặt chỗ hai lần cùng orderId: idempotent, không nổ và không đổi trạng thái</t>
        </is>
      </c>
      <c r="H3351" s="17" t="inlineStr">
        <is>
          <t>dat_cho_idempotent_theo_order</t>
        </is>
      </c>
      <c r="I3351" s="16" t="inlineStr">
        <is>
          <t>Đạt</t>
        </is>
      </c>
      <c r="J3351" s="16" t="n">
        <v>0.08</v>
      </c>
    </row>
    <row r="3352">
      <c r="A3352" s="16" t="n">
        <v>3348</v>
      </c>
      <c r="B3352" s="16" t="inlineStr">
        <is>
          <t>Backend</t>
        </is>
      </c>
      <c r="C3352" s="17" t="inlineStr">
        <is>
          <t>inventory-service</t>
        </is>
      </c>
      <c r="D3352" s="16" t="inlineStr">
        <is>
          <t>Integration</t>
        </is>
      </c>
      <c r="E3352" s="17" t="inlineStr">
        <is>
          <t>SeatReleaseIT</t>
        </is>
      </c>
      <c r="F3352" s="17" t="inlineStr"/>
      <c r="G3352" s="17" t="inlineStr">
        <is>
          <t>Đường 3 — huỷ đơn (saga bù trừ): chỗ đã RESERVED quay về AVAILABLE</t>
        </is>
      </c>
      <c r="H3352" s="17" t="inlineStr">
        <is>
          <t>duong_3_huy_don</t>
        </is>
      </c>
      <c r="I3352" s="16" t="inlineStr">
        <is>
          <t>Đạt</t>
        </is>
      </c>
      <c r="J3352" s="16" t="n">
        <v>0.12</v>
      </c>
    </row>
    <row r="3353">
      <c r="A3353" s="16" t="n">
        <v>3349</v>
      </c>
      <c r="B3353" s="16" t="inlineStr">
        <is>
          <t>Backend</t>
        </is>
      </c>
      <c r="C3353" s="17" t="inlineStr">
        <is>
          <t>inventory-service</t>
        </is>
      </c>
      <c r="D3353" s="16" t="inlineStr">
        <is>
          <t>Integration</t>
        </is>
      </c>
      <c r="E3353" s="17" t="inlineStr">
        <is>
          <t>SeatReleaseIT</t>
        </is>
      </c>
      <c r="F3353" s="17" t="inlineStr"/>
      <c r="G3353" s="17" t="inlineStr">
        <is>
          <t>Đường 2 — giữ chỗ hết hạn: worker nhả chỗ</t>
        </is>
      </c>
      <c r="H3353" s="17" t="inlineStr">
        <is>
          <t>duong_2_giu_cho_het_han</t>
        </is>
      </c>
      <c r="I3353" s="16" t="inlineStr">
        <is>
          <t>Đạt</t>
        </is>
      </c>
      <c r="J3353" s="16" t="n">
        <v>0.058</v>
      </c>
    </row>
    <row r="3354">
      <c r="A3354" s="16" t="n">
        <v>3350</v>
      </c>
      <c r="B3354" s="16" t="inlineStr">
        <is>
          <t>Backend</t>
        </is>
      </c>
      <c r="C3354" s="17" t="inlineStr">
        <is>
          <t>inventory-service</t>
        </is>
      </c>
      <c r="D3354" s="16" t="inlineStr">
        <is>
          <t>Integration</t>
        </is>
      </c>
      <c r="E3354" s="17" t="inlineStr">
        <is>
          <t>SeatReleaseIT</t>
        </is>
      </c>
      <c r="F3354" s="17" t="inlineStr"/>
      <c r="G3354" s="17" t="inlineStr">
        <is>
          <t>Đường 1 — khách tự bỏ giữ chỗ: chỗ về AVAILABLE, hạn mức trả lại</t>
        </is>
      </c>
      <c r="H3354" s="17" t="inlineStr">
        <is>
          <t>duong_1_khach_tu_bo_giu_cho</t>
        </is>
      </c>
      <c r="I3354" s="16" t="inlineStr">
        <is>
          <t>Đạt</t>
        </is>
      </c>
      <c r="J3354" s="16" t="n">
        <v>0.093</v>
      </c>
    </row>
    <row r="3355">
      <c r="A3355" s="16" t="n">
        <v>3351</v>
      </c>
      <c r="B3355" s="16" t="inlineStr">
        <is>
          <t>Backend</t>
        </is>
      </c>
      <c r="C3355" s="17" t="inlineStr">
        <is>
          <t>inventory-service</t>
        </is>
      </c>
      <c r="D3355" s="16" t="inlineStr">
        <is>
          <t>Integration</t>
        </is>
      </c>
      <c r="E3355" s="17" t="inlineStr">
        <is>
          <t>SeatReleaseIT</t>
        </is>
      </c>
      <c r="F3355" s="17" t="inlineStr"/>
      <c r="G3355" s="17" t="inlineStr">
        <is>
          <t>Không có đặt chỗ nào: bù trừ trả false chứ không ném</t>
        </is>
      </c>
      <c r="H3355" s="17" t="inlineStr">
        <is>
          <t>bu_tru_don_khong_co_dat_cho</t>
        </is>
      </c>
      <c r="I3355" s="16" t="inlineStr">
        <is>
          <t>Đạt</t>
        </is>
      </c>
      <c r="J3355" s="16" t="n">
        <v>0.018</v>
      </c>
    </row>
    <row r="3356">
      <c r="A3356" s="16" t="n">
        <v>3352</v>
      </c>
      <c r="B3356" s="16" t="inlineStr">
        <is>
          <t>Backend</t>
        </is>
      </c>
      <c r="C3356" s="17" t="inlineStr">
        <is>
          <t>inventory-service</t>
        </is>
      </c>
      <c r="D3356" s="16" t="inlineStr">
        <is>
          <t>Integration</t>
        </is>
      </c>
      <c r="E3356" s="17" t="inlineStr">
        <is>
          <t>SeatStatusIT</t>
        </is>
      </c>
      <c r="F3356" s="17" t="inlineStr"/>
      <c r="G3356" s="17" t="inlineStr">
        <is>
          <t>chỗ bị chặn đếm riêng, không lẫn vào phần bán được</t>
        </is>
      </c>
      <c r="H3356" s="17" t="inlineStr">
        <is>
          <t>cho_bi_chan_dem_rieng</t>
        </is>
      </c>
      <c r="I3356" s="16" t="inlineStr">
        <is>
          <t>Đạt</t>
        </is>
      </c>
      <c r="J3356" s="16" t="n">
        <v>0.033</v>
      </c>
    </row>
    <row r="3357">
      <c r="A3357" s="16" t="n">
        <v>3353</v>
      </c>
      <c r="B3357" s="16" t="inlineStr">
        <is>
          <t>Backend</t>
        </is>
      </c>
      <c r="C3357" s="17" t="inlineStr">
        <is>
          <t>inventory-service</t>
        </is>
      </c>
      <c r="D3357" s="16" t="inlineStr">
        <is>
          <t>Integration</t>
        </is>
      </c>
      <c r="E3357" s="17" t="inlineStr">
        <is>
          <t>SeatStatusIT</t>
        </is>
      </c>
      <c r="F3357" s="17" t="inlineStr"/>
      <c r="G3357" s="17" t="inlineStr">
        <is>
          <t>giữ chỗ chuyển AVAILABLE sang HELD trong đúng khu đó</t>
        </is>
      </c>
      <c r="H3357" s="17" t="inlineStr">
        <is>
          <t>giu_cho_doi_trang_thai</t>
        </is>
      </c>
      <c r="I3357" s="16" t="inlineStr">
        <is>
          <t>Đạt</t>
        </is>
      </c>
      <c r="J3357" s="16" t="n">
        <v>0.066</v>
      </c>
    </row>
    <row r="3358">
      <c r="A3358" s="16" t="n">
        <v>3354</v>
      </c>
      <c r="B3358" s="16" t="inlineStr">
        <is>
          <t>Backend</t>
        </is>
      </c>
      <c r="C3358" s="17" t="inlineStr">
        <is>
          <t>inventory-service</t>
        </is>
      </c>
      <c r="D3358" s="16" t="inlineStr">
        <is>
          <t>Integration</t>
        </is>
      </c>
      <c r="E3358" s="17" t="inlineStr">
        <is>
          <t>SeatStatusIT</t>
        </is>
      </c>
      <c r="F3358" s="17" t="inlineStr"/>
      <c r="G3358" s="17" t="inlineStr">
        <is>
          <t>suất chưa được dựng tồn kho: SESSION_NOT_FOUND, không phải một bảng số 0</t>
        </is>
      </c>
      <c r="H3358" s="17" t="inlineStr">
        <is>
          <t>suat_chua_materialize</t>
        </is>
      </c>
      <c r="I3358" s="16" t="inlineStr">
        <is>
          <t>Đạt</t>
        </is>
      </c>
      <c r="J3358" s="16" t="n">
        <v>0.018</v>
      </c>
    </row>
    <row r="3359">
      <c r="A3359" s="16" t="n">
        <v>3355</v>
      </c>
      <c r="B3359" s="16" t="inlineStr">
        <is>
          <t>Backend</t>
        </is>
      </c>
      <c r="C3359" s="17" t="inlineStr">
        <is>
          <t>inventory-service</t>
        </is>
      </c>
      <c r="D3359" s="16" t="inlineStr">
        <is>
          <t>Integration</t>
        </is>
      </c>
      <c r="E3359" s="17" t="inlineStr">
        <is>
          <t>SeatStatusIT</t>
        </is>
      </c>
      <c r="F3359" s="17" t="inlineStr"/>
      <c r="G3359" s="17" t="inlineStr">
        <is>
          <t>gộp theo khu, và vé đứng nằm trong tổng</t>
        </is>
      </c>
      <c r="H3359" s="17" t="inlineStr">
        <is>
          <t>gop_theo_khu_va_gom_ca_ve_dung</t>
        </is>
      </c>
      <c r="I3359" s="16" t="inlineStr">
        <is>
          <t>Đạt</t>
        </is>
      </c>
      <c r="J3359" s="16" t="n">
        <v>0.077</v>
      </c>
    </row>
    <row r="3360">
      <c r="A3360" s="16" t="n">
        <v>3356</v>
      </c>
      <c r="B3360" s="16" t="inlineStr">
        <is>
          <t>Backend</t>
        </is>
      </c>
      <c r="C3360" s="17" t="inlineStr">
        <is>
          <t>ledger-service</t>
        </is>
      </c>
      <c r="D3360" s="16" t="inlineStr">
        <is>
          <t>Integration</t>
        </is>
      </c>
      <c r="E3360" s="17" t="inlineStr">
        <is>
          <t>LedgerAppendOnlyIT</t>
        </is>
      </c>
      <c r="F3360" s="17" t="inlineStr"/>
      <c r="G3360" s="17" t="inlineStr">
        <is>
          <t>TRUNCATE bị từ chối — xoá sạch lịch sử là dạng nguy hiểm nhất</t>
        </is>
      </c>
      <c r="H3360" s="17" t="inlineStr">
        <is>
          <t>khong_truncate_duoc</t>
        </is>
      </c>
      <c r="I3360" s="16" t="inlineStr">
        <is>
          <t>Đạt</t>
        </is>
      </c>
      <c r="J3360" s="16" t="n">
        <v>3.153</v>
      </c>
    </row>
    <row r="3361">
      <c r="A3361" s="16" t="n">
        <v>3357</v>
      </c>
      <c r="B3361" s="16" t="inlineStr">
        <is>
          <t>Backend</t>
        </is>
      </c>
      <c r="C3361" s="17" t="inlineStr">
        <is>
          <t>ledger-service</t>
        </is>
      </c>
      <c r="D3361" s="16" t="inlineStr">
        <is>
          <t>Integration</t>
        </is>
      </c>
      <c r="E3361" s="17" t="inlineStr">
        <is>
          <t>LedgerAppendOnlyIT</t>
        </is>
      </c>
      <c r="F3361" s="17" t="inlineStr"/>
      <c r="G3361" s="17" t="inlineStr">
        <is>
          <t>sửa sai vẫn làm được: role runtime INSERT được bút toán đảo</t>
        </is>
      </c>
      <c r="H3361" s="17" t="inlineStr">
        <is>
          <t>van_ghi_them_duoc</t>
        </is>
      </c>
      <c r="I3361" s="16" t="inlineStr">
        <is>
          <t>Đạt</t>
        </is>
      </c>
      <c r="J3361" s="16" t="n">
        <v>0.04</v>
      </c>
    </row>
    <row r="3362">
      <c r="A3362" s="16" t="n">
        <v>3358</v>
      </c>
      <c r="B3362" s="16" t="inlineStr">
        <is>
          <t>Backend</t>
        </is>
      </c>
      <c r="C3362" s="17" t="inlineStr">
        <is>
          <t>ledger-service</t>
        </is>
      </c>
      <c r="D3362" s="16" t="inlineStr">
        <is>
          <t>Integration</t>
        </is>
      </c>
      <c r="E3362" s="17" t="inlineStr">
        <is>
          <t>LedgerAppendOnlyIT</t>
        </is>
      </c>
      <c r="F3362" s="17" t="inlineStr"/>
      <c r="G3362" s="17" t="inlineStr">
        <is>
          <t>UPDATE journal_entries và DELETE FROM postings cũng bị từ chối</t>
        </is>
      </c>
      <c r="H3362" s="17" t="inlineStr">
        <is>
          <t>ca_hai_bang_deu_bat_bien</t>
        </is>
      </c>
      <c r="I3362" s="16" t="inlineStr">
        <is>
          <t>Đạt</t>
        </is>
      </c>
      <c r="J3362" s="16" t="n">
        <v>0.08400000000000001</v>
      </c>
    </row>
    <row r="3363">
      <c r="A3363" s="16" t="n">
        <v>3359</v>
      </c>
      <c r="B3363" s="16" t="inlineStr">
        <is>
          <t>Backend</t>
        </is>
      </c>
      <c r="C3363" s="17" t="inlineStr">
        <is>
          <t>ledger-service</t>
        </is>
      </c>
      <c r="D3363" s="16" t="inlineStr">
        <is>
          <t>Integration</t>
        </is>
      </c>
      <c r="E3363" s="17" t="inlineStr">
        <is>
          <t>LedgerAppendOnlyIT</t>
        </is>
      </c>
      <c r="F3363" s="17" t="inlineStr"/>
      <c r="G3363" s="17" t="inlineStr">
        <is>
          <t>UPDATE postings bị database từ chối</t>
        </is>
      </c>
      <c r="H3363" s="17" t="inlineStr">
        <is>
          <t>khong_sua_duoc_dinh_khoan</t>
        </is>
      </c>
      <c r="I3363" s="16" t="inlineStr">
        <is>
          <t>Đạt</t>
        </is>
      </c>
      <c r="J3363" s="16" t="n">
        <v>0.05</v>
      </c>
    </row>
    <row r="3364">
      <c r="A3364" s="16" t="n">
        <v>3360</v>
      </c>
      <c r="B3364" s="16" t="inlineStr">
        <is>
          <t>Backend</t>
        </is>
      </c>
      <c r="C3364" s="17" t="inlineStr">
        <is>
          <t>ledger-service</t>
        </is>
      </c>
      <c r="D3364" s="16" t="inlineStr">
        <is>
          <t>Integration</t>
        </is>
      </c>
      <c r="E3364" s="17" t="inlineStr">
        <is>
          <t>LedgerAppendOnlyIT</t>
        </is>
      </c>
      <c r="F3364" s="17" t="inlineStr"/>
      <c r="G3364" s="17" t="inlineStr">
        <is>
          <t>DELETE FROM journal_entries bị database từ chối</t>
        </is>
      </c>
      <c r="H3364" s="17" t="inlineStr">
        <is>
          <t>khong_xoa_duoc_but_toan</t>
        </is>
      </c>
      <c r="I3364" s="16" t="inlineStr">
        <is>
          <t>Đạt</t>
        </is>
      </c>
      <c r="J3364" s="16" t="n">
        <v>0.045</v>
      </c>
    </row>
    <row r="3365">
      <c r="A3365" s="16" t="n">
        <v>3361</v>
      </c>
      <c r="B3365" s="16" t="inlineStr">
        <is>
          <t>Backend</t>
        </is>
      </c>
      <c r="C3365" s="17" t="inlineStr">
        <is>
          <t>ledger-service</t>
        </is>
      </c>
      <c r="D3365" s="16" t="inlineStr">
        <is>
          <t>Integration</t>
        </is>
      </c>
      <c r="E3365" s="17" t="inlineStr">
        <is>
          <t>LedgerAppendOnlyIT</t>
        </is>
      </c>
      <c r="F3365" s="17" t="inlineStr"/>
      <c r="G3365" s="17" t="inlineStr">
        <is>
          <t>đối chứng: role runtime vẫn đọc được hai bảng bất biến</t>
        </is>
      </c>
      <c r="H3365" s="17" t="inlineStr">
        <is>
          <t>doi_chung_van_doc_duoc</t>
        </is>
      </c>
      <c r="I3365" s="16" t="inlineStr">
        <is>
          <t>Đạt</t>
        </is>
      </c>
      <c r="J3365" s="16" t="n">
        <v>0.052</v>
      </c>
    </row>
    <row r="3366">
      <c r="A3366" s="16" t="n">
        <v>3362</v>
      </c>
      <c r="B3366" s="16" t="inlineStr">
        <is>
          <t>Backend</t>
        </is>
      </c>
      <c r="C3366" s="17" t="inlineStr">
        <is>
          <t>ledger-service</t>
        </is>
      </c>
      <c r="D3366" s="16" t="inlineStr">
        <is>
          <t>Integration</t>
        </is>
      </c>
      <c r="E3366" s="17" t="inlineStr">
        <is>
          <t>LedgerInvariantIT</t>
        </is>
      </c>
      <c r="F3366" s="17" t="inlineStr"/>
      <c r="G3366" s="17" t="inlineStr">
        <is>
          <t>Database từ chối bút toán lệch, kể cả khi application ghi thẳng SQL</t>
        </is>
      </c>
      <c r="H3366" s="17" t="inlineStr">
        <is>
          <t>but_toan_lech_khong_the_vao_duoc_database</t>
        </is>
      </c>
      <c r="I3366" s="16" t="inlineStr">
        <is>
          <t>Đạt</t>
        </is>
      </c>
      <c r="J3366" s="16" t="n">
        <v>0.124</v>
      </c>
    </row>
    <row r="3367">
      <c r="A3367" s="16" t="n">
        <v>3363</v>
      </c>
      <c r="B3367" s="16" t="inlineStr">
        <is>
          <t>Backend</t>
        </is>
      </c>
      <c r="C3367" s="17" t="inlineStr">
        <is>
          <t>ledger-service</t>
        </is>
      </c>
      <c r="D3367" s="16" t="inlineStr">
        <is>
          <t>Integration</t>
        </is>
      </c>
      <c r="E3367" s="17" t="inlineStr">
        <is>
          <t>LedgerInvariantIT</t>
        </is>
      </c>
      <c r="F3367" s="17" t="inlineStr"/>
      <c r="G3367" s="17" t="inlineStr">
        <is>
          <t>Định khoản 0 đồng và số âm bị CHECK chặn</t>
        </is>
      </c>
      <c r="H3367" s="17" t="inlineStr">
        <is>
          <t>so_tien_phai_duong</t>
        </is>
      </c>
      <c r="I3367" s="16" t="inlineStr">
        <is>
          <t>Đạt</t>
        </is>
      </c>
      <c r="J3367" s="16" t="n">
        <v>0.036</v>
      </c>
    </row>
    <row r="3368">
      <c r="A3368" s="16" t="n">
        <v>3364</v>
      </c>
      <c r="B3368" s="16" t="inlineStr">
        <is>
          <t>Backend</t>
        </is>
      </c>
      <c r="C3368" s="17" t="inlineStr">
        <is>
          <t>ledger-service</t>
        </is>
      </c>
      <c r="D3368" s="16" t="inlineStr">
        <is>
          <t>Integration</t>
        </is>
      </c>
      <c r="E3368" s="17" t="inlineStr">
        <is>
          <t>LedgerInvariantIT</t>
        </is>
      </c>
      <c r="F3368" s="17" t="inlineStr"/>
      <c r="G3368" s="17" t="inlineStr">
        <is>
          <t>Tài khoản nền tảng chỉ tồn tại một bản cho mỗi mã</t>
        </is>
      </c>
      <c r="H3368" s="17" t="inlineStr">
        <is>
          <t>tai_khoan_nen_tang_khong_trung</t>
        </is>
      </c>
      <c r="I3368" s="16" t="inlineStr">
        <is>
          <t>Đạt</t>
        </is>
      </c>
      <c r="J3368" s="16" t="n">
        <v>0.017</v>
      </c>
    </row>
    <row r="3369">
      <c r="A3369" s="16" t="n">
        <v>3365</v>
      </c>
      <c r="B3369" s="16" t="inlineStr">
        <is>
          <t>Backend</t>
        </is>
      </c>
      <c r="C3369" s="17" t="inlineStr">
        <is>
          <t>ledger-service</t>
        </is>
      </c>
      <c r="D3369" s="16" t="inlineStr">
        <is>
          <t>Integration</t>
        </is>
      </c>
      <c r="E3369" s="17" t="inlineStr">
        <is>
          <t>LedgerInvariantIT</t>
        </is>
      </c>
      <c r="F3369" s="17" t="inlineStr"/>
      <c r="G3369" s="17" t="inlineStr">
        <is>
          <t>Bút toán một dòng cũng bị chặn — không có gì để đối ứng</t>
        </is>
      </c>
      <c r="H3369" s="17" t="inlineStr">
        <is>
          <t>mot_dong_khong_the_can</t>
        </is>
      </c>
      <c r="I3369" s="16" t="inlineStr">
        <is>
          <t>Đạt</t>
        </is>
      </c>
      <c r="J3369" s="16" t="n">
        <v>0.022</v>
      </c>
    </row>
    <row r="3370">
      <c r="A3370" s="16" t="n">
        <v>3366</v>
      </c>
      <c r="B3370" s="16" t="inlineStr">
        <is>
          <t>Backend</t>
        </is>
      </c>
      <c r="C3370" s="17" t="inlineStr">
        <is>
          <t>ledger-service</t>
        </is>
      </c>
      <c r="D3370" s="16" t="inlineStr">
        <is>
          <t>Integration</t>
        </is>
      </c>
      <c r="E3370" s="17" t="inlineStr">
        <is>
          <t>LedgerInvariantIT</t>
        </is>
      </c>
      <c r="F3370" s="17" t="inlineStr"/>
      <c r="G3370" s="17" t="inlineStr">
        <is>
          <t>Số dư tính đúng theo chiều số dư thường của tài khoản</t>
        </is>
      </c>
      <c r="H3370" s="17" t="inlineStr">
        <is>
          <t>so_du_theo_chieu_dung</t>
        </is>
      </c>
      <c r="I3370" s="16" t="inlineStr">
        <is>
          <t>Đạt</t>
        </is>
      </c>
      <c r="J3370" s="16" t="n">
        <v>0.081</v>
      </c>
    </row>
    <row r="3371">
      <c r="A3371" s="16" t="n">
        <v>3367</v>
      </c>
      <c r="B3371" s="16" t="inlineStr">
        <is>
          <t>Backend</t>
        </is>
      </c>
      <c r="C3371" s="17" t="inlineStr">
        <is>
          <t>ledger-service</t>
        </is>
      </c>
      <c r="D3371" s="16" t="inlineStr">
        <is>
          <t>Integration</t>
        </is>
      </c>
      <c r="E3371" s="17" t="inlineStr">
        <is>
          <t>LedgerInvariantIT</t>
        </is>
      </c>
      <c r="F3371" s="17" t="inlineStr"/>
      <c r="G3371" s="17" t="inlineStr">
        <is>
          <t>Trùng idempotency_key bị chặn — consumer retry không ghi sổ hai lần</t>
        </is>
      </c>
      <c r="H3371" s="17" t="inlineStr">
        <is>
          <t>idempotency_key_la_duy_nhat</t>
        </is>
      </c>
      <c r="I3371" s="16" t="inlineStr">
        <is>
          <t>Đạt</t>
        </is>
      </c>
      <c r="J3371" s="16" t="n">
        <v>0.039</v>
      </c>
    </row>
    <row r="3372">
      <c r="A3372" s="16" t="n">
        <v>3368</v>
      </c>
      <c r="B3372" s="16" t="inlineStr">
        <is>
          <t>Backend</t>
        </is>
      </c>
      <c r="C3372" s="17" t="inlineStr">
        <is>
          <t>ledger-service</t>
        </is>
      </c>
      <c r="D3372" s="16" t="inlineStr">
        <is>
          <t>Integration</t>
        </is>
      </c>
      <c r="E3372" s="17" t="inlineStr">
        <is>
          <t>LedgerInvariantIT</t>
        </is>
      </c>
      <c r="F3372" s="17" t="inlineStr"/>
      <c r="G3372" s="17" t="inlineStr">
        <is>
          <t>Bút toán cân thì ghi được</t>
        </is>
      </c>
      <c r="H3372" s="17" t="inlineStr">
        <is>
          <t>but_toan_can_ghi_duoc</t>
        </is>
      </c>
      <c r="I3372" s="16" t="inlineStr">
        <is>
          <t>Đạt</t>
        </is>
      </c>
      <c r="J3372" s="16" t="n">
        <v>0.033</v>
      </c>
    </row>
    <row r="3373">
      <c r="A3373" s="16" t="n">
        <v>3369</v>
      </c>
      <c r="B3373" s="16" t="inlineStr">
        <is>
          <t>Backend</t>
        </is>
      </c>
      <c r="C3373" s="17" t="inlineStr">
        <is>
          <t>ledger-service</t>
        </is>
      </c>
      <c r="D3373" s="16" t="inlineStr">
        <is>
          <t>Integration</t>
        </is>
      </c>
      <c r="E3373" s="17" t="inlineStr">
        <is>
          <t>LedgerInvariantIT</t>
        </is>
      </c>
      <c r="F3373" s="17" t="inlineStr"/>
      <c r="G3373" s="17" t="inlineStr">
        <is>
          <t>Tài khoản của tổ chức bắt buộc có owner_id</t>
        </is>
      </c>
      <c r="H3373" s="17" t="inlineStr">
        <is>
          <t>tai_khoan_to_chuc_phai_co_chu</t>
        </is>
      </c>
      <c r="I3373" s="16" t="inlineStr">
        <is>
          <t>Đạt</t>
        </is>
      </c>
      <c r="J3373" s="16" t="n">
        <v>0.013</v>
      </c>
    </row>
    <row r="3374">
      <c r="A3374" s="16" t="n">
        <v>3370</v>
      </c>
      <c r="B3374" s="16" t="inlineStr">
        <is>
          <t>Backend</t>
        </is>
      </c>
      <c r="C3374" s="17" t="inlineStr">
        <is>
          <t>ledger-service</t>
        </is>
      </c>
      <c r="D3374" s="16" t="inlineStr">
        <is>
          <t>Integration</t>
        </is>
      </c>
      <c r="E3374" s="17" t="inlineStr">
        <is>
          <t>OrderPaidListenerIT</t>
        </is>
      </c>
      <c r="F3374" s="17" t="inlineStr"/>
      <c r="G3374" s="17" t="inlineStr">
        <is>
          <t>Cùng một đơn tới bằng hai message (outbox gửi lại): chỉ một bút toán, số dư không nhân đôi</t>
        </is>
      </c>
      <c r="H3374" s="17" t="inlineStr">
        <is>
          <t>message_gui_lai_chi_ghi_mot_lan</t>
        </is>
      </c>
      <c r="I3374" s="16" t="inlineStr">
        <is>
          <t>Đạt</t>
        </is>
      </c>
      <c r="J3374" s="16" t="n">
        <v>0.148</v>
      </c>
    </row>
    <row r="3375">
      <c r="A3375" s="16" t="n">
        <v>3371</v>
      </c>
      <c r="B3375" s="16" t="inlineStr">
        <is>
          <t>Backend</t>
        </is>
      </c>
      <c r="C3375" s="17" t="inlineStr">
        <is>
          <t>ledger-service</t>
        </is>
      </c>
      <c r="D3375" s="16" t="inlineStr">
        <is>
          <t>Integration</t>
        </is>
      </c>
      <c r="E3375" s="17" t="inlineStr">
        <is>
          <t>OrderPaidListenerIT</t>
        </is>
      </c>
      <c r="F3375" s="17" t="inlineStr"/>
      <c r="G3375" s="17" t="inlineStr">
        <is>
          <t>Message thiếu totalVnd: ack (không ném) và không ghi sổ — nếu ném sẽ chặn hàng đợi tuần tự</t>
        </is>
      </c>
      <c r="H3375" s="17" t="inlineStr">
        <is>
          <t>thieu_tong_tien_khong_chan_hang_doi</t>
        </is>
      </c>
      <c r="I3375" s="16" t="inlineStr">
        <is>
          <t>Đạt</t>
        </is>
      </c>
      <c r="J3375" s="16" t="n">
        <v>0.018</v>
      </c>
    </row>
    <row r="3376">
      <c r="A3376" s="16" t="n">
        <v>3372</v>
      </c>
      <c r="B3376" s="16" t="inlineStr">
        <is>
          <t>Backend</t>
        </is>
      </c>
      <c r="C3376" s="17" t="inlineStr">
        <is>
          <t>ledger-service</t>
        </is>
      </c>
      <c r="D3376" s="16" t="inlineStr">
        <is>
          <t>Integration</t>
        </is>
      </c>
      <c r="E3376" s="17" t="inlineStr">
        <is>
          <t>OrderPaidListenerIT</t>
        </is>
      </c>
      <c r="F3376" s="17" t="inlineStr"/>
      <c r="G3376" s="17" t="inlineStr">
        <is>
          <t>order.paid ghi bút toán N1 với hoa hồng của chứng từ; sổ vẫn cân</t>
        </is>
      </c>
      <c r="H3376" s="17" t="inlineStr">
        <is>
          <t>ghi_but_toan_tu_message</t>
        </is>
      </c>
      <c r="I3376" s="16" t="inlineStr">
        <is>
          <t>Đạt</t>
        </is>
      </c>
      <c r="J3376" s="16" t="n">
        <v>0.065</v>
      </c>
    </row>
    <row r="3377">
      <c r="A3377" s="16" t="n">
        <v>3373</v>
      </c>
      <c r="B3377" s="16" t="inlineStr">
        <is>
          <t>Backend</t>
        </is>
      </c>
      <c r="C3377" s="17" t="inlineStr">
        <is>
          <t>ledger-service</t>
        </is>
      </c>
      <c r="D3377" s="16" t="inlineStr">
        <is>
          <t>Integration</t>
        </is>
      </c>
      <c r="E3377" s="17" t="inlineStr">
        <is>
          <t>RecordPaymentIT</t>
        </is>
      </c>
      <c r="F3377" s="17" t="inlineStr"/>
      <c r="G3377" s="17" t="inlineStr">
        <is>
          <t>Hoa hồng 0% vẫn ghi được, không sinh định khoản 0 đồng</t>
        </is>
      </c>
      <c r="H3377" s="17" t="inlineStr">
        <is>
          <t>hoa_hong_khong_phan_tram</t>
        </is>
      </c>
      <c r="I3377" s="16" t="inlineStr">
        <is>
          <t>Đạt</t>
        </is>
      </c>
      <c r="J3377" s="16" t="n">
        <v>0.053</v>
      </c>
    </row>
    <row r="3378">
      <c r="A3378" s="16" t="n">
        <v>3374</v>
      </c>
      <c r="B3378" s="16" t="inlineStr">
        <is>
          <t>Backend</t>
        </is>
      </c>
      <c r="C3378" s="17" t="inlineStr">
        <is>
          <t>ledger-service</t>
        </is>
      </c>
      <c r="D3378" s="16" t="inlineStr">
        <is>
          <t>Integration</t>
        </is>
      </c>
      <c r="E3378" s="17" t="inlineStr">
        <is>
          <t>RecordPaymentIT</t>
        </is>
      </c>
      <c r="F3378" s="17" t="inlineStr"/>
      <c r="G3378" s="17" t="inlineStr">
        <is>
          <t>200 thanh toán đồng thời: sổ cái vẫn cân, số dư khớp từng đồng</t>
        </is>
      </c>
      <c r="H3378" s="17" t="inlineStr">
        <is>
          <t>hai_tram_thanh_toan_dong_thoi</t>
        </is>
      </c>
      <c r="I3378" s="16" t="inlineStr">
        <is>
          <t>Đạt</t>
        </is>
      </c>
      <c r="J3378" s="16" t="n">
        <v>1.057</v>
      </c>
    </row>
    <row r="3379">
      <c r="A3379" s="16" t="n">
        <v>3375</v>
      </c>
      <c r="B3379" s="16" t="inlineStr">
        <is>
          <t>Backend</t>
        </is>
      </c>
      <c r="C3379" s="17" t="inlineStr">
        <is>
          <t>ledger-service</t>
        </is>
      </c>
      <c r="D3379" s="16" t="inlineStr">
        <is>
          <t>Integration</t>
        </is>
      </c>
      <c r="E3379" s="17" t="inlineStr">
        <is>
          <t>RecordPaymentIT</t>
        </is>
      </c>
      <c r="F3379" s="17" t="inlineStr"/>
      <c r="G3379" s="17" t="inlineStr">
        <is>
          <t>Webhook gửi lại nhiều lần chỉ ghi sổ một lần</t>
        </is>
      </c>
      <c r="H3379" s="17" t="inlineStr">
        <is>
          <t>ghi_lai_cung_mot_thanh_toan_la_no_op</t>
        </is>
      </c>
      <c r="I3379" s="16" t="inlineStr">
        <is>
          <t>Đạt</t>
        </is>
      </c>
      <c r="J3379" s="16" t="n">
        <v>0.061</v>
      </c>
    </row>
    <row r="3380">
      <c r="A3380" s="16" t="n">
        <v>3376</v>
      </c>
      <c r="B3380" s="16" t="inlineStr">
        <is>
          <t>Backend</t>
        </is>
      </c>
      <c r="C3380" s="17" t="inlineStr">
        <is>
          <t>ledger-service</t>
        </is>
      </c>
      <c r="D3380" s="16" t="inlineStr">
        <is>
          <t>Integration</t>
        </is>
      </c>
      <c r="E3380" s="17" t="inlineStr">
        <is>
          <t>RecordPaymentIT</t>
        </is>
      </c>
      <c r="F3380" s="17" t="inlineStr"/>
      <c r="G3380" s="17" t="inlineStr">
        <is>
          <t>Đơn 3.000.000 với hoa hồng 5%: tổ chức 2.850.000, nền tảng 150.000</t>
        </is>
      </c>
      <c r="H3380" s="17" t="inlineStr">
        <is>
          <t>ghi_nhan_thanh_toan_tach_hoa_hong_ngay_luc_ban</t>
        </is>
      </c>
      <c r="I3380" s="16" t="inlineStr">
        <is>
          <t>Đạt</t>
        </is>
      </c>
      <c r="J3380" s="16" t="n">
        <v>0.07099999999999999</v>
      </c>
    </row>
    <row r="3381">
      <c r="A3381" s="16" t="n">
        <v>3377</v>
      </c>
      <c r="B3381" s="16" t="inlineStr">
        <is>
          <t>Backend</t>
        </is>
      </c>
      <c r="C3381" s="17" t="inlineStr">
        <is>
          <t>notification-service</t>
        </is>
      </c>
      <c r="D3381" s="16" t="inlineStr">
        <is>
          <t>Integration</t>
        </is>
      </c>
      <c r="E3381" s="17" t="inlineStr">
        <is>
          <t>NotificationIT</t>
        </is>
      </c>
      <c r="F3381" s="17" t="inlineStr"/>
      <c r="G3381" s="17" t="inlineStr">
        <is>
          <t>Máy chủ mail hồi phục thì thư đang chờ được gửi</t>
        </is>
      </c>
      <c r="H3381" s="17" t="inlineStr">
        <is>
          <t>may_chu_hoi_phuc_thi_gui_duoc</t>
        </is>
      </c>
      <c r="I3381" s="16" t="inlineStr">
        <is>
          <t>Đạt</t>
        </is>
      </c>
      <c r="J3381" s="16" t="n">
        <v>0.231</v>
      </c>
    </row>
    <row r="3382">
      <c r="A3382" s="16" t="n">
        <v>3378</v>
      </c>
      <c r="B3382" s="16" t="inlineStr">
        <is>
          <t>Backend</t>
        </is>
      </c>
      <c r="C3382" s="17" t="inlineStr">
        <is>
          <t>notification-service</t>
        </is>
      </c>
      <c r="D3382" s="16" t="inlineStr">
        <is>
          <t>Integration</t>
        </is>
      </c>
      <c r="E3382" s="17" t="inlineStr">
        <is>
          <t>NotificationIT</t>
        </is>
      </c>
      <c r="F3382" s="17" t="inlineStr"/>
      <c r="G3382" s="17" t="inlineStr">
        <is>
          <t>Thư vé KHÔNG chứa mã QR, chỉ dẫn khách vào ứng dụng</t>
        </is>
      </c>
      <c r="H3382" s="17" t="inlineStr">
        <is>
          <t>thu_ve_khong_chua_ma_qr</t>
        </is>
      </c>
      <c r="I3382" s="16" t="inlineStr">
        <is>
          <t>Đạt</t>
        </is>
      </c>
      <c r="J3382" s="16" t="n">
        <v>0.019</v>
      </c>
    </row>
    <row r="3383">
      <c r="A3383" s="16" t="n">
        <v>3379</v>
      </c>
      <c r="B3383" s="16" t="inlineStr">
        <is>
          <t>Backend</t>
        </is>
      </c>
      <c r="C3383" s="17" t="inlineStr">
        <is>
          <t>notification-service</t>
        </is>
      </c>
      <c r="D3383" s="16" t="inlineStr">
        <is>
          <t>Integration</t>
        </is>
      </c>
      <c r="E3383" s="17" t="inlineStr">
        <is>
          <t>NotificationIT</t>
        </is>
      </c>
      <c r="F3383" s="17" t="inlineStr"/>
      <c r="G3383" s="17" t="inlineStr">
        <is>
          <t>Một thư hỏng KHÔNG chặn các thư còn lại trong lô</t>
        </is>
      </c>
      <c r="H3383" s="17" t="inlineStr">
        <is>
          <t>mot_thu_hong_khong_chan_ca_lo</t>
        </is>
      </c>
      <c r="I3383" s="16" t="inlineStr">
        <is>
          <t>Đạt</t>
        </is>
      </c>
      <c r="J3383" s="16" t="n">
        <v>0.03</v>
      </c>
    </row>
    <row r="3384">
      <c r="A3384" s="16" t="n">
        <v>3380</v>
      </c>
      <c r="B3384" s="16" t="inlineStr">
        <is>
          <t>Backend</t>
        </is>
      </c>
      <c r="C3384" s="17" t="inlineStr">
        <is>
          <t>notification-service</t>
        </is>
      </c>
      <c r="D3384" s="16" t="inlineStr">
        <is>
          <t>Integration</t>
        </is>
      </c>
      <c r="E3384" s="17" t="inlineStr">
        <is>
          <t>NotificationIT</t>
        </is>
      </c>
      <c r="F3384" s="17" t="inlineStr"/>
      <c r="G3384" s="17" t="inlineStr">
        <is>
          <t>Hỏng đủ năm lần thì vào hàng đợi chết, không thử mãi</t>
        </is>
      </c>
      <c r="H3384" s="17" t="inlineStr">
        <is>
          <t>hong_du_nam_lan_thi_bo_cuoc</t>
        </is>
      </c>
      <c r="I3384" s="16" t="inlineStr">
        <is>
          <t>Đạt</t>
        </is>
      </c>
      <c r="J3384" s="16" t="n">
        <v>0.048</v>
      </c>
    </row>
    <row r="3385">
      <c r="A3385" s="16" t="n">
        <v>3381</v>
      </c>
      <c r="B3385" s="16" t="inlineStr">
        <is>
          <t>Backend</t>
        </is>
      </c>
      <c r="C3385" s="17" t="inlineStr">
        <is>
          <t>notification-service</t>
        </is>
      </c>
      <c r="D3385" s="16" t="inlineStr">
        <is>
          <t>Integration</t>
        </is>
      </c>
      <c r="E3385" s="17" t="inlineStr">
        <is>
          <t>NotificationIT</t>
        </is>
      </c>
      <c r="F3385" s="17" t="inlineStr"/>
      <c r="G3385" s="17" t="inlineStr">
        <is>
          <t>Cùng một sự kiện đến hai lần: chỉ gửi một thư</t>
        </is>
      </c>
      <c r="H3385" s="17" t="inlineStr">
        <is>
          <t>su_kien_trung_chi_gui_mot_thu</t>
        </is>
      </c>
      <c r="I3385" s="16" t="inlineStr">
        <is>
          <t>Đạt</t>
        </is>
      </c>
      <c r="J3385" s="16" t="n">
        <v>0.032</v>
      </c>
    </row>
    <row r="3386">
      <c r="A3386" s="16" t="n">
        <v>3382</v>
      </c>
      <c r="B3386" s="16" t="inlineStr">
        <is>
          <t>Backend</t>
        </is>
      </c>
      <c r="C3386" s="17" t="inlineStr">
        <is>
          <t>notification-service</t>
        </is>
      </c>
      <c r="D3386" s="16" t="inlineStr">
        <is>
          <t>Integration</t>
        </is>
      </c>
      <c r="E3386" s="17" t="inlineStr">
        <is>
          <t>NotificationIT</t>
        </is>
      </c>
      <c r="F3386" s="17" t="inlineStr"/>
      <c r="G3386" s="17" t="inlineStr">
        <is>
          <t>Gửi hỏng thì thử lại, không chuyển sang SENT</t>
        </is>
      </c>
      <c r="H3386" s="17" t="inlineStr">
        <is>
          <t>gui_hong_thi_thu_lai</t>
        </is>
      </c>
      <c r="I3386" s="16" t="inlineStr">
        <is>
          <t>Đạt</t>
        </is>
      </c>
      <c r="J3386" s="16" t="n">
        <v>0.02</v>
      </c>
    </row>
    <row r="3387">
      <c r="A3387" s="16" t="n">
        <v>3383</v>
      </c>
      <c r="B3387" s="16" t="inlineStr">
        <is>
          <t>Backend</t>
        </is>
      </c>
      <c r="C3387" s="17" t="inlineStr">
        <is>
          <t>notification-service</t>
        </is>
      </c>
      <c r="D3387" s="16" t="inlineStr">
        <is>
          <t>Integration</t>
        </is>
      </c>
      <c r="E3387" s="17" t="inlineStr">
        <is>
          <t>NotificationIT</t>
        </is>
      </c>
      <c r="F3387" s="17" t="inlineStr"/>
      <c r="G3387" s="17" t="inlineStr">
        <is>
          <t>Check-in: một vé chỉ có MỘT thư, kể cả khi sự kiện đến hai lần với id khác nhau</t>
        </is>
      </c>
      <c r="H3387" s="17" t="inlineStr">
        <is>
          <t>check_in_mot_ve_mot_thu</t>
        </is>
      </c>
      <c r="I3387" s="16" t="inlineStr">
        <is>
          <t>Đạt</t>
        </is>
      </c>
      <c r="J3387" s="16" t="n">
        <v>0.043</v>
      </c>
    </row>
    <row r="3388">
      <c r="A3388" s="16" t="n">
        <v>3384</v>
      </c>
      <c r="B3388" s="16" t="inlineStr">
        <is>
          <t>Backend</t>
        </is>
      </c>
      <c r="C3388" s="17" t="inlineStr">
        <is>
          <t>ordering-service</t>
        </is>
      </c>
      <c r="D3388" s="16" t="inlineStr">
        <is>
          <t>Integration</t>
        </is>
      </c>
      <c r="E3388" s="17" t="inlineStr">
        <is>
          <t>CheckoutSagaIT</t>
        </is>
      </c>
      <c r="F3388" s="17" t="inlineStr"/>
      <c r="G3388" s="17" t="inlineStr">
        <is>
          <t>Mã khuyến mãi sai: nhả chỗ đã đặt rồi mới trả lỗi</t>
        </is>
      </c>
      <c r="H3388" s="17" t="inlineStr">
        <is>
          <t>khuyen_mai_sai_thi_van_nha_cho</t>
        </is>
      </c>
      <c r="I3388" s="16" t="inlineStr">
        <is>
          <t>Đạt</t>
        </is>
      </c>
      <c r="J3388" s="16" t="n">
        <v>0.9429999999999999</v>
      </c>
    </row>
    <row r="3389">
      <c r="A3389" s="16" t="n">
        <v>3385</v>
      </c>
      <c r="B3389" s="16" t="inlineStr">
        <is>
          <t>Backend</t>
        </is>
      </c>
      <c r="C3389" s="17" t="inlineStr">
        <is>
          <t>ordering-service</t>
        </is>
      </c>
      <c r="D3389" s="16" t="inlineStr">
        <is>
          <t>Integration</t>
        </is>
      </c>
      <c r="E3389" s="17" t="inlineStr">
        <is>
          <t>CheckoutSagaIT</t>
        </is>
      </c>
      <c r="F3389" s="17" t="inlineStr"/>
      <c r="G3389" s="17" t="inlineStr">
        <is>
          <t>Đường thành công: đơn 2 vé × 1.500.000, hoa hồng 5% = 150.000</t>
        </is>
      </c>
      <c r="H3389" s="17" t="inlineStr">
        <is>
          <t>duong_thanh_cong</t>
        </is>
      </c>
      <c r="I3389" s="16" t="inlineStr">
        <is>
          <t>Đạt</t>
        </is>
      </c>
      <c r="J3389" s="16" t="n">
        <v>0.081</v>
      </c>
    </row>
    <row r="3390">
      <c r="A3390" s="16" t="n">
        <v>3386</v>
      </c>
      <c r="B3390" s="16" t="inlineStr">
        <is>
          <t>Backend</t>
        </is>
      </c>
      <c r="C3390" s="17" t="inlineStr">
        <is>
          <t>ordering-service</t>
        </is>
      </c>
      <c r="D3390" s="16" t="inlineStr">
        <is>
          <t>Integration</t>
        </is>
      </c>
      <c r="E3390" s="17" t="inlineStr">
        <is>
          <t>CheckoutSagaIT</t>
        </is>
      </c>
      <c r="F3390" s="17" t="inlineStr"/>
      <c r="G3390" s="17" t="inlineStr">
        <is>
          <t>Job quét chờ một nhịp trước khi thử lại, không đập liên tục vào service đang hỏng</t>
        </is>
      </c>
      <c r="H3390" s="17" t="inlineStr">
        <is>
          <t>job_quet_cho_mot_nhip</t>
        </is>
      </c>
      <c r="I3390" s="16" t="inlineStr">
        <is>
          <t>Đạt</t>
        </is>
      </c>
      <c r="J3390" s="16" t="n">
        <v>0.074</v>
      </c>
    </row>
    <row r="3391">
      <c r="A3391" s="16" t="n">
        <v>3387</v>
      </c>
      <c r="B3391" s="16" t="inlineStr">
        <is>
          <t>Backend</t>
        </is>
      </c>
      <c r="C3391" s="17" t="inlineStr">
        <is>
          <t>ordering-service</t>
        </is>
      </c>
      <c r="D3391" s="16" t="inlineStr">
        <is>
          <t>Integration</t>
        </is>
      </c>
      <c r="E3391" s="17" t="inlineStr">
        <is>
          <t>CheckoutSagaIT</t>
        </is>
      </c>
      <c r="F3391" s="17" t="inlineStr"/>
      <c r="G3391" s="17" t="inlineStr">
        <is>
          <t>Bù trừ cũng hỏng: saga vào COMPENSATION_PENDING, job quét dọn nốt</t>
        </is>
      </c>
      <c r="H3391" s="17" t="inlineStr">
        <is>
          <t>bu_tru_hong_thi_job_quet_don_not</t>
        </is>
      </c>
      <c r="I3391" s="16" t="inlineStr">
        <is>
          <t>Đạt</t>
        </is>
      </c>
      <c r="J3391" s="16" t="n">
        <v>0.047</v>
      </c>
    </row>
    <row r="3392">
      <c r="A3392" s="16" t="n">
        <v>3388</v>
      </c>
      <c r="B3392" s="16" t="inlineStr">
        <is>
          <t>Backend</t>
        </is>
      </c>
      <c r="C3392" s="17" t="inlineStr">
        <is>
          <t>ordering-service</t>
        </is>
      </c>
      <c r="D3392" s="16" t="inlineStr">
        <is>
          <t>Integration</t>
        </is>
      </c>
      <c r="E3392" s="17" t="inlineStr">
        <is>
          <t>CheckoutSagaIT</t>
        </is>
      </c>
      <c r="F3392" s="17" t="inlineStr"/>
      <c r="G3392" s="17" t="inlineStr">
        <is>
          <t>Bấm thanh toán hai lần cùng một lần giữ chỗ: chỉ một đơn, trả lại đúng mã QR cũ</t>
        </is>
      </c>
      <c r="H3392" s="17" t="inlineStr">
        <is>
          <t>bam_hai_lan_chi_mot_don</t>
        </is>
      </c>
      <c r="I3392" s="16" t="inlineStr">
        <is>
          <t>Đạt</t>
        </is>
      </c>
      <c r="J3392" s="16" t="n">
        <v>0.038</v>
      </c>
    </row>
    <row r="3393">
      <c r="A3393" s="16" t="n">
        <v>3389</v>
      </c>
      <c r="B3393" s="16" t="inlineStr">
        <is>
          <t>Backend</t>
        </is>
      </c>
      <c r="C3393" s="17" t="inlineStr">
        <is>
          <t>ordering-service</t>
        </is>
      </c>
      <c r="D3393" s="16" t="inlineStr">
        <is>
          <t>Integration</t>
        </is>
      </c>
      <c r="E3393" s="17" t="inlineStr">
        <is>
          <t>CheckoutSagaIT</t>
        </is>
      </c>
      <c r="F3393" s="17" t="inlineStr"/>
      <c r="G3393" s="17" t="inlineStr">
        <is>
          <t>Payment không phản hồi: chỗ đã đặt phải được nhả, saga COMPENSATED</t>
        </is>
      </c>
      <c r="H3393" s="17" t="inlineStr">
        <is>
          <t>payment_hong_thi_nha_cho</t>
        </is>
      </c>
      <c r="I3393" s="16" t="inlineStr">
        <is>
          <t>Đạt</t>
        </is>
      </c>
      <c r="J3393" s="16" t="n">
        <v>0.024</v>
      </c>
    </row>
    <row r="3394">
      <c r="A3394" s="16" t="n">
        <v>3390</v>
      </c>
      <c r="B3394" s="16" t="inlineStr">
        <is>
          <t>Backend</t>
        </is>
      </c>
      <c r="C3394" s="17" t="inlineStr">
        <is>
          <t>ordering-service</t>
        </is>
      </c>
      <c r="D3394" s="16" t="inlineStr">
        <is>
          <t>Integration</t>
        </is>
      </c>
      <c r="E3394" s="17" t="inlineStr">
        <is>
          <t>CheckoutSagaIT</t>
        </is>
      </c>
      <c r="F3394" s="17" t="inlineStr"/>
      <c r="G3394" s="17" t="inlineStr">
        <is>
          <t>Inventory từ chối vì nghiệp vụ: KHÔNG bù trừ, vì nó chưa đổi gì</t>
        </is>
      </c>
      <c r="H3394" s="17" t="inlineStr">
        <is>
          <t>inventory_tu_choi_thi_khong_bu_tru</t>
        </is>
      </c>
      <c r="I3394" s="16" t="inlineStr">
        <is>
          <t>Đạt</t>
        </is>
      </c>
      <c r="J3394" s="16" t="n">
        <v>0.015</v>
      </c>
    </row>
    <row r="3395">
      <c r="A3395" s="16" t="n">
        <v>3391</v>
      </c>
      <c r="B3395" s="16" t="inlineStr">
        <is>
          <t>Backend</t>
        </is>
      </c>
      <c r="C3395" s="17" t="inlineStr">
        <is>
          <t>ordering-service</t>
        </is>
      </c>
      <c r="D3395" s="16" t="inlineStr">
        <is>
          <t>Integration</t>
        </is>
      </c>
      <c r="E3395" s="17" t="inlineStr">
        <is>
          <t>CheckoutSagaIT</t>
        </is>
      </c>
      <c r="F3395" s="17" t="inlineStr"/>
      <c r="G3395" s="17" t="inlineStr">
        <is>
          <t>Giảm giá chia xuống dòng, phần dư dồn vào dòng cuối để tổng không lệch</t>
        </is>
      </c>
      <c r="H3395" s="17" t="inlineStr">
        <is>
          <t>giam_gia_chia_xuong_dong_khong_lech_dong_nao</t>
        </is>
      </c>
      <c r="I3395" s="16" t="inlineStr">
        <is>
          <t>Đạt</t>
        </is>
      </c>
      <c r="J3395" s="16" t="n">
        <v>0.037</v>
      </c>
    </row>
    <row r="3396">
      <c r="A3396" s="16" t="n">
        <v>3392</v>
      </c>
      <c r="B3396" s="16" t="inlineStr">
        <is>
          <t>Backend</t>
        </is>
      </c>
      <c r="C3396" s="17" t="inlineStr">
        <is>
          <t>ordering-service</t>
        </is>
      </c>
      <c r="D3396" s="16" t="inlineStr">
        <is>
          <t>Integration</t>
        </is>
      </c>
      <c r="E3396" s="17" t="inlineStr">
        <is>
          <t>OrderIdempotencyIT</t>
        </is>
      </c>
      <c r="F3396" s="17" t="inlineStr"/>
      <c r="G3396" s="17" t="inlineStr">
        <is>
          <t>Saga lỗi (503): không lưu câu trả lời, gửi lại cùng khoá được xử lý lại chứ không bị kẹt</t>
        </is>
      </c>
      <c r="H3396" s="17" t="inlineStr">
        <is>
          <t>loi_thi_thu_lai_duoc</t>
        </is>
      </c>
      <c r="I3396" s="16" t="inlineStr">
        <is>
          <t>Đạt</t>
        </is>
      </c>
      <c r="J3396" s="16" t="n">
        <v>0.516</v>
      </c>
    </row>
    <row r="3397">
      <c r="A3397" s="16" t="n">
        <v>3393</v>
      </c>
      <c r="B3397" s="16" t="inlineStr">
        <is>
          <t>Backend</t>
        </is>
      </c>
      <c r="C3397" s="17" t="inlineStr">
        <is>
          <t>ordering-service</t>
        </is>
      </c>
      <c r="D3397" s="16" t="inlineStr">
        <is>
          <t>Integration</t>
        </is>
      </c>
      <c r="E3397" s="17" t="inlineStr">
        <is>
          <t>OrderIdempotencyIT</t>
        </is>
      </c>
      <c r="F3397" s="17" t="inlineStr"/>
      <c r="G3397" s="17" t="inlineStr">
        <is>
          <t>Job dọn bản ghi cũ có mặt trong ứng dụng thật và chạy được trên PostgreSQL, không xoá bản ghi còn trong hạn</t>
        </is>
      </c>
      <c r="H3397" s="17" t="inlineStr">
        <is>
          <t>job_don_dep_duoc_bat</t>
        </is>
      </c>
      <c r="I3397" s="16" t="inlineStr">
        <is>
          <t>Đạt</t>
        </is>
      </c>
      <c r="J3397" s="16" t="n">
        <v>0.065</v>
      </c>
    </row>
    <row r="3398">
      <c r="A3398" s="16" t="n">
        <v>3394</v>
      </c>
      <c r="B3398" s="16" t="inlineStr">
        <is>
          <t>Backend</t>
        </is>
      </c>
      <c r="C3398" s="17" t="inlineStr">
        <is>
          <t>ordering-service</t>
        </is>
      </c>
      <c r="D3398" s="16" t="inlineStr">
        <is>
          <t>Integration</t>
        </is>
      </c>
      <c r="E3398" s="17" t="inlineStr">
        <is>
          <t>OrderIdempotencyIT</t>
        </is>
      </c>
      <c r="F3398" s="17" t="inlineStr"/>
      <c r="G3398" s="17" t="inlineStr">
        <is>
          <t>Người khác dùng cùng chuỗi khoá không đọc được đơn của mình: khoá có phạm vi theo người dùng</t>
        </is>
      </c>
      <c r="H3398" s="17" t="inlineStr">
        <is>
          <t>pham_vi_theo_nguoi_dung</t>
        </is>
      </c>
      <c r="I3398" s="16" t="inlineStr">
        <is>
          <t>Đạt</t>
        </is>
      </c>
      <c r="J3398" s="16" t="n">
        <v>0.11</v>
      </c>
    </row>
    <row r="3399">
      <c r="A3399" s="16" t="n">
        <v>3395</v>
      </c>
      <c r="B3399" s="16" t="inlineStr">
        <is>
          <t>Backend</t>
        </is>
      </c>
      <c r="C3399" s="17" t="inlineStr">
        <is>
          <t>ordering-service</t>
        </is>
      </c>
      <c r="D3399" s="16" t="inlineStr">
        <is>
          <t>Integration</t>
        </is>
      </c>
      <c r="E3399" s="17" t="inlineStr">
        <is>
          <t>OrderIdempotencyIT</t>
        </is>
      </c>
      <c r="F3399" s="17" t="inlineStr"/>
      <c r="G3399" s="17" t="inlineStr">
        <is>
          <t>Thiếu khoá: 400, saga không chạy, không ghi gì vào idempotency_records</t>
        </is>
      </c>
      <c r="H3399" s="17" t="inlineStr">
        <is>
          <t>thieu_khoa</t>
        </is>
      </c>
      <c r="I3399" s="16" t="inlineStr">
        <is>
          <t>Đạt</t>
        </is>
      </c>
      <c r="J3399" s="16" t="n">
        <v>0.024</v>
      </c>
    </row>
    <row r="3400">
      <c r="A3400" s="16" t="n">
        <v>3396</v>
      </c>
      <c r="B3400" s="16" t="inlineStr">
        <is>
          <t>Backend</t>
        </is>
      </c>
      <c r="C3400" s="17" t="inlineStr">
        <is>
          <t>ordering-service</t>
        </is>
      </c>
      <c r="D3400" s="16" t="inlineStr">
        <is>
          <t>Integration</t>
        </is>
      </c>
      <c r="E3400" s="17" t="inlineStr">
        <is>
          <t>OrderIdempotencyIT</t>
        </is>
      </c>
      <c r="F3400" s="17" t="inlineStr"/>
      <c r="G3400" s="17" t="inlineStr">
        <is>
          <t>Gửi lại cùng khoá + cùng nội dung: trả đúng đơn cũ, saga KHÔNG chạy lần hai</t>
        </is>
      </c>
      <c r="H3400" s="17" t="inlineStr">
        <is>
          <t>gui_lai_tra_don_cu</t>
        </is>
      </c>
      <c r="I3400" s="16" t="inlineStr">
        <is>
          <t>Đạt</t>
        </is>
      </c>
      <c r="J3400" s="16" t="n">
        <v>0.052</v>
      </c>
    </row>
    <row r="3401">
      <c r="A3401" s="16" t="n">
        <v>3397</v>
      </c>
      <c r="B3401" s="16" t="inlineStr">
        <is>
          <t>Backend</t>
        </is>
      </c>
      <c r="C3401" s="17" t="inlineStr">
        <is>
          <t>ordering-service</t>
        </is>
      </c>
      <c r="D3401" s="16" t="inlineStr">
        <is>
          <t>Integration</t>
        </is>
      </c>
      <c r="E3401" s="17" t="inlineStr">
        <is>
          <t>OrderIdempotencyIT</t>
        </is>
      </c>
      <c r="F3401" s="17" t="inlineStr"/>
      <c r="G3401" s="17" t="inlineStr">
        <is>
          <t>Cùng khoá nhưng holdId khác: 409 IDEMPOTENCY_KEY_REUSED</t>
        </is>
      </c>
      <c r="H3401" s="17" t="inlineStr">
        <is>
          <t>khoa_dung_lai</t>
        </is>
      </c>
      <c r="I3401" s="16" t="inlineStr">
        <is>
          <t>Đạt</t>
        </is>
      </c>
      <c r="J3401" s="16" t="n">
        <v>0.049</v>
      </c>
    </row>
    <row r="3402">
      <c r="A3402" s="16" t="n">
        <v>3398</v>
      </c>
      <c r="B3402" s="16" t="inlineStr">
        <is>
          <t>Backend</t>
        </is>
      </c>
      <c r="C3402" s="17" t="inlineStr">
        <is>
          <t>ordering-service</t>
        </is>
      </c>
      <c r="D3402" s="16" t="inlineStr">
        <is>
          <t>Integration</t>
        </is>
      </c>
      <c r="E3402" s="17" t="inlineStr">
        <is>
          <t>OrderLifecycleIT</t>
        </is>
      </c>
      <c r="F3402" s="17" t="inlineStr"/>
      <c r="G3402" s="17" t="inlineStr">
        <is>
          <t>Worker hết hạn KHÔNG được đóng đơn đã thanh toán</t>
        </is>
      </c>
      <c r="H3402" s="17" t="inlineStr">
        <is>
          <t>worker_khong_dong_don_da_thanh_toan</t>
        </is>
      </c>
      <c r="I3402" s="16" t="inlineStr">
        <is>
          <t>Đạt</t>
        </is>
      </c>
      <c r="J3402" s="16" t="n">
        <v>0.114</v>
      </c>
    </row>
    <row r="3403">
      <c r="A3403" s="16" t="n">
        <v>3399</v>
      </c>
      <c r="B3403" s="16" t="inlineStr">
        <is>
          <t>Backend</t>
        </is>
      </c>
      <c r="C3403" s="17" t="inlineStr">
        <is>
          <t>ordering-service</t>
        </is>
      </c>
      <c r="D3403" s="16" t="inlineStr">
        <is>
          <t>Integration</t>
        </is>
      </c>
      <c r="E3403" s="17" t="inlineStr">
        <is>
          <t>OrderLifecycleIT</t>
        </is>
      </c>
      <c r="F3403" s="17" t="inlineStr"/>
      <c r="G3403" s="17" t="inlineStr">
        <is>
          <t>Huỷ đơn của người khác trả 404, không phải 403 — không xác nhận đơn có thật</t>
        </is>
      </c>
      <c r="H3403" s="17" t="inlineStr">
        <is>
          <t>khong_huy_duoc_don_nguoi_khac</t>
        </is>
      </c>
      <c r="I3403" s="16" t="inlineStr">
        <is>
          <t>Đạt</t>
        </is>
      </c>
      <c r="J3403" s="16" t="n">
        <v>0.034</v>
      </c>
    </row>
    <row r="3404">
      <c r="A3404" s="16" t="n">
        <v>3400</v>
      </c>
      <c r="B3404" s="16" t="inlineStr">
        <is>
          <t>Backend</t>
        </is>
      </c>
      <c r="C3404" s="17" t="inlineStr">
        <is>
          <t>ordering-service</t>
        </is>
      </c>
      <c r="D3404" s="16" t="inlineStr">
        <is>
          <t>Integration</t>
        </is>
      </c>
      <c r="E3404" s="17" t="inlineStr">
        <is>
          <t>OrderLifecycleIT</t>
        </is>
      </c>
      <c r="F3404" s="17" t="inlineStr"/>
      <c r="G3404" s="17" t="inlineStr">
        <is>
          <t>Khách huỷ đơn: đóng link thanh toán và nhả chỗ ngay, không chờ outbox</t>
        </is>
      </c>
      <c r="H3404" s="17" t="inlineStr">
        <is>
          <t>khach_huy_don</t>
        </is>
      </c>
      <c r="I3404" s="16" t="inlineStr">
        <is>
          <t>Đạt</t>
        </is>
      </c>
      <c r="J3404" s="16" t="n">
        <v>0.03</v>
      </c>
    </row>
    <row r="3405">
      <c r="A3405" s="16" t="n">
        <v>3401</v>
      </c>
      <c r="B3405" s="16" t="inlineStr">
        <is>
          <t>Backend</t>
        </is>
      </c>
      <c r="C3405" s="17" t="inlineStr">
        <is>
          <t>ordering-service</t>
        </is>
      </c>
      <c r="D3405" s="16" t="inlineStr">
        <is>
          <t>Integration</t>
        </is>
      </c>
      <c r="E3405" s="17" t="inlineStr">
        <is>
          <t>OrderLifecycleIT</t>
        </is>
      </c>
      <c r="F3405" s="17" t="inlineStr"/>
      <c r="G3405" s="17" t="inlineStr">
        <is>
          <t>Webhook xác nhận hai lần: chỉ một sự kiện order.paid, paidAt không đổi</t>
        </is>
      </c>
      <c r="H3405" s="17" t="inlineStr">
        <is>
          <t>xac_nhan_thanh_toan_idempotent</t>
        </is>
      </c>
      <c r="I3405" s="16" t="inlineStr">
        <is>
          <t>Đạt</t>
        </is>
      </c>
      <c r="J3405" s="16" t="n">
        <v>0.034</v>
      </c>
    </row>
    <row r="3406">
      <c r="A3406" s="16" t="n">
        <v>3402</v>
      </c>
      <c r="B3406" s="16" t="inlineStr">
        <is>
          <t>Backend</t>
        </is>
      </c>
      <c r="C3406" s="17" t="inlineStr">
        <is>
          <t>ordering-service</t>
        </is>
      </c>
      <c r="D3406" s="16" t="inlineStr">
        <is>
          <t>Integration</t>
        </is>
      </c>
      <c r="E3406" s="17" t="inlineStr">
        <is>
          <t>OrderLifecycleIT</t>
        </is>
      </c>
      <c r="F3406" s="17" t="inlineStr"/>
      <c r="G3406" s="17" t="inlineStr">
        <is>
          <t>Tiền vào sau khi đơn hết hạn: MANUAL_REVIEW, không PAID và không phát vé</t>
        </is>
      </c>
      <c r="H3406" s="17" t="inlineStr">
        <is>
          <t>tien_vao_sau_khi_don_het_han</t>
        </is>
      </c>
      <c r="I3406" s="16" t="inlineStr">
        <is>
          <t>Đạt</t>
        </is>
      </c>
      <c r="J3406" s="16" t="n">
        <v>0.035</v>
      </c>
    </row>
    <row r="3407">
      <c r="A3407" s="16" t="n">
        <v>3403</v>
      </c>
      <c r="B3407" s="16" t="inlineStr">
        <is>
          <t>Backend</t>
        </is>
      </c>
      <c r="C3407" s="17" t="inlineStr">
        <is>
          <t>ordering-service</t>
        </is>
      </c>
      <c r="D3407" s="16" t="inlineStr">
        <is>
          <t>Integration</t>
        </is>
      </c>
      <c r="E3407" s="17" t="inlineStr">
        <is>
          <t>OrderLifecycleIT</t>
        </is>
      </c>
      <c r="F3407" s="17" t="inlineStr"/>
      <c r="G3407" s="17" t="inlineStr">
        <is>
          <t>Đơn quá hạn chuyển khoản bị đóng và bắn order.expired</t>
        </is>
      </c>
      <c r="H3407" s="17" t="inlineStr">
        <is>
          <t>don_qua_han_bi_dong</t>
        </is>
      </c>
      <c r="I3407" s="16" t="inlineStr">
        <is>
          <t>Đạt</t>
        </is>
      </c>
      <c r="J3407" s="16" t="n">
        <v>0.033</v>
      </c>
    </row>
    <row r="3408">
      <c r="A3408" s="16" t="n">
        <v>3404</v>
      </c>
      <c r="B3408" s="16" t="inlineStr">
        <is>
          <t>Backend</t>
        </is>
      </c>
      <c r="C3408" s="17" t="inlineStr">
        <is>
          <t>ordering-service</t>
        </is>
      </c>
      <c r="D3408" s="16" t="inlineStr">
        <is>
          <t>Integration</t>
        </is>
      </c>
      <c r="E3408" s="17" t="inlineStr">
        <is>
          <t>OrderLifecycleIT</t>
        </is>
      </c>
      <c r="F3408" s="17" t="inlineStr"/>
      <c r="G3408" s="17" t="inlineStr">
        <is>
          <t>Xác nhận lần hai trên đơn đã MANUAL_REVIEW vẫn trả lời dứt khoát, không ném</t>
        </is>
      </c>
      <c r="H3408" s="17" t="inlineStr">
        <is>
          <t>xac_nhan_trung_tren_don_dang_doi_soat</t>
        </is>
      </c>
      <c r="I3408" s="16" t="inlineStr">
        <is>
          <t>Đạt</t>
        </is>
      </c>
      <c r="J3408" s="16" t="n">
        <v>0.039</v>
      </c>
    </row>
    <row r="3409">
      <c r="A3409" s="16" t="n">
        <v>3405</v>
      </c>
      <c r="B3409" s="16" t="inlineStr">
        <is>
          <t>Backend</t>
        </is>
      </c>
      <c r="C3409" s="17" t="inlineStr">
        <is>
          <t>ordering-service</t>
        </is>
      </c>
      <c r="D3409" s="16" t="inlineStr">
        <is>
          <t>Integration</t>
        </is>
      </c>
      <c r="E3409" s="17" t="inlineStr">
        <is>
          <t>OrderRepositoryIT</t>
        </is>
      </c>
      <c r="F3409" s="17" t="inlineStr"/>
      <c r="G3409" s="17" t="inlineStr">
        <is>
          <t>Tra theo nội dung chuyển khoản trả lại đúng snapshot link thanh toán đã lưu</t>
        </is>
      </c>
      <c r="H3409" s="17" t="inlineStr">
        <is>
          <t>tra_theo_noi_dung_chuyen_khoan</t>
        </is>
      </c>
      <c r="I3409" s="16" t="inlineStr">
        <is>
          <t>Đạt</t>
        </is>
      </c>
      <c r="J3409" s="16" t="n">
        <v>0.023</v>
      </c>
    </row>
    <row r="3410">
      <c r="A3410" s="16" t="n">
        <v>3406</v>
      </c>
      <c r="B3410" s="16" t="inlineStr">
        <is>
          <t>Backend</t>
        </is>
      </c>
      <c r="C3410" s="17" t="inlineStr">
        <is>
          <t>ordering-service</t>
        </is>
      </c>
      <c r="D3410" s="16" t="inlineStr">
        <is>
          <t>Integration</t>
        </is>
      </c>
      <c r="E3410" s="17" t="inlineStr">
        <is>
          <t>OrderRepositoryIT</t>
        </is>
      </c>
      <c r="F3410" s="17" t="inlineStr"/>
      <c r="G3410" s="17" t="inlineStr">
        <is>
          <t>Đơn của tôi: chỉ đơn của đúng người đó, phân trang không trùng không sót</t>
        </is>
      </c>
      <c r="H3410" s="17" t="inlineStr">
        <is>
          <t>don_cua_toi_phan_trang</t>
        </is>
      </c>
      <c r="I3410" s="16" t="inlineStr">
        <is>
          <t>Đạt</t>
        </is>
      </c>
      <c r="J3410" s="16" t="n">
        <v>0.075</v>
      </c>
    </row>
    <row r="3411">
      <c r="A3411" s="16" t="n">
        <v>3407</v>
      </c>
      <c r="B3411" s="16" t="inlineStr">
        <is>
          <t>Backend</t>
        </is>
      </c>
      <c r="C3411" s="17" t="inlineStr">
        <is>
          <t>ordering-service</t>
        </is>
      </c>
      <c r="D3411" s="16" t="inlineStr">
        <is>
          <t>Integration</t>
        </is>
      </c>
      <c r="E3411" s="17" t="inlineStr">
        <is>
          <t>OrderRepositoryIT</t>
        </is>
      </c>
      <c r="F3411" s="17" t="inlineStr"/>
      <c r="G3411" s="17" t="inlineStr">
        <is>
          <t>Trạng thái hàng loạt: đúng từng đơn, đơn không tồn tại vắng mặt khỏi map</t>
        </is>
      </c>
      <c r="H3411" s="17" t="inlineStr">
        <is>
          <t>trang_thai_hang_loat</t>
        </is>
      </c>
      <c r="I3411" s="16" t="inlineStr">
        <is>
          <t>Đạt</t>
        </is>
      </c>
      <c r="J3411" s="16" t="n">
        <v>0.075</v>
      </c>
    </row>
    <row r="3412">
      <c r="A3412" s="16" t="n">
        <v>3408</v>
      </c>
      <c r="B3412" s="16" t="inlineStr">
        <is>
          <t>Backend</t>
        </is>
      </c>
      <c r="C3412" s="17" t="inlineStr">
        <is>
          <t>ordering-service</t>
        </is>
      </c>
      <c r="D3412" s="16" t="inlineStr">
        <is>
          <t>Integration</t>
        </is>
      </c>
      <c r="E3412" s="17" t="inlineStr">
        <is>
          <t>SalesStatsIT</t>
        </is>
      </c>
      <c r="F3412" s="17" t="inlineStr"/>
      <c r="G3412" s="17" t="inlineStr">
        <is>
          <t>Doanh thu chỉ tính đơn đã trả; phễu đếm mỗi đơn một lần dù có nhiều vé</t>
        </is>
      </c>
      <c r="H3412" s="17" t="inlineStr">
        <is>
          <t>tong_hop_theo_ky</t>
        </is>
      </c>
      <c r="I3412" s="16" t="inlineStr">
        <is>
          <t>Đạt</t>
        </is>
      </c>
      <c r="J3412" s="16" t="n">
        <v>0.058</v>
      </c>
    </row>
    <row r="3413">
      <c r="A3413" s="16" t="n">
        <v>3409</v>
      </c>
      <c r="B3413" s="16" t="inlineStr">
        <is>
          <t>Backend</t>
        </is>
      </c>
      <c r="C3413" s="17" t="inlineStr">
        <is>
          <t>ordering-service</t>
        </is>
      </c>
      <c r="D3413" s="16" t="inlineStr">
        <is>
          <t>Integration</t>
        </is>
      </c>
      <c r="E3413" s="17" t="inlineStr">
        <is>
          <t>SalesStatsIT</t>
        </is>
      </c>
      <c r="F3413" s="17" t="inlineStr"/>
      <c r="G3413" s="17" t="inlineStr">
        <is>
          <t>Khách quay lại là người đã có đơn đã trả TRƯỚC kỳ; đơn quá hạn không tính</t>
        </is>
      </c>
      <c r="H3413" s="17" t="inlineStr">
        <is>
          <t>khach_moi_va_quay_lai</t>
        </is>
      </c>
      <c r="I3413" s="16" t="inlineStr">
        <is>
          <t>Đạt</t>
        </is>
      </c>
      <c r="J3413" s="16" t="n">
        <v>0.042</v>
      </c>
    </row>
    <row r="3414">
      <c r="A3414" s="16" t="n">
        <v>3410</v>
      </c>
      <c r="B3414" s="16" t="inlineStr">
        <is>
          <t>Backend</t>
        </is>
      </c>
      <c r="C3414" s="17" t="inlineStr">
        <is>
          <t>ordering-service</t>
        </is>
      </c>
      <c r="D3414" s="16" t="inlineStr">
        <is>
          <t>Integration</t>
        </is>
      </c>
      <c r="E3414" s="17" t="inlineStr">
        <is>
          <t>SalesStatsIT</t>
        </is>
      </c>
      <c r="F3414" s="17" t="inlineStr"/>
      <c r="G3414" s="17" t="inlineStr">
        <is>
          <t>Gom theo ngày Việt Nam và lấp ngày trống bằng 0</t>
        </is>
      </c>
      <c r="H3414" s="17" t="inlineStr">
        <is>
          <t>chuoi_thoi_gian</t>
        </is>
      </c>
      <c r="I3414" s="16" t="inlineStr">
        <is>
          <t>Đạt</t>
        </is>
      </c>
      <c r="J3414" s="16" t="n">
        <v>0.032</v>
      </c>
    </row>
    <row r="3415">
      <c r="A3415" s="16" t="n">
        <v>3411</v>
      </c>
      <c r="B3415" s="16" t="inlineStr">
        <is>
          <t>Backend</t>
        </is>
      </c>
      <c r="C3415" s="17" t="inlineStr">
        <is>
          <t>ordering-service</t>
        </is>
      </c>
      <c r="D3415" s="16" t="inlineStr">
        <is>
          <t>Integration</t>
        </is>
      </c>
      <c r="E3415" s="17" t="inlineStr">
        <is>
          <t>SalesStatsIT</t>
        </is>
      </c>
      <c r="F3415" s="17" t="inlineStr"/>
      <c r="G3415" s="17" t="inlineStr">
        <is>
          <t>Kỳ không có đơn nào: mọi tổng bằng 0 và thời gian trả là null, không phải 0 giây</t>
        </is>
      </c>
      <c r="H3415" s="17" t="inlineStr">
        <is>
          <t>ky_rong</t>
        </is>
      </c>
      <c r="I3415" s="16" t="inlineStr">
        <is>
          <t>Đạt</t>
        </is>
      </c>
      <c r="J3415" s="16" t="n">
        <v>0.013</v>
      </c>
    </row>
    <row r="3416">
      <c r="A3416" s="16" t="n">
        <v>3412</v>
      </c>
      <c r="B3416" s="16" t="inlineStr">
        <is>
          <t>Backend</t>
        </is>
      </c>
      <c r="C3416" s="17" t="inlineStr">
        <is>
          <t>ordering-service</t>
        </is>
      </c>
      <c r="D3416" s="16" t="inlineStr">
        <is>
          <t>Integration</t>
        </is>
      </c>
      <c r="E3416" s="17" t="inlineStr">
        <is>
          <t>SalesStatsIT</t>
        </is>
      </c>
      <c r="F3416" s="17" t="inlineStr"/>
      <c r="G3416" s="17" t="inlineStr">
        <is>
          <t>Lọc theo loại vé: doanh thu chỉ còn phần của loại ấy, và khớp với bảng phân rã</t>
        </is>
      </c>
      <c r="H3416" s="17" t="inlineStr">
        <is>
          <t>loc_theo_loai_ve</t>
        </is>
      </c>
      <c r="I3416" s="16" t="inlineStr">
        <is>
          <t>Đạt</t>
        </is>
      </c>
      <c r="J3416" s="16" t="n">
        <v>0.031</v>
      </c>
    </row>
    <row r="3417">
      <c r="A3417" s="16" t="n">
        <v>3413</v>
      </c>
      <c r="B3417" s="16" t="inlineStr">
        <is>
          <t>Backend</t>
        </is>
      </c>
      <c r="C3417" s="17" t="inlineStr">
        <is>
          <t>ordering-service</t>
        </is>
      </c>
      <c r="D3417" s="16" t="inlineStr">
        <is>
          <t>Integration</t>
        </is>
      </c>
      <c r="E3417" s="17" t="inlineStr">
        <is>
          <t>SalesStatsIT</t>
        </is>
      </c>
      <c r="F3417" s="17" t="inlineStr"/>
      <c r="G3417" s="17" t="inlineStr">
        <is>
          <t>Khoảng thời gian bị chặn trần; gom theo giờ có trần chặt hơn</t>
        </is>
      </c>
      <c r="H3417" s="17" t="inlineStr">
        <is>
          <t>chan_khoang_thoi_gian</t>
        </is>
      </c>
      <c r="I3417" s="16" t="inlineStr">
        <is>
          <t>Đạt</t>
        </is>
      </c>
      <c r="J3417" s="16" t="n">
        <v>0.013</v>
      </c>
    </row>
    <row r="3418">
      <c r="A3418" s="16" t="n">
        <v>3414</v>
      </c>
      <c r="B3418" s="16" t="inlineStr">
        <is>
          <t>Backend</t>
        </is>
      </c>
      <c r="C3418" s="17" t="inlineStr">
        <is>
          <t>ordering-service</t>
        </is>
      </c>
      <c r="D3418" s="16" t="inlineStr">
        <is>
          <t>Integration</t>
        </is>
      </c>
      <c r="E3418" s="17" t="inlineStr">
        <is>
          <t>SalesStatsIT</t>
        </is>
      </c>
      <c r="F3418" s="17" t="inlineStr"/>
      <c r="G3418" s="17" t="inlineStr">
        <is>
          <t>Tổ chức khác không thấy gì, kể cả khi truyền đúng mã sự kiện</t>
        </is>
      </c>
      <c r="H3418" s="17" t="inlineStr">
        <is>
          <t>khong_ro_sang_to_chuc_khac</t>
        </is>
      </c>
      <c r="I3418" s="16" t="inlineStr">
        <is>
          <t>Đạt</t>
        </is>
      </c>
      <c r="J3418" s="16" t="n">
        <v>0.028</v>
      </c>
    </row>
    <row r="3419">
      <c r="A3419" s="16" t="n">
        <v>3415</v>
      </c>
      <c r="B3419" s="16" t="inlineStr">
        <is>
          <t>Backend</t>
        </is>
      </c>
      <c r="C3419" s="17" t="inlineStr">
        <is>
          <t>payment-service</t>
        </is>
      </c>
      <c r="D3419" s="16" t="inlineStr">
        <is>
          <t>Integration</t>
        </is>
      </c>
      <c r="E3419" s="17" t="inlineStr">
        <is>
          <t>LegacyIntentWithoutPayosIT</t>
        </is>
      </c>
      <c r="F3419" s="17" t="inlineStr"/>
      <c r="G3419" s="17" t="inlineStr">
        <is>
          <t>huỷ intent cũ KHÔNG gọi payOS đóng link</t>
        </is>
      </c>
      <c r="H3419" s="17" t="inlineStr">
        <is>
          <t>huy_khong_goi_payos</t>
        </is>
      </c>
      <c r="I3419" s="16" t="inlineStr">
        <is>
          <t>Đạt</t>
        </is>
      </c>
      <c r="J3419" s="16" t="n">
        <v>2.965</v>
      </c>
    </row>
    <row r="3420">
      <c r="A3420" s="16" t="n">
        <v>3416</v>
      </c>
      <c r="B3420" s="16" t="inlineStr">
        <is>
          <t>Backend</t>
        </is>
      </c>
      <c r="C3420" s="17" t="inlineStr">
        <is>
          <t>payment-service</t>
        </is>
      </c>
      <c r="D3420" s="16" t="inlineStr">
        <is>
          <t>Integration</t>
        </is>
      </c>
      <c r="E3420" s="17" t="inlineStr">
        <is>
          <t>LegacyIntentWithoutPayosIT</t>
        </is>
      </c>
      <c r="F3420" s="17" t="inlineStr"/>
      <c r="G3420" s="17" t="inlineStr">
        <is>
          <t>đối soát intent cũ KHÔNG gọi payOS với mã đơn 0</t>
        </is>
      </c>
      <c r="H3420" s="17" t="inlineStr">
        <is>
          <t>doi_soat_khong_goi_payos</t>
        </is>
      </c>
      <c r="I3420" s="16" t="inlineStr">
        <is>
          <t>Đạt</t>
        </is>
      </c>
      <c r="J3420" s="16" t="n">
        <v>0.039</v>
      </c>
    </row>
    <row r="3421">
      <c r="A3421" s="16" t="n">
        <v>3417</v>
      </c>
      <c r="B3421" s="16" t="inlineStr">
        <is>
          <t>Backend</t>
        </is>
      </c>
      <c r="C3421" s="17" t="inlineStr">
        <is>
          <t>payment-service</t>
        </is>
      </c>
      <c r="D3421" s="16" t="inlineStr">
        <is>
          <t>Integration</t>
        </is>
      </c>
      <c r="E3421" s="17" t="inlineStr">
        <is>
          <t>PayosPaymentFlowIT</t>
        </is>
      </c>
      <c r="F3421" s="17" t="inlineStr"/>
      <c r="G3421" s="17" t="inlineStr">
        <is>
          <t>payOS từ chối tạo link: 502 PAYOS_REJECTED — thử lại sẽ nhận đúng câu đó</t>
        </is>
      </c>
      <c r="H3421" s="17" t="inlineStr">
        <is>
          <t>payos_tu_choi_thi_502</t>
        </is>
      </c>
      <c r="I3421" s="16" t="inlineStr">
        <is>
          <t>Đạt</t>
        </is>
      </c>
      <c r="J3421" s="16" t="n">
        <v>0.206</v>
      </c>
    </row>
    <row r="3422">
      <c r="A3422" s="16" t="n">
        <v>3418</v>
      </c>
      <c r="B3422" s="16" t="inlineStr">
        <is>
          <t>Backend</t>
        </is>
      </c>
      <c r="C3422" s="17" t="inlineStr">
        <is>
          <t>payment-service</t>
        </is>
      </c>
      <c r="D3422" s="16" t="inlineStr">
        <is>
          <t>Integration</t>
        </is>
      </c>
      <c r="E3422" s="17" t="inlineStr">
        <is>
          <t>PayosPaymentFlowIT</t>
        </is>
      </c>
      <c r="F3422" s="17" t="inlineStr"/>
      <c r="G3422" s="17" t="inlineStr">
        <is>
          <t>Mở intent: ghi đủ dữ liệu payOS, reference suy ra từ orderCode</t>
        </is>
      </c>
      <c r="H3422" s="17" t="inlineStr">
        <is>
          <t>mo_intent_ghi_du_du_lieu_payos</t>
        </is>
      </c>
      <c r="I3422" s="16" t="inlineStr">
        <is>
          <t>Đạt</t>
        </is>
      </c>
      <c r="J3422" s="16" t="n">
        <v>0.121</v>
      </c>
    </row>
    <row r="3423">
      <c r="A3423" s="16" t="n">
        <v>3419</v>
      </c>
      <c r="B3423" s="16" t="inlineStr">
        <is>
          <t>Backend</t>
        </is>
      </c>
      <c r="C3423" s="17" t="inlineStr">
        <is>
          <t>payment-service</t>
        </is>
      </c>
      <c r="D3423" s="16" t="inlineStr">
        <is>
          <t>Integration</t>
        </is>
      </c>
      <c r="E3423" s="17" t="inlineStr">
        <is>
          <t>PayosPaymentFlowIT</t>
        </is>
      </c>
      <c r="F3423" s="17" t="inlineStr"/>
      <c r="G3423" s="17" t="inlineStr">
        <is>
          <t>payOS ghi số tiền lệch trên link: KHÔNG ghi intent nào</t>
        </is>
      </c>
      <c r="H3423" s="17" t="inlineStr">
        <is>
          <t>so_tien_tren_link_lech_thi_khong_ghi_intent</t>
        </is>
      </c>
      <c r="I3423" s="16" t="inlineStr">
        <is>
          <t>Đạt</t>
        </is>
      </c>
      <c r="J3423" s="16" t="n">
        <v>0.099</v>
      </c>
    </row>
    <row r="3424">
      <c r="A3424" s="16" t="n">
        <v>3420</v>
      </c>
      <c r="B3424" s="16" t="inlineStr">
        <is>
          <t>Backend</t>
        </is>
      </c>
      <c r="C3424" s="17" t="inlineStr">
        <is>
          <t>payment-service</t>
        </is>
      </c>
      <c r="D3424" s="16" t="inlineStr">
        <is>
          <t>Integration</t>
        </is>
      </c>
      <c r="E3424" s="17" t="inlineStr">
        <is>
          <t>PayosPaymentFlowIT</t>
        </is>
      </c>
      <c r="F3424" s="17" t="inlineStr"/>
      <c r="G3424" s="17" t="inlineStr">
        <is>
          <t>Chữ ký SAI: trả 401 (không 200), ghi vết REJECTED, KHÔNG đổi trạng thái đơn</t>
        </is>
      </c>
      <c r="H3424" s="17" t="inlineStr">
        <is>
          <t>chu_ky_sai_thi_401</t>
        </is>
      </c>
      <c r="I3424" s="16" t="inlineStr">
        <is>
          <t>Đạt</t>
        </is>
      </c>
      <c r="J3424" s="16" t="n">
        <v>0.167</v>
      </c>
    </row>
    <row r="3425">
      <c r="A3425" s="16" t="n">
        <v>3421</v>
      </c>
      <c r="B3425" s="16" t="inlineStr">
        <is>
          <t>Backend</t>
        </is>
      </c>
      <c r="C3425" s="17" t="inlineStr">
        <is>
          <t>payment-service</t>
        </is>
      </c>
      <c r="D3425" s="16" t="inlineStr">
        <is>
          <t>Integration</t>
        </is>
      </c>
      <c r="E3425" s="17" t="inlineStr">
        <is>
          <t>PayosPaymentFlowIT</t>
        </is>
      </c>
      <c r="F3425" s="17" t="inlineStr"/>
      <c r="G3425" s="17" t="inlineStr">
        <is>
          <t>Trả THIẾU tiền: AMOUNT_MISMATCH, không phát vé, vẫn nhận 200</t>
        </is>
      </c>
      <c r="H3425" s="17" t="inlineStr">
        <is>
          <t>tra_thieu_tien_thi_khong_phat_ve</t>
        </is>
      </c>
      <c r="I3425" s="16" t="inlineStr">
        <is>
          <t>Đạt</t>
        </is>
      </c>
      <c r="J3425" s="16" t="n">
        <v>0.091</v>
      </c>
    </row>
    <row r="3426">
      <c r="A3426" s="16" t="n">
        <v>3422</v>
      </c>
      <c r="B3426" s="16" t="inlineStr">
        <is>
          <t>Backend</t>
        </is>
      </c>
      <c r="C3426" s="17" t="inlineStr">
        <is>
          <t>payment-service</t>
        </is>
      </c>
      <c r="D3426" s="16" t="inlineStr">
        <is>
          <t>Integration</t>
        </is>
      </c>
      <c r="E3426" s="17" t="inlineStr">
        <is>
          <t>PayosPaymentFlowIT</t>
        </is>
      </c>
      <c r="F3426" s="17" t="inlineStr"/>
      <c r="G3426" s="17" t="inlineStr">
        <is>
          <t>payOS không phản hồi: 503 PAYOS_UNAVAILABLE, không để lại intent dở dang</t>
        </is>
      </c>
      <c r="H3426" s="17" t="inlineStr">
        <is>
          <t>payos_khong_phan_hoi_thi_503</t>
        </is>
      </c>
      <c r="I3426" s="16" t="inlineStr">
        <is>
          <t>Đạt</t>
        </is>
      </c>
      <c r="J3426" s="16" t="n">
        <v>0.062</v>
      </c>
    </row>
    <row r="3427">
      <c r="A3427" s="16" t="n">
        <v>3423</v>
      </c>
      <c r="B3427" s="16" t="inlineStr">
        <is>
          <t>Backend</t>
        </is>
      </c>
      <c r="C3427" s="17" t="inlineStr">
        <is>
          <t>payment-service</t>
        </is>
      </c>
      <c r="D3427" s="16" t="inlineStr">
        <is>
          <t>Integration</t>
        </is>
      </c>
      <c r="E3427" s="17" t="inlineStr">
        <is>
          <t>PayosPaymentFlowIT</t>
        </is>
      </c>
      <c r="F3427" s="17" t="inlineStr"/>
      <c r="G3427" s="17" t="inlineStr">
        <is>
          <t>uq_payos_order_code chặn hai intent cùng một mã link</t>
        </is>
      </c>
      <c r="H3427" s="17" t="inlineStr">
        <is>
          <t>khong_hai_intent_cung_order_code</t>
        </is>
      </c>
      <c r="I3427" s="16" t="inlineStr">
        <is>
          <t>Đạt</t>
        </is>
      </c>
      <c r="J3427" s="16" t="n">
        <v>0.133</v>
      </c>
    </row>
    <row r="3428">
      <c r="A3428" s="16" t="n">
        <v>3424</v>
      </c>
      <c r="B3428" s="16" t="inlineStr">
        <is>
          <t>Backend</t>
        </is>
      </c>
      <c r="C3428" s="17" t="inlineStr">
        <is>
          <t>payment-service</t>
        </is>
      </c>
      <c r="D3428" s="16" t="inlineStr">
        <is>
          <t>Integration</t>
        </is>
      </c>
      <c r="E3428" s="17" t="inlineStr">
        <is>
          <t>PayosPaymentFlowIT</t>
        </is>
      </c>
      <c r="F3428" s="17" t="inlineStr"/>
      <c r="G3428" s="17" t="inlineStr">
        <is>
          <t>Gọi lại openIntent KHÔNG tạo link payOS thứ hai</t>
        </is>
      </c>
      <c r="H3428" s="17" t="inlineStr">
        <is>
          <t>open_intent_idempotent_khong_tao_link_thu_hai</t>
        </is>
      </c>
      <c r="I3428" s="16" t="inlineStr">
        <is>
          <t>Đạt</t>
        </is>
      </c>
      <c r="J3428" s="16" t="n">
        <v>0.08599999999999999</v>
      </c>
    </row>
    <row r="3429">
      <c r="A3429" s="16" t="n">
        <v>3425</v>
      </c>
      <c r="B3429" s="16" t="inlineStr">
        <is>
          <t>Backend</t>
        </is>
      </c>
      <c r="C3429" s="17" t="inlineStr">
        <is>
          <t>payment-service</t>
        </is>
      </c>
      <c r="D3429" s="16" t="inlineStr">
        <is>
          <t>Integration</t>
        </is>
      </c>
      <c r="E3429" s="17" t="inlineStr">
        <is>
          <t>PayosPaymentFlowIT</t>
        </is>
      </c>
      <c r="F3429" s="17" t="inlineStr"/>
      <c r="G3429" s="17" t="inlineStr">
        <is>
          <t>Đã nhận tiền thì không huỷ, và không đóng link</t>
        </is>
      </c>
      <c r="H3429" s="17" t="inlineStr">
        <is>
          <t>da_nhan_tien_thi_khong_huy</t>
        </is>
      </c>
      <c r="I3429" s="16" t="inlineStr">
        <is>
          <t>Đạt</t>
        </is>
      </c>
      <c r="J3429" s="16" t="n">
        <v>0.116</v>
      </c>
    </row>
    <row r="3430">
      <c r="A3430" s="16" t="n">
        <v>3426</v>
      </c>
      <c r="B3430" s="16" t="inlineStr">
        <is>
          <t>Backend</t>
        </is>
      </c>
      <c r="C3430" s="17" t="inlineStr">
        <is>
          <t>payment-service</t>
        </is>
      </c>
      <c r="D3430" s="16" t="inlineStr">
        <is>
          <t>Integration</t>
        </is>
      </c>
      <c r="E3430" s="17" t="inlineStr">
        <is>
          <t>PayosPaymentFlowIT</t>
        </is>
      </c>
      <c r="F3430" s="17" t="inlineStr"/>
      <c r="G3430" s="17" t="inlineStr">
        <is>
          <t>Huỷ intent cũng đóng link ở phía payOS</t>
        </is>
      </c>
      <c r="H3430" s="17" t="inlineStr">
        <is>
          <t>huy_intent_thi_dong_ca_link_payos</t>
        </is>
      </c>
      <c r="I3430" s="16" t="inlineStr">
        <is>
          <t>Đạt</t>
        </is>
      </c>
      <c r="J3430" s="16" t="n">
        <v>0.053</v>
      </c>
    </row>
    <row r="3431">
      <c r="A3431" s="16" t="n">
        <v>3427</v>
      </c>
      <c r="B3431" s="16" t="inlineStr">
        <is>
          <t>Backend</t>
        </is>
      </c>
      <c r="C3431" s="17" t="inlineStr">
        <is>
          <t>payment-service</t>
        </is>
      </c>
      <c r="D3431" s="16" t="inlineStr">
        <is>
          <t>Integration</t>
        </is>
      </c>
      <c r="E3431" s="17" t="inlineStr">
        <is>
          <t>PayosPaymentFlowIT</t>
        </is>
      </c>
      <c r="F3431" s="17" t="inlineStr"/>
      <c r="G3431" s="17" t="inlineStr">
        <is>
          <t>Giả lập trả thiếu tiền vẫn bị chặn — cùng một nhánh domain</t>
        </is>
      </c>
      <c r="H3431" s="17" t="inlineStr">
        <is>
          <t>sandbox_tra_thieu_van_bi_chan</t>
        </is>
      </c>
      <c r="I3431" s="16" t="inlineStr">
        <is>
          <t>Đạt</t>
        </is>
      </c>
      <c r="J3431" s="16" t="n">
        <v>0.066</v>
      </c>
    </row>
    <row r="3432">
      <c r="A3432" s="16" t="n">
        <v>3428</v>
      </c>
      <c r="B3432" s="16" t="inlineStr">
        <is>
          <t>Backend</t>
        </is>
      </c>
      <c r="C3432" s="17" t="inlineStr">
        <is>
          <t>payment-service</t>
        </is>
      </c>
      <c r="D3432" s="16" t="inlineStr">
        <is>
          <t>Integration</t>
        </is>
      </c>
      <c r="E3432" s="17" t="inlineStr">
        <is>
          <t>PayosPaymentFlowIT</t>
        </is>
      </c>
      <c r="F3432" s="17" t="inlineStr"/>
      <c r="G3432" s="17" t="inlineStr">
        <is>
          <t>Giả lập chuyển khoản đi qua đúng cùng đường với webhook thật</t>
        </is>
      </c>
      <c r="H3432" s="17" t="inlineStr">
        <is>
          <t>sandbox_di_qua_cung_duong</t>
        </is>
      </c>
      <c r="I3432" s="16" t="inlineStr">
        <is>
          <t>Đạt</t>
        </is>
      </c>
      <c r="J3432" s="16" t="n">
        <v>0.096</v>
      </c>
    </row>
    <row r="3433">
      <c r="A3433" s="16" t="n">
        <v>3429</v>
      </c>
      <c r="B3433" s="16" t="inlineStr">
        <is>
          <t>Backend</t>
        </is>
      </c>
      <c r="C3433" s="17" t="inlineStr">
        <is>
          <t>payment-service</t>
        </is>
      </c>
      <c r="D3433" s="16" t="inlineStr">
        <is>
          <t>Integration</t>
        </is>
      </c>
      <c r="E3433" s="17" t="inlineStr">
        <is>
          <t>PayosPaymentFlowIT</t>
        </is>
      </c>
      <c r="F3433" s="17" t="inlineStr"/>
      <c r="G3433" s="17" t="inlineStr">
        <is>
          <t>Intent đã huỷ: tiền vào sau đó KHÔNG được ghi nhận tự động</t>
        </is>
      </c>
      <c r="H3433" s="17" t="inlineStr">
        <is>
          <t>huy_roi_thi_tien_vao_sau_khong_tu_ghi_nhan</t>
        </is>
      </c>
      <c r="I3433" s="16" t="inlineStr">
        <is>
          <t>Đạt</t>
        </is>
      </c>
      <c r="J3433" s="16" t="n">
        <v>0.08599999999999999</v>
      </c>
    </row>
    <row r="3434">
      <c r="A3434" s="16" t="n">
        <v>3430</v>
      </c>
      <c r="B3434" s="16" t="inlineStr">
        <is>
          <t>Backend</t>
        </is>
      </c>
      <c r="C3434" s="17" t="inlineStr">
        <is>
          <t>payment-service</t>
        </is>
      </c>
      <c r="D3434" s="16" t="inlineStr">
        <is>
          <t>Integration</t>
        </is>
      </c>
      <c r="E3434" s="17" t="inlineStr">
        <is>
          <t>PayosPaymentFlowIT</t>
        </is>
      </c>
      <c r="F3434" s="17" t="inlineStr"/>
      <c r="G3434" s="17" t="inlineStr">
        <is>
          <t>Đối soát kéo trạng thái PAID từ payOS về — đường sửa khi webhook không tới</t>
        </is>
      </c>
      <c r="H3434" s="17" t="inlineStr">
        <is>
          <t>doi_soat_keo_trang_thai_ve</t>
        </is>
      </c>
      <c r="I3434" s="16" t="inlineStr">
        <is>
          <t>Đạt</t>
        </is>
      </c>
      <c r="J3434" s="16" t="n">
        <v>0.167</v>
      </c>
    </row>
    <row r="3435">
      <c r="A3435" s="16" t="n">
        <v>3431</v>
      </c>
      <c r="B3435" s="16" t="inlineStr">
        <is>
          <t>Backend</t>
        </is>
      </c>
      <c r="C3435" s="17" t="inlineStr">
        <is>
          <t>payment-service</t>
        </is>
      </c>
      <c r="D3435" s="16" t="inlineStr">
        <is>
          <t>Integration</t>
        </is>
      </c>
      <c r="E3435" s="17" t="inlineStr">
        <is>
          <t>PayosPaymentFlowIT</t>
        </is>
      </c>
      <c r="F3435" s="17" t="inlineStr"/>
      <c r="G3435" s="17" t="inlineStr">
        <is>
          <t>Ordering không phản hồi: ném ra để rollback và để payOS giao lại</t>
        </is>
      </c>
      <c r="H3435" s="17" t="inlineStr">
        <is>
          <t>ordering_khong_phan_hoi_thi_rollback</t>
        </is>
      </c>
      <c r="I3435" s="16" t="inlineStr">
        <is>
          <t>Đạt</t>
        </is>
      </c>
      <c r="J3435" s="16" t="n">
        <v>0.128</v>
      </c>
    </row>
    <row r="3436">
      <c r="A3436" s="16" t="n">
        <v>3432</v>
      </c>
      <c r="B3436" s="16" t="inlineStr">
        <is>
          <t>Backend</t>
        </is>
      </c>
      <c r="C3436" s="17" t="inlineStr">
        <is>
          <t>payment-service</t>
        </is>
      </c>
      <c r="D3436" s="16" t="inlineStr">
        <is>
          <t>Integration</t>
        </is>
      </c>
      <c r="E3436" s="17" t="inlineStr">
        <is>
          <t>PayosPaymentFlowIT</t>
        </is>
      </c>
      <c r="F3436" s="17" t="inlineStr"/>
      <c r="G3436" s="17" t="inlineStr">
        <is>
          <t>Tiền vào một đơn đã đóng: vẫn 200 và vẫn ghi nhận, kèm ghi chú đối soát tay</t>
        </is>
      </c>
      <c r="H3436" s="17" t="inlineStr">
        <is>
          <t>tien_vao_don_da_dong</t>
        </is>
      </c>
      <c r="I3436" s="16" t="inlineStr">
        <is>
          <t>Đạt</t>
        </is>
      </c>
      <c r="J3436" s="16" t="n">
        <v>0.079</v>
      </c>
    </row>
    <row r="3437">
      <c r="A3437" s="16" t="n">
        <v>3433</v>
      </c>
      <c r="B3437" s="16" t="inlineStr">
        <is>
          <t>Backend</t>
        </is>
      </c>
      <c r="C3437" s="17" t="inlineStr">
        <is>
          <t>payment-service</t>
        </is>
      </c>
      <c r="D3437" s="16" t="inlineStr">
        <is>
          <t>Integration</t>
        </is>
      </c>
      <c r="E3437" s="17" t="inlineStr">
        <is>
          <t>PayosPaymentFlowIT</t>
        </is>
      </c>
      <c r="F3437" s="17" t="inlineStr"/>
      <c r="G3437" s="17" t="inlineStr">
        <is>
          <t>Sequence orderCode không cấp trùng, kể cả khi gọi song song</t>
        </is>
      </c>
      <c r="H3437" s="17" t="inlineStr">
        <is>
          <t>sequence_order_code_khong_trung</t>
        </is>
      </c>
      <c r="I3437" s="16" t="inlineStr">
        <is>
          <t>Đạt</t>
        </is>
      </c>
      <c r="J3437" s="16" t="n">
        <v>0.08799999999999999</v>
      </c>
    </row>
    <row r="3438">
      <c r="A3438" s="16" t="n">
        <v>3434</v>
      </c>
      <c r="B3438" s="16" t="inlineStr">
        <is>
          <t>Backend</t>
        </is>
      </c>
      <c r="C3438" s="17" t="inlineStr">
        <is>
          <t>payment-service</t>
        </is>
      </c>
      <c r="D3438" s="16" t="inlineStr">
        <is>
          <t>Integration</t>
        </is>
      </c>
      <c r="E3438" s="17" t="inlineStr">
        <is>
          <t>PayosPaymentFlowIT</t>
        </is>
      </c>
      <c r="F3438" s="17" t="inlineStr"/>
      <c r="G3438" s="17" t="inlineStr">
        <is>
          <t>orderCode không có intent nào (webhook thử của payOS): 200 UNKNOWN_REFERENCE</t>
        </is>
      </c>
      <c r="H3438" s="17" t="inlineStr">
        <is>
          <t>order_code_la_cua_webhook_thu_thi_van_200</t>
        </is>
      </c>
      <c r="I3438" s="16" t="inlineStr">
        <is>
          <t>Đạt</t>
        </is>
      </c>
      <c r="J3438" s="16" t="n">
        <v>0.057</v>
      </c>
    </row>
    <row r="3439">
      <c r="A3439" s="16" t="n">
        <v>3435</v>
      </c>
      <c r="B3439" s="16" t="inlineStr">
        <is>
          <t>Backend</t>
        </is>
      </c>
      <c r="C3439" s="17" t="inlineStr">
        <is>
          <t>payment-service</t>
        </is>
      </c>
      <c r="D3439" s="16" t="inlineStr">
        <is>
          <t>Integration</t>
        </is>
      </c>
      <c r="E3439" s="17" t="inlineStr">
        <is>
          <t>PayosPaymentFlowIT</t>
        </is>
      </c>
      <c r="F3439" s="17" t="inlineStr"/>
      <c r="G3439" s="17" t="inlineStr">
        <is>
          <t>Webhook trùng: lần hai là DUPLICATE, không báo Ordering thêm lần nữa</t>
        </is>
      </c>
      <c r="H3439" s="17" t="inlineStr">
        <is>
          <t>webhook_trung_la_duplicate</t>
        </is>
      </c>
      <c r="I3439" s="16" t="inlineStr">
        <is>
          <t>Đạt</t>
        </is>
      </c>
      <c r="J3439" s="16" t="n">
        <v>0.097</v>
      </c>
    </row>
    <row r="3440">
      <c r="A3440" s="16" t="n">
        <v>3436</v>
      </c>
      <c r="B3440" s="16" t="inlineStr">
        <is>
          <t>Backend</t>
        </is>
      </c>
      <c r="C3440" s="17" t="inlineStr">
        <is>
          <t>payment-service</t>
        </is>
      </c>
      <c r="D3440" s="16" t="inlineStr">
        <is>
          <t>Integration</t>
        </is>
      </c>
      <c r="E3440" s="17" t="inlineStr">
        <is>
          <t>PayosPaymentFlowIT</t>
        </is>
      </c>
      <c r="F3440" s="17" t="inlineStr"/>
      <c r="G3440" s="17" t="inlineStr">
        <is>
          <t>Job dọn: intent quá hạn thành EXPIRED, intent ĐÃ NHẬN TIỀN thì không đụng tới</t>
        </is>
      </c>
      <c r="H3440" s="17" t="inlineStr">
        <is>
          <t>job_don_intent_qua_han</t>
        </is>
      </c>
      <c r="I3440" s="16" t="inlineStr">
        <is>
          <t>Đạt</t>
        </is>
      </c>
      <c r="J3440" s="16" t="n">
        <v>0.101</v>
      </c>
    </row>
    <row r="3441">
      <c r="A3441" s="16" t="n">
        <v>3437</v>
      </c>
      <c r="B3441" s="16" t="inlineStr">
        <is>
          <t>Backend</t>
        </is>
      </c>
      <c r="C3441" s="17" t="inlineStr">
        <is>
          <t>payment-service</t>
        </is>
      </c>
      <c r="D3441" s="16" t="inlineStr">
        <is>
          <t>Integration</t>
        </is>
      </c>
      <c r="E3441" s="17" t="inlineStr">
        <is>
          <t>PayosPaymentFlowIT</t>
        </is>
      </c>
      <c r="F3441" s="17" t="inlineStr"/>
      <c r="G3441" s="17" t="inlineStr">
        <is>
          <t>Webhook đã ký, đủ tiền: xác nhận, báo Ordering, ghi nhật ký CONFIRMED</t>
        </is>
      </c>
      <c r="H3441" s="17" t="inlineStr">
        <is>
          <t>webhook_du_tien_thi_xac_nhan</t>
        </is>
      </c>
      <c r="I3441" s="16" t="inlineStr">
        <is>
          <t>Đạt</t>
        </is>
      </c>
      <c r="J3441" s="16" t="n">
        <v>0.08699999999999999</v>
      </c>
    </row>
    <row r="3442">
      <c r="A3442" s="16" t="n">
        <v>3438</v>
      </c>
      <c r="B3442" s="16" t="inlineStr">
        <is>
          <t>Backend</t>
        </is>
      </c>
      <c r="C3442" s="17" t="inlineStr">
        <is>
          <t>payment-service</t>
        </is>
      </c>
      <c r="D3442" s="16" t="inlineStr">
        <is>
          <t>Integration</t>
        </is>
      </c>
      <c r="E3442" s="17" t="inlineStr">
        <is>
          <t>PayosPaymentFlowIT</t>
        </is>
      </c>
      <c r="F3442" s="17" t="inlineStr"/>
      <c r="G3442" s="17" t="inlineStr">
        <is>
          <t>Đối soát khi payOS nói PAID mà không có mã giao dịch: KHÔNG bịa mã thay thế</t>
        </is>
      </c>
      <c r="H3442" s="17" t="inlineStr">
        <is>
          <t>doi_soat_thieu_ma_giao_dich_thi_khong_xac_nhan</t>
        </is>
      </c>
      <c r="I3442" s="16" t="inlineStr">
        <is>
          <t>Đạt</t>
        </is>
      </c>
      <c r="J3442" s="16" t="n">
        <v>0.066</v>
      </c>
    </row>
    <row r="3443">
      <c r="A3443" s="16" t="n">
        <v>3439</v>
      </c>
      <c r="B3443" s="16" t="inlineStr">
        <is>
          <t>Backend</t>
        </is>
      </c>
      <c r="C3443" s="17" t="inlineStr">
        <is>
          <t>payment-service</t>
        </is>
      </c>
      <c r="D3443" s="16" t="inlineStr">
        <is>
          <t>Integration</t>
        </is>
      </c>
      <c r="E3443" s="17" t="inlineStr">
        <is>
          <t>WebhookEdgeCasesIT</t>
        </is>
      </c>
      <c r="F3443" s="17" t="inlineStr"/>
      <c r="G3443" s="17" t="inlineStr">
        <is>
          <t>Cùng một mã giao dịch ngân hàng cho đơn thứ hai: DUPLICATE, đơn thứ hai KHÔNG được xác nhận</t>
        </is>
      </c>
      <c r="H3443" s="17" t="inlineStr">
        <is>
          <t>ma_giao_dich_dung_lai_cho_don_khac</t>
        </is>
      </c>
      <c r="I3443" s="16" t="inlineStr">
        <is>
          <t>Đạt</t>
        </is>
      </c>
      <c r="J3443" s="16" t="n">
        <v>0.075</v>
      </c>
    </row>
    <row r="3444">
      <c r="A3444" s="16" t="n">
        <v>3440</v>
      </c>
      <c r="B3444" s="16" t="inlineStr">
        <is>
          <t>Backend</t>
        </is>
      </c>
      <c r="C3444" s="17" t="inlineStr">
        <is>
          <t>payment-service</t>
        </is>
      </c>
      <c r="D3444" s="16" t="inlineStr">
        <is>
          <t>Integration</t>
        </is>
      </c>
      <c r="E3444" s="17" t="inlineStr">
        <is>
          <t>WebhookEdgeCasesIT</t>
        </is>
      </c>
      <c r="F3444" s="17" t="inlineStr"/>
      <c r="G3444" s="17" t="inlineStr">
        <is>
          <t>Webhook đã ký báo thất bại: nhận, ghi REJECTED kèm orderCode và số tiền, intent vẫn PENDING</t>
        </is>
      </c>
      <c r="H3444" s="17" t="inlineStr">
        <is>
          <t>webhook_bao_that_bai</t>
        </is>
      </c>
      <c r="I3444" s="16" t="inlineStr">
        <is>
          <t>Đạt</t>
        </is>
      </c>
      <c r="J3444" s="16" t="n">
        <v>0.033</v>
      </c>
    </row>
    <row r="3445">
      <c r="A3445" s="16" t="n">
        <v>3441</v>
      </c>
      <c r="B3445" s="16" t="inlineStr">
        <is>
          <t>Backend</t>
        </is>
      </c>
      <c r="C3445" s="17" t="inlineStr">
        <is>
          <t>payment-service</t>
        </is>
      </c>
      <c r="D3445" s="16" t="inlineStr">
        <is>
          <t>Integration</t>
        </is>
      </c>
      <c r="E3445" s="17" t="inlineStr">
        <is>
          <t>WebhookEdgeCasesIT</t>
        </is>
      </c>
      <c r="F3445" s="17" t="inlineStr"/>
      <c r="G3445" s="17" t="inlineStr">
        <is>
          <t>Job hết hạn chạy trước, webhook tới sau: NOT_PENDING, không báo Ordering, intent vẫn EXPIRED</t>
        </is>
      </c>
      <c r="H3445" s="17" t="inlineStr">
        <is>
          <t>webhook_toi_sau_khi_het_han</t>
        </is>
      </c>
      <c r="I3445" s="16" t="inlineStr">
        <is>
          <t>Đạt</t>
        </is>
      </c>
      <c r="J3445" s="16" t="n">
        <v>0.048</v>
      </c>
    </row>
    <row r="3446">
      <c r="A3446" s="16" t="n">
        <v>3442</v>
      </c>
      <c r="B3446" s="16" t="inlineStr">
        <is>
          <t>Backend</t>
        </is>
      </c>
      <c r="C3446" s="17" t="inlineStr">
        <is>
          <t>payout-service</t>
        </is>
      </c>
      <c r="D3446" s="16" t="inlineStr">
        <is>
          <t>Integration</t>
        </is>
      </c>
      <c r="E3446" s="17" t="inlineStr">
        <is>
          <t>FourEyesIT</t>
        </is>
      </c>
      <c r="F3446" s="17" t="inlineStr"/>
      <c r="G3446" s="17" t="inlineStr">
        <is>
          <t>Ghi thẳng SQL để tự duyệt: CHECK constraint của database từ chối</t>
        </is>
      </c>
      <c r="H3446" s="17" t="inlineStr">
        <is>
          <t>constraint_chan_ca_duong_sql</t>
        </is>
      </c>
      <c r="I3446" s="16" t="inlineStr">
        <is>
          <t>Đạt</t>
        </is>
      </c>
      <c r="J3446" s="16" t="n">
        <v>1.331</v>
      </c>
    </row>
    <row r="3447">
      <c r="A3447" s="16" t="n">
        <v>3443</v>
      </c>
      <c r="B3447" s="16" t="inlineStr">
        <is>
          <t>Backend</t>
        </is>
      </c>
      <c r="C3447" s="17" t="inlineStr">
        <is>
          <t>payout-service</t>
        </is>
      </c>
      <c r="D3447" s="16" t="inlineStr">
        <is>
          <t>Integration</t>
        </is>
      </c>
      <c r="E3447" s="17" t="inlineStr">
        <is>
          <t>FourEyesIT</t>
        </is>
      </c>
      <c r="F3447" s="17" t="inlineStr"/>
      <c r="G3447" s="17" t="inlineStr">
        <is>
          <t>Tiền đang trên đường chuyển được trừ khỏi số dư khả dụng</t>
        </is>
      </c>
      <c r="H3447" s="17" t="inlineStr">
        <is>
          <t>tien_dang_chuyen_bi_tru</t>
        </is>
      </c>
      <c r="I3447" s="16" t="inlineStr">
        <is>
          <t>Đạt</t>
        </is>
      </c>
      <c r="J3447" s="16" t="n">
        <v>0.029</v>
      </c>
    </row>
    <row r="3448">
      <c r="A3448" s="16" t="n">
        <v>3444</v>
      </c>
      <c r="B3448" s="16" t="inlineStr">
        <is>
          <t>Backend</t>
        </is>
      </c>
      <c r="C3448" s="17" t="inlineStr">
        <is>
          <t>payout-service</t>
        </is>
      </c>
      <c r="D3448" s="16" t="inlineStr">
        <is>
          <t>Integration</t>
        </is>
      </c>
      <c r="E3448" s="17" t="inlineStr">
        <is>
          <t>FourEyesIT</t>
        </is>
      </c>
      <c r="F3448" s="17" t="inlineStr"/>
      <c r="G3448" s="17" t="inlineStr">
        <is>
          <t>Người khác duyệt được, rồi xác nhận đã chuyển khoản</t>
        </is>
      </c>
      <c r="H3448" s="17" t="inlineStr">
        <is>
          <t>duong_hoan_chinh</t>
        </is>
      </c>
      <c r="I3448" s="16" t="inlineStr">
        <is>
          <t>Đạt</t>
        </is>
      </c>
      <c r="J3448" s="16" t="n">
        <v>0.04</v>
      </c>
    </row>
    <row r="3449">
      <c r="A3449" s="16" t="n">
        <v>3445</v>
      </c>
      <c r="B3449" s="16" t="inlineStr">
        <is>
          <t>Backend</t>
        </is>
      </c>
      <c r="C3449" s="17" t="inlineStr">
        <is>
          <t>payout-service</t>
        </is>
      </c>
      <c r="D3449" s="16" t="inlineStr">
        <is>
          <t>Integration</t>
        </is>
      </c>
      <c r="E3449" s="17" t="inlineStr">
        <is>
          <t>FourEyesIT</t>
        </is>
      </c>
      <c r="F3449" s="17" t="inlineStr"/>
      <c r="G3449" s="17" t="inlineStr">
        <is>
          <t>Tự duyệt lô của mình bị từ chối với mã lỗi rõ ràng</t>
        </is>
      </c>
      <c r="H3449" s="17" t="inlineStr">
        <is>
          <t>tu_duyet_bi_tu_choi</t>
        </is>
      </c>
      <c r="I3449" s="16" t="inlineStr">
        <is>
          <t>Đạt</t>
        </is>
      </c>
      <c r="J3449" s="16" t="n">
        <v>0.021</v>
      </c>
    </row>
    <row r="3450">
      <c r="A3450" s="16" t="n">
        <v>3446</v>
      </c>
      <c r="B3450" s="16" t="inlineStr">
        <is>
          <t>Backend</t>
        </is>
      </c>
      <c r="C3450" s="17" t="inlineStr">
        <is>
          <t>payout-service</t>
        </is>
      </c>
      <c r="D3450" s="16" t="inlineStr">
        <is>
          <t>Integration</t>
        </is>
      </c>
      <c r="E3450" s="17" t="inlineStr">
        <is>
          <t>PayoutRepositoryIT</t>
        </is>
      </c>
      <c r="F3450" s="17" t="inlineStr"/>
      <c r="G3450" s="17" t="inlineStr">
        <is>
          <t>Tổ chức chưa có lô nào: tiền đang chuyển là 0, không phải null</t>
        </is>
      </c>
      <c r="H3450" s="17" t="inlineStr">
        <is>
          <t>chua_co_lo_nao</t>
        </is>
      </c>
      <c r="I3450" s="16" t="inlineStr">
        <is>
          <t>Đạt</t>
        </is>
      </c>
      <c r="J3450" s="16" t="n">
        <v>0.017</v>
      </c>
    </row>
    <row r="3451">
      <c r="A3451" s="16" t="n">
        <v>3447</v>
      </c>
      <c r="B3451" s="16" t="inlineStr">
        <is>
          <t>Backend</t>
        </is>
      </c>
      <c r="C3451" s="17" t="inlineStr">
        <is>
          <t>payout-service</t>
        </is>
      </c>
      <c r="D3451" s="16" t="inlineStr">
        <is>
          <t>Integration</t>
        </is>
      </c>
      <c r="E3451" s="17" t="inlineStr">
        <is>
          <t>PayoutRepositoryIT</t>
        </is>
      </c>
      <c r="F3451" s="17" t="inlineStr"/>
      <c r="G3451" s="17" t="inlineStr">
        <is>
          <t>Duyệt rồi đọc lại: giữ người duyệt và thời điểm duyệt; xác nhận ghi mã giao dịch và mốc hoàn tất</t>
        </is>
      </c>
      <c r="H3451" s="17" t="inlineStr">
        <is>
          <t>duyet_roi_doc_lai</t>
        </is>
      </c>
      <c r="I3451" s="16" t="inlineStr">
        <is>
          <t>Đạt</t>
        </is>
      </c>
      <c r="J3451" s="16" t="n">
        <v>0.037</v>
      </c>
    </row>
    <row r="3452">
      <c r="A3452" s="16" t="n">
        <v>3448</v>
      </c>
      <c r="B3452" s="16" t="inlineStr">
        <is>
          <t>Backend</t>
        </is>
      </c>
      <c r="C3452" s="17" t="inlineStr">
        <is>
          <t>payout-service</t>
        </is>
      </c>
      <c r="D3452" s="16" t="inlineStr">
        <is>
          <t>Integration</t>
        </is>
      </c>
      <c r="E3452" s="17" t="inlineStr">
        <is>
          <t>PayoutRepositoryIT</t>
        </is>
      </c>
      <c r="F3452" s="17" t="inlineStr"/>
      <c r="G3452" s="17" t="inlineStr">
        <is>
          <t>Tiền đang chuyển chỉ gồm lô chờ duyệt và đã duyệt — lô hoàn tất hay bị từ chối thì không</t>
        </is>
      </c>
      <c r="H3452" s="17" t="inlineStr">
        <is>
          <t>tien_dang_chuyen_bo_lo_da_ket_thuc</t>
        </is>
      </c>
      <c r="I3452" s="16" t="inlineStr">
        <is>
          <t>Đạt</t>
        </is>
      </c>
      <c r="J3452" s="16" t="n">
        <v>0.052</v>
      </c>
    </row>
    <row r="3453">
      <c r="A3453" s="16" t="n">
        <v>3449</v>
      </c>
      <c r="B3453" s="16" t="inlineStr">
        <is>
          <t>Backend</t>
        </is>
      </c>
      <c r="C3453" s="17" t="inlineStr">
        <is>
          <t>payout-service</t>
        </is>
      </c>
      <c r="D3453" s="16" t="inlineStr">
        <is>
          <t>Integration</t>
        </is>
      </c>
      <c r="E3453" s="17" t="inlineStr">
        <is>
          <t>PayoutRepositoryIT</t>
        </is>
      </c>
      <c r="F3453" s="17" t="inlineStr"/>
      <c r="G3453" s="17" t="inlineStr">
        <is>
          <t>Từ chối: lý do được ghi xuống, không có người duyệt</t>
        </is>
      </c>
      <c r="H3453" s="17" t="inlineStr">
        <is>
          <t>tu_choi_ghi_ly_do</t>
        </is>
      </c>
      <c r="I3453" s="16" t="inlineStr">
        <is>
          <t>Đạt</t>
        </is>
      </c>
      <c r="J3453" s="16" t="n">
        <v>0.016</v>
      </c>
    </row>
    <row r="3454">
      <c r="A3454" s="16" t="n">
        <v>3450</v>
      </c>
      <c r="B3454" s="16" t="inlineStr">
        <is>
          <t>Backend</t>
        </is>
      </c>
      <c r="C3454" s="17" t="inlineStr">
        <is>
          <t>ticketing-service</t>
        </is>
      </c>
      <c r="D3454" s="16" t="inlineStr">
        <is>
          <t>Integration</t>
        </is>
      </c>
      <c r="E3454" s="17" t="inlineStr">
        <is>
          <t>BuyerExportIT</t>
        </is>
      </c>
      <c r="F3454" s="17" t="inlineStr"/>
      <c r="G3454" s="17" t="inlineStr">
        <is>
          <t>Vắng mặt: vé còn hiệu lực chưa từng vào cửa, gom theo loại vé; không ghi nhật ký</t>
        </is>
      </c>
      <c r="H3454" s="17" t="inlineStr">
        <is>
          <t>vang_mat</t>
        </is>
      </c>
      <c r="I3454" s="16" t="inlineStr">
        <is>
          <t>Đạt</t>
        </is>
      </c>
      <c r="J3454" s="16" t="n">
        <v>0.305</v>
      </c>
    </row>
    <row r="3455">
      <c r="A3455" s="16" t="n">
        <v>3451</v>
      </c>
      <c r="B3455" s="16" t="inlineStr">
        <is>
          <t>Backend</t>
        </is>
      </c>
      <c r="C3455" s="17" t="inlineStr">
        <is>
          <t>ticketing-service</t>
        </is>
      </c>
      <c r="D3455" s="16" t="inlineStr">
        <is>
          <t>Integration</t>
        </is>
      </c>
      <c r="E3455" s="17" t="inlineStr">
        <is>
          <t>BuyerExportIT</t>
        </is>
      </c>
      <c r="F3455" s="17" t="inlineStr"/>
      <c r="G3455" s="17" t="inlineStr">
        <is>
          <t>Tổ chức khác xuất ra danh sách rỗng, kể cả khi truyền đúng mã suất</t>
        </is>
      </c>
      <c r="H3455" s="17" t="inlineStr">
        <is>
          <t>to_chuc_khac_khong_xuat_duoc</t>
        </is>
      </c>
      <c r="I3455" s="16" t="inlineStr">
        <is>
          <t>Đạt</t>
        </is>
      </c>
      <c r="J3455" s="16" t="n">
        <v>0.03</v>
      </c>
    </row>
    <row r="3456">
      <c r="A3456" s="16" t="n">
        <v>3452</v>
      </c>
      <c r="B3456" s="16" t="inlineStr">
        <is>
          <t>Backend</t>
        </is>
      </c>
      <c r="C3456" s="17" t="inlineStr">
        <is>
          <t>ticketing-service</t>
        </is>
      </c>
      <c r="D3456" s="16" t="inlineStr">
        <is>
          <t>Integration</t>
        </is>
      </c>
      <c r="E3456" s="17" t="inlineStr">
        <is>
          <t>BuyerExportIT</t>
        </is>
      </c>
      <c r="F3456" s="17" t="inlineStr"/>
      <c r="G3456" s="17" t="inlineStr">
        <is>
          <t>Mỗi lượt xuất ghi một dòng nhật ký với đúng người thực hiện; vé đã thu hồi không có mặt</t>
        </is>
      </c>
      <c r="H3456" s="17" t="inlineStr">
        <is>
          <t>xuat_co_ghi_nhat_ky</t>
        </is>
      </c>
      <c r="I3456" s="16" t="inlineStr">
        <is>
          <t>Đạt</t>
        </is>
      </c>
      <c r="J3456" s="16" t="n">
        <v>0.038</v>
      </c>
    </row>
    <row r="3457">
      <c r="A3457" s="16" t="n">
        <v>3453</v>
      </c>
      <c r="B3457" s="16" t="inlineStr">
        <is>
          <t>Backend</t>
        </is>
      </c>
      <c r="C3457" s="17" t="inlineStr">
        <is>
          <t>ticketing-service</t>
        </is>
      </c>
      <c r="D3457" s="16" t="inlineStr">
        <is>
          <t>Integration</t>
        </is>
      </c>
      <c r="E3457" s="17" t="inlineStr">
        <is>
          <t>BuyerExportIT</t>
        </is>
      </c>
      <c r="F3457" s="17" t="inlineStr"/>
      <c r="G3457" s="17" t="inlineStr">
        <is>
          <t>Không ghi được nhật ký thì không trả dữ liệu</t>
        </is>
      </c>
      <c r="H3457" s="17" t="inlineStr">
        <is>
          <t>khong_ghi_duoc_nhat_ky_thi_khong_xuat</t>
        </is>
      </c>
      <c r="I3457" s="16" t="inlineStr">
        <is>
          <t>Đạt</t>
        </is>
      </c>
      <c r="J3457" s="16" t="n">
        <v>0.027</v>
      </c>
    </row>
    <row r="3458">
      <c r="A3458" s="16" t="n">
        <v>3454</v>
      </c>
      <c r="B3458" s="16" t="inlineStr">
        <is>
          <t>Backend</t>
        </is>
      </c>
      <c r="C3458" s="17" t="inlineStr">
        <is>
          <t>ticketing-service</t>
        </is>
      </c>
      <c r="D3458" s="16" t="inlineStr">
        <is>
          <t>Integration</t>
        </is>
      </c>
      <c r="E3458" s="17" t="inlineStr">
        <is>
          <t>GateStatsIT</t>
        </is>
      </c>
      <c r="F3458" s="17" t="inlineStr"/>
      <c r="G3458" s="17" t="inlineStr">
        <is>
          <t>Vào, ra, vào lại và bị từ chối được đếm đúng nhánh; mốc đến tính theo lần vào đầu</t>
        </is>
      </c>
      <c r="H3458" s="17" t="inlineStr">
        <is>
          <t>hoat_dong_soat_ve</t>
        </is>
      </c>
      <c r="I3458" s="16" t="inlineStr">
        <is>
          <t>Đạt</t>
        </is>
      </c>
      <c r="J3458" s="16" t="n">
        <v>0.082</v>
      </c>
    </row>
    <row r="3459">
      <c r="A3459" s="16" t="n">
        <v>3455</v>
      </c>
      <c r="B3459" s="16" t="inlineStr">
        <is>
          <t>Backend</t>
        </is>
      </c>
      <c r="C3459" s="17" t="inlineStr">
        <is>
          <t>ticketing-service</t>
        </is>
      </c>
      <c r="D3459" s="16" t="inlineStr">
        <is>
          <t>Integration</t>
        </is>
      </c>
      <c r="E3459" s="17" t="inlineStr">
        <is>
          <t>GateStatsIT</t>
        </is>
      </c>
      <c r="F3459" s="17" t="inlineStr"/>
      <c r="G3459" s="17" t="inlineStr">
        <is>
          <t>Tổ chức khác không thấy nhật ký, kể cả khi truyền đúng mã suất; tên người mua bị che</t>
        </is>
      </c>
      <c r="H3459" s="17" t="inlineStr">
        <is>
          <t>khong_ro_sang_to_chuc_khac</t>
        </is>
      </c>
      <c r="I3459" s="16" t="inlineStr">
        <is>
          <t>Đạt</t>
        </is>
      </c>
      <c r="J3459" s="16" t="n">
        <v>0.07000000000000001</v>
      </c>
    </row>
    <row r="3460">
      <c r="A3460" s="16" t="n">
        <v>3456</v>
      </c>
      <c r="B3460" s="16" t="inlineStr">
        <is>
          <t>Backend</t>
        </is>
      </c>
      <c r="C3460" s="17" t="inlineStr">
        <is>
          <t>ticketing-service</t>
        </is>
      </c>
      <c r="D3460" s="16" t="inlineStr">
        <is>
          <t>Integration</t>
        </is>
      </c>
      <c r="E3460" s="17" t="inlineStr">
        <is>
          <t>IssueOnOrderPaidIT</t>
        </is>
      </c>
      <c r="F3460" s="17" t="inlineStr"/>
      <c r="G3460" s="17" t="inlineStr">
        <is>
          <t>Sự kiện đến hai lần: lần hai không phát thêm vé nào</t>
        </is>
      </c>
      <c r="H3460" s="17" t="inlineStr">
        <is>
          <t>su_kien_den_hai_lan</t>
        </is>
      </c>
      <c r="I3460" s="16" t="inlineStr">
        <is>
          <t>Đạt</t>
        </is>
      </c>
      <c r="J3460" s="16" t="n">
        <v>0.145</v>
      </c>
    </row>
    <row r="3461">
      <c r="A3461" s="16" t="n">
        <v>3457</v>
      </c>
      <c r="B3461" s="16" t="inlineStr">
        <is>
          <t>Backend</t>
        </is>
      </c>
      <c r="C3461" s="17" t="inlineStr">
        <is>
          <t>ticketing-service</t>
        </is>
      </c>
      <c r="D3461" s="16" t="inlineStr">
        <is>
          <t>Integration</t>
        </is>
      </c>
      <c r="E3461" s="17" t="inlineStr">
        <is>
          <t>IssueOnOrderPaidIT</t>
        </is>
      </c>
      <c r="F3461" s="17" t="inlineStr"/>
      <c r="G3461" s="17" t="inlineStr">
        <is>
          <t>Đơn đã thanh toán: phát đúng một vé cho mỗi dòng đơn</t>
        </is>
      </c>
      <c r="H3461" s="17" t="inlineStr">
        <is>
          <t>phat_ve_cho_don_da_thanh_toan</t>
        </is>
      </c>
      <c r="I3461" s="16" t="inlineStr">
        <is>
          <t>Đạt</t>
        </is>
      </c>
      <c r="J3461" s="16" t="n">
        <v>0.02</v>
      </c>
    </row>
    <row r="3462">
      <c r="A3462" s="16" t="n">
        <v>3458</v>
      </c>
      <c r="B3462" s="16" t="inlineStr">
        <is>
          <t>Backend</t>
        </is>
      </c>
      <c r="C3462" s="17" t="inlineStr">
        <is>
          <t>ticketing-service</t>
        </is>
      </c>
      <c r="D3462" s="16" t="inlineStr">
        <is>
          <t>Integration</t>
        </is>
      </c>
      <c r="E3462" s="17" t="inlineStr">
        <is>
          <t>IssueOnOrderPaidIT</t>
        </is>
      </c>
      <c r="F3462" s="17" t="inlineStr"/>
      <c r="G3462" s="17" t="inlineStr">
        <is>
          <t>Đơn đã hoàn tiền: KHÔNG phát vé, dù sự kiện tên là order.paid</t>
        </is>
      </c>
      <c r="H3462" s="17" t="inlineStr">
        <is>
          <t>don_da_hoan_tien_thi_khong_phat</t>
        </is>
      </c>
      <c r="I3462" s="16" t="inlineStr">
        <is>
          <t>Đạt</t>
        </is>
      </c>
      <c r="J3462" s="16" t="n">
        <v>0.008999999999999999</v>
      </c>
    </row>
    <row r="3463">
      <c r="A3463" s="16" t="n">
        <v>3459</v>
      </c>
      <c r="B3463" s="16" t="inlineStr">
        <is>
          <t>Backend</t>
        </is>
      </c>
      <c r="C3463" s="17" t="inlineStr">
        <is>
          <t>ticketing-service</t>
        </is>
      </c>
      <c r="D3463" s="16" t="inlineStr">
        <is>
          <t>Integration</t>
        </is>
      </c>
      <c r="E3463" s="17" t="inlineStr">
        <is>
          <t>IssueOnOrderPaidIT</t>
        </is>
      </c>
      <c r="F3463" s="17" t="inlineStr"/>
      <c r="G3463" s="17" t="inlineStr">
        <is>
          <t>Đơn không có dòng nào: không phát vé và không nổ</t>
        </is>
      </c>
      <c r="H3463" s="17" t="inlineStr">
        <is>
          <t>don_rong</t>
        </is>
      </c>
      <c r="I3463" s="16" t="inlineStr">
        <is>
          <t>Đạt</t>
        </is>
      </c>
      <c r="J3463" s="16" t="n">
        <v>0.005</v>
      </c>
    </row>
    <row r="3464">
      <c r="A3464" s="16" t="n">
        <v>3460</v>
      </c>
      <c r="B3464" s="16" t="inlineStr">
        <is>
          <t>Backend</t>
        </is>
      </c>
      <c r="C3464" s="17" t="inlineStr">
        <is>
          <t>ticketing-service</t>
        </is>
      </c>
      <c r="D3464" s="16" t="inlineStr">
        <is>
          <t>Integration</t>
        </is>
      </c>
      <c r="E3464" s="17" t="inlineStr">
        <is>
          <t>IssueOnOrderPaidIT</t>
        </is>
      </c>
      <c r="F3464" s="17" t="inlineStr"/>
      <c r="G3464" s="17" t="inlineStr">
        <is>
          <t>Đơn chưa thanh toán: không phát vé</t>
        </is>
      </c>
      <c r="H3464" s="17" t="inlineStr">
        <is>
          <t>don_chua_thanh_toan</t>
        </is>
      </c>
      <c r="I3464" s="16" t="inlineStr">
        <is>
          <t>Đạt</t>
        </is>
      </c>
      <c r="J3464" s="16" t="n">
        <v>0.005</v>
      </c>
    </row>
    <row r="3465">
      <c r="A3465" s="16" t="n">
        <v>3461</v>
      </c>
      <c r="B3465" s="16" t="inlineStr">
        <is>
          <t>Backend</t>
        </is>
      </c>
      <c r="C3465" s="17" t="inlineStr">
        <is>
          <t>ticketing-service</t>
        </is>
      </c>
      <c r="D3465" s="16" t="inlineStr">
        <is>
          <t>Integration</t>
        </is>
      </c>
      <c r="E3465" s="17" t="inlineStr">
        <is>
          <t>IssueOnOrderPaidIT</t>
        </is>
      </c>
      <c r="F3465" s="17" t="inlineStr"/>
      <c r="G3465" s="17" t="inlineStr">
        <is>
          <t>Ordering không đọc được: ném ra để message được giao lại</t>
        </is>
      </c>
      <c r="H3465" s="17" t="inlineStr">
        <is>
          <t>ordering_hong_thi_nem</t>
        </is>
      </c>
      <c r="I3465" s="16" t="inlineStr">
        <is>
          <t>Đạt</t>
        </is>
      </c>
      <c r="J3465" s="16" t="n">
        <v>0.006</v>
      </c>
    </row>
    <row r="3466">
      <c r="A3466" s="16" t="n">
        <v>3462</v>
      </c>
      <c r="B3466" s="16" t="inlineStr">
        <is>
          <t>Backend</t>
        </is>
      </c>
      <c r="C3466" s="17" t="inlineStr">
        <is>
          <t>ticketing-service</t>
        </is>
      </c>
      <c r="D3466" s="16" t="inlineStr">
        <is>
          <t>Integration</t>
        </is>
      </c>
      <c r="E3466" s="17" t="inlineStr">
        <is>
          <t>OfflineCheckinIT</t>
        </is>
      </c>
      <c r="F3466" s="17" t="inlineStr"/>
      <c r="G3466" s="17" t="inlineStr">
        <is>
          <t>Hai máy offline cùng cho một vé vào: ghi cả hai, lượt sau là xung đột</t>
        </is>
      </c>
      <c r="H3466" s="17" t="inlineStr">
        <is>
          <t>xung_dot_hai_may</t>
        </is>
      </c>
      <c r="I3466" s="16" t="inlineStr">
        <is>
          <t>Đạt</t>
        </is>
      </c>
      <c r="J3466" s="16" t="n">
        <v>0.749</v>
      </c>
    </row>
    <row r="3467">
      <c r="A3467" s="16" t="n">
        <v>3463</v>
      </c>
      <c r="B3467" s="16" t="inlineStr">
        <is>
          <t>Backend</t>
        </is>
      </c>
      <c r="C3467" s="17" t="inlineStr">
        <is>
          <t>ticketing-service</t>
        </is>
      </c>
      <c r="D3467" s="16" t="inlineStr">
        <is>
          <t>Integration</t>
        </is>
      </c>
      <c r="E3467" s="17" t="inlineStr">
        <is>
          <t>OfflineCheckinIT</t>
        </is>
      </c>
      <c r="F3467" s="17" t="inlineStr"/>
      <c r="G3467" s="17" t="inlineStr">
        <is>
          <t>Gói dữ liệu: khoá công khai thô 32 byte, vé kèm liên lạc ĐÃ CHE; tải bù chỉ phần đổi</t>
        </is>
      </c>
      <c r="H3467" s="17" t="inlineStr">
        <is>
          <t>goi_du_lieu</t>
        </is>
      </c>
      <c r="I3467" s="16" t="inlineStr">
        <is>
          <t>Đạt</t>
        </is>
      </c>
      <c r="J3467" s="16" t="n">
        <v>0.135</v>
      </c>
    </row>
    <row r="3468">
      <c r="A3468" s="16" t="n">
        <v>3464</v>
      </c>
      <c r="B3468" s="16" t="inlineStr">
        <is>
          <t>Backend</t>
        </is>
      </c>
      <c r="C3468" s="17" t="inlineStr">
        <is>
          <t>ticketing-service</t>
        </is>
      </c>
      <c r="D3468" s="16" t="inlineStr">
        <is>
          <t>Integration</t>
        </is>
      </c>
      <c r="E3468" s="17" t="inlineStr">
        <is>
          <t>OfflineCheckinIT</t>
        </is>
      </c>
      <c r="F3468" s="17" t="inlineStr"/>
      <c r="G3468" s="17" t="inlineStr">
        <is>
          <t>Mã còn hạn lúc quét nhưng hết hạn lúc gửi: vẫn hợp lệ — kiểm theo thời điểm quét</t>
        </is>
      </c>
      <c r="H3468" s="17" t="inlineStr">
        <is>
          <t>ma_het_han_luc_gui</t>
        </is>
      </c>
      <c r="I3468" s="16" t="inlineStr">
        <is>
          <t>Đạt</t>
        </is>
      </c>
      <c r="J3468" s="16" t="n">
        <v>0.111</v>
      </c>
    </row>
    <row r="3469">
      <c r="A3469" s="16" t="n">
        <v>3465</v>
      </c>
      <c r="B3469" s="16" t="inlineStr">
        <is>
          <t>Backend</t>
        </is>
      </c>
      <c r="C3469" s="17" t="inlineStr">
        <is>
          <t>ticketing-service</t>
        </is>
      </c>
      <c r="D3469" s="16" t="inlineStr">
        <is>
          <t>Integration</t>
        </is>
      </c>
      <c r="E3469" s="17" t="inlineStr">
        <is>
          <t>OfflineCheckinIT</t>
        </is>
      </c>
      <c r="F3469" s="17" t="inlineStr"/>
      <c r="G3469" s="17" t="inlineStr">
        <is>
          <t>Vé bị thu hồi trong lúc máy offline: server từ chối, đánh dấu xung đột</t>
        </is>
      </c>
      <c r="H3469" s="17" t="inlineStr">
        <is>
          <t>ve_thu_hoi_khi_offline</t>
        </is>
      </c>
      <c r="I3469" s="16" t="inlineStr">
        <is>
          <t>Đạt</t>
        </is>
      </c>
      <c r="J3469" s="16" t="n">
        <v>0.11</v>
      </c>
    </row>
    <row r="3470">
      <c r="A3470" s="16" t="n">
        <v>3466</v>
      </c>
      <c r="B3470" s="16" t="inlineStr">
        <is>
          <t>Backend</t>
        </is>
      </c>
      <c r="C3470" s="17" t="inlineStr">
        <is>
          <t>ticketing-service</t>
        </is>
      </c>
      <c r="D3470" s="16" t="inlineStr">
        <is>
          <t>Integration</t>
        </is>
      </c>
      <c r="E3470" s="17" t="inlineStr">
        <is>
          <t>OfflineCheckinIT</t>
        </is>
      </c>
      <c r="F3470" s="17" t="inlineStr"/>
      <c r="G3470" s="17" t="inlineStr">
        <is>
          <t>Đồng bộ lô: chạy lại đúng logic soát vé theo thứ tự quét, đánh dấu offline, tính vào tổng kết ca</t>
        </is>
      </c>
      <c r="H3470" s="17" t="inlineStr">
        <is>
          <t>dong_bo_lo</t>
        </is>
      </c>
      <c r="I3470" s="16" t="inlineStr">
        <is>
          <t>Đạt</t>
        </is>
      </c>
      <c r="J3470" s="16" t="n">
        <v>0.422</v>
      </c>
    </row>
    <row r="3471">
      <c r="A3471" s="16" t="n">
        <v>3467</v>
      </c>
      <c r="B3471" s="16" t="inlineStr">
        <is>
          <t>Backend</t>
        </is>
      </c>
      <c r="C3471" s="17" t="inlineStr">
        <is>
          <t>ticketing-service</t>
        </is>
      </c>
      <c r="D3471" s="16" t="inlineStr">
        <is>
          <t>Integration</t>
        </is>
      </c>
      <c r="E3471" s="17" t="inlineStr">
        <is>
          <t>OfflineCheckinIT</t>
        </is>
      </c>
      <c r="F3471" s="17" t="inlineStr"/>
      <c r="G3471" s="17" t="inlineStr">
        <is>
          <t>Tìm khách theo tên không dấu, email, SĐT; cho vào cần đối chiếu giấy tờ và đi qua đủ kiểm tra</t>
        </is>
      </c>
      <c r="H3471" s="17" t="inlineStr">
        <is>
          <t>tim_khach_va_cho_vao</t>
        </is>
      </c>
      <c r="I3471" s="16" t="inlineStr">
        <is>
          <t>Đạt</t>
        </is>
      </c>
      <c r="J3471" s="16" t="n">
        <v>0.382</v>
      </c>
    </row>
    <row r="3472">
      <c r="A3472" s="16" t="n">
        <v>3468</v>
      </c>
      <c r="B3472" s="16" t="inlineStr">
        <is>
          <t>Backend</t>
        </is>
      </c>
      <c r="C3472" s="17" t="inlineStr">
        <is>
          <t>ticketing-service</t>
        </is>
      </c>
      <c r="D3472" s="16" t="inlineStr">
        <is>
          <t>Integration</t>
        </is>
      </c>
      <c r="E3472" s="17" t="inlineStr">
        <is>
          <t>OfflineCheckinIT</t>
        </is>
      </c>
      <c r="F3472" s="17" t="inlineStr"/>
      <c r="G3472" s="17" t="inlineStr">
        <is>
          <t>Lượt offline ngoài ca: không được ghi như lượt soát hợp lệ, máy đã cho vào thì là xung đột</t>
        </is>
      </c>
      <c r="H3472" s="17" t="inlineStr">
        <is>
          <t>offline_ngoai_ca</t>
        </is>
      </c>
      <c r="I3472" s="16" t="inlineStr">
        <is>
          <t>Đạt</t>
        </is>
      </c>
      <c r="J3472" s="16" t="n">
        <v>0.08799999999999999</v>
      </c>
    </row>
    <row r="3473">
      <c r="A3473" s="16" t="n">
        <v>3469</v>
      </c>
      <c r="B3473" s="16" t="inlineStr">
        <is>
          <t>Backend</t>
        </is>
      </c>
      <c r="C3473" s="17" t="inlineStr">
        <is>
          <t>ticketing-service</t>
        </is>
      </c>
      <c r="D3473" s="16" t="inlineStr">
        <is>
          <t>Integration</t>
        </is>
      </c>
      <c r="E3473" s="17" t="inlineStr">
        <is>
          <t>OfflineCheckinIT</t>
        </is>
      </c>
      <c r="F3473" s="17" t="inlineStr"/>
      <c r="G3473" s="17" t="inlineStr">
        <is>
          <t>Gửi trùng cùng clientScanId: trả kết quả cũ, không ghi lần hai</t>
        </is>
      </c>
      <c r="H3473" s="17" t="inlineStr">
        <is>
          <t>gui_trung</t>
        </is>
      </c>
      <c r="I3473" s="16" t="inlineStr">
        <is>
          <t>Đạt</t>
        </is>
      </c>
      <c r="J3473" s="16" t="n">
        <v>0.26</v>
      </c>
    </row>
    <row r="3474">
      <c r="A3474" s="16" t="n">
        <v>3470</v>
      </c>
      <c r="B3474" s="16" t="inlineStr">
        <is>
          <t>Backend</t>
        </is>
      </c>
      <c r="C3474" s="17" t="inlineStr">
        <is>
          <t>ticketing-service</t>
        </is>
      </c>
      <c r="D3474" s="16" t="inlineStr">
        <is>
          <t>Integration</t>
        </is>
      </c>
      <c r="E3474" s="17" t="inlineStr">
        <is>
          <t>QrTokenIT</t>
        </is>
      </c>
      <c r="F3474" s="17" t="inlineStr"/>
      <c r="G3474" s="17" t="inlineStr">
        <is>
          <t>Mã QR chỉ chứa jti và exp — không có dữ liệu cá nhân nào</t>
        </is>
      </c>
      <c r="H3474" s="17" t="inlineStr">
        <is>
          <t>ma_qr_khong_chua_du_lieu_ca_nhan</t>
        </is>
      </c>
      <c r="I3474" s="16" t="inlineStr">
        <is>
          <t>Đạt</t>
        </is>
      </c>
      <c r="J3474" s="16" t="n">
        <v>0.012</v>
      </c>
    </row>
    <row r="3475">
      <c r="A3475" s="16" t="n">
        <v>3471</v>
      </c>
      <c r="B3475" s="16" t="inlineStr">
        <is>
          <t>Backend</t>
        </is>
      </c>
      <c r="C3475" s="17" t="inlineStr">
        <is>
          <t>ticketing-service</t>
        </is>
      </c>
      <c r="D3475" s="16" t="inlineStr">
        <is>
          <t>Integration</t>
        </is>
      </c>
      <c r="E3475" s="17" t="inlineStr">
        <is>
          <t>QrTokenIT</t>
        </is>
      </c>
      <c r="F3475" s="17" t="inlineStr"/>
      <c r="G3475" s="17" t="inlineStr">
        <is>
          <t>Xoay khoá KHÔNG vô hiệu vé đã phát hành</t>
        </is>
      </c>
      <c r="H3475" s="17" t="inlineStr">
        <is>
          <t>xoay_khoa_khong_vo_hieu_ve_cu</t>
        </is>
      </c>
      <c r="I3475" s="16" t="inlineStr">
        <is>
          <t>Đạt</t>
        </is>
      </c>
      <c r="J3475" s="16" t="n">
        <v>0.023</v>
      </c>
    </row>
    <row r="3476">
      <c r="A3476" s="16" t="n">
        <v>3472</v>
      </c>
      <c r="B3476" s="16" t="inlineStr">
        <is>
          <t>Backend</t>
        </is>
      </c>
      <c r="C3476" s="17" t="inlineStr">
        <is>
          <t>ticketing-service</t>
        </is>
      </c>
      <c r="D3476" s="16" t="inlineStr">
        <is>
          <t>Integration</t>
        </is>
      </c>
      <c r="E3476" s="17" t="inlineStr">
        <is>
          <t>QrTokenIT</t>
        </is>
      </c>
      <c r="F3476" s="17" t="inlineStr"/>
      <c r="G3476" s="17" t="inlineStr">
        <is>
          <t>Token bị sửa một ký tự: từ chối</t>
        </is>
      </c>
      <c r="H3476" s="17" t="inlineStr">
        <is>
          <t>token_bi_sua_thi_tu_choi</t>
        </is>
      </c>
      <c r="I3476" s="16" t="inlineStr">
        <is>
          <t>Đạt</t>
        </is>
      </c>
      <c r="J3476" s="16" t="n">
        <v>0.01</v>
      </c>
    </row>
    <row r="3477">
      <c r="A3477" s="16" t="n">
        <v>3473</v>
      </c>
      <c r="B3477" s="16" t="inlineStr">
        <is>
          <t>Backend</t>
        </is>
      </c>
      <c r="C3477" s="17" t="inlineStr">
        <is>
          <t>ticketing-service</t>
        </is>
      </c>
      <c r="D3477" s="16" t="inlineStr">
        <is>
          <t>Integration</t>
        </is>
      </c>
      <c r="E3477" s="17" t="inlineStr">
        <is>
          <t>QrTokenIT</t>
        </is>
      </c>
      <c r="F3477" s="17" t="inlineStr"/>
      <c r="G3477" s="17" t="inlineStr">
        <is>
          <t>Token vừa ký thì verify được và trả đúng jti</t>
        </is>
      </c>
      <c r="H3477" s="17" t="inlineStr">
        <is>
          <t>ky_roi_verify_duoc</t>
        </is>
      </c>
      <c r="I3477" s="16" t="inlineStr">
        <is>
          <t>Đạt</t>
        </is>
      </c>
      <c r="J3477" s="16" t="n">
        <v>0.007</v>
      </c>
    </row>
    <row r="3478">
      <c r="A3478" s="16" t="n">
        <v>3474</v>
      </c>
      <c r="B3478" s="16" t="inlineStr">
        <is>
          <t>Backend</t>
        </is>
      </c>
      <c r="C3478" s="17" t="inlineStr">
        <is>
          <t>ticketing-service</t>
        </is>
      </c>
      <c r="D3478" s="16" t="inlineStr">
        <is>
          <t>Integration</t>
        </is>
      </c>
      <c r="E3478" s="17" t="inlineStr">
        <is>
          <t>QrTokenIT</t>
        </is>
      </c>
      <c r="F3478" s="17" t="inlineStr"/>
      <c r="G3478" s="17" t="inlineStr">
        <is>
          <t>Rác và token thiếu đoạn: từ chối, không ném</t>
        </is>
      </c>
      <c r="H3478" s="17" t="inlineStr">
        <is>
          <t>rac_thi_tu_choi_khong_nem</t>
        </is>
      </c>
      <c r="I3478" s="16" t="inlineStr">
        <is>
          <t>Đạt</t>
        </is>
      </c>
      <c r="J3478" s="16" t="n">
        <v>0.006</v>
      </c>
    </row>
    <row r="3479">
      <c r="A3479" s="16" t="n">
        <v>3475</v>
      </c>
      <c r="B3479" s="16" t="inlineStr">
        <is>
          <t>Backend</t>
        </is>
      </c>
      <c r="C3479" s="17" t="inlineStr">
        <is>
          <t>ticketing-service</t>
        </is>
      </c>
      <c r="D3479" s="16" t="inlineStr">
        <is>
          <t>Integration</t>
        </is>
      </c>
      <c r="E3479" s="17" t="inlineStr">
        <is>
          <t>QrTokenIT</t>
        </is>
      </c>
      <c r="F3479" s="17" t="inlineStr"/>
      <c r="G3479" s="17" t="inlineStr">
        <is>
          <t>Token hết hạn: từ chối, dù chữ ký vẫn đúng</t>
        </is>
      </c>
      <c r="H3479" s="17" t="inlineStr">
        <is>
          <t>token_het_han_thi_tu_choi</t>
        </is>
      </c>
      <c r="I3479" s="16" t="inlineStr">
        <is>
          <t>Đạt</t>
        </is>
      </c>
      <c r="J3479" s="16" t="n">
        <v>0.018</v>
      </c>
    </row>
    <row r="3480">
      <c r="A3480" s="16" t="n">
        <v>3476</v>
      </c>
      <c r="B3480" s="16" t="inlineStr">
        <is>
          <t>Backend</t>
        </is>
      </c>
      <c r="C3480" s="17" t="inlineStr">
        <is>
          <t>ticketing-service</t>
        </is>
      </c>
      <c r="D3480" s="16" t="inlineStr">
        <is>
          <t>Integration</t>
        </is>
      </c>
      <c r="E3480" s="17" t="inlineStr">
        <is>
          <t>QrTokenIT</t>
        </is>
      </c>
      <c r="F3480" s="17" t="inlineStr"/>
      <c r="G3480" s="17" t="inlineStr">
        <is>
          <t>Vé mới mang kid mới, vé cũ giữ kid cũ</t>
        </is>
      </c>
      <c r="H3480" s="17" t="inlineStr">
        <is>
          <t>kid_doi_theo_khoa</t>
        </is>
      </c>
      <c r="I3480" s="16" t="inlineStr">
        <is>
          <t>Đạt</t>
        </is>
      </c>
      <c r="J3480" s="16" t="n">
        <v>0.027</v>
      </c>
    </row>
    <row r="3481">
      <c r="A3481" s="16" t="n">
        <v>3477</v>
      </c>
      <c r="B3481" s="16" t="inlineStr">
        <is>
          <t>Backend</t>
        </is>
      </c>
      <c r="C3481" s="17" t="inlineStr">
        <is>
          <t>ticketing-service</t>
        </is>
      </c>
      <c r="D3481" s="16" t="inlineStr">
        <is>
          <t>Integration</t>
        </is>
      </c>
      <c r="E3481" s="17" t="inlineStr">
        <is>
          <t>ShiftIT</t>
        </is>
      </c>
      <c r="F3481" s="17" t="inlineStr"/>
      <c r="G3481" s="17" t="inlineStr">
        <is>
          <t>Quét ngoài ca bị từ chối: ca chưa tới giờ (quá 30 phút sớm), và ca đã kết thúc</t>
        </is>
      </c>
      <c r="H3481" s="17" t="inlineStr">
        <is>
          <t>ngoai_ca_bi_tu_choi</t>
        </is>
      </c>
      <c r="I3481" s="16" t="inlineStr">
        <is>
          <t>Đạt</t>
        </is>
      </c>
      <c r="J3481" s="16" t="n">
        <v>0.075</v>
      </c>
    </row>
    <row r="3482">
      <c r="A3482" s="16" t="n">
        <v>3478</v>
      </c>
      <c r="B3482" s="16" t="inlineStr">
        <is>
          <t>Backend</t>
        </is>
      </c>
      <c r="C3482" s="17" t="inlineStr">
        <is>
          <t>ticketing-service</t>
        </is>
      </c>
      <c r="D3482" s="16" t="inlineStr">
        <is>
          <t>Integration</t>
        </is>
      </c>
      <c r="E3482" s="17" t="inlineStr">
        <is>
          <t>ShiftIT</t>
        </is>
      </c>
      <c r="F3482" s="17" t="inlineStr"/>
      <c r="G3482" s="17" t="inlineStr">
        <is>
          <t>Người quản lý sự kiện không bị ràng buộc ca</t>
        </is>
      </c>
      <c r="H3482" s="17" t="inlineStr">
        <is>
          <t>quan_ly_khong_can_ca</t>
        </is>
      </c>
      <c r="I3482" s="16" t="inlineStr">
        <is>
          <t>Đạt</t>
        </is>
      </c>
      <c r="J3482" s="16" t="n">
        <v>0.008999999999999999</v>
      </c>
    </row>
    <row r="3483">
      <c r="A3483" s="16" t="n">
        <v>3479</v>
      </c>
      <c r="B3483" s="16" t="inlineStr">
        <is>
          <t>Backend</t>
        </is>
      </c>
      <c r="C3483" s="17" t="inlineStr">
        <is>
          <t>ticketing-service</t>
        </is>
      </c>
      <c r="D3483" s="16" t="inlineStr">
        <is>
          <t>Integration</t>
        </is>
      </c>
      <c r="E3483" s="17" t="inlineStr">
        <is>
          <t>ShiftIT</t>
        </is>
      </c>
      <c r="F3483" s="17" t="inlineStr"/>
      <c r="G3483" s="17" t="inlineStr">
        <is>
          <t>Nhân viên chỉ quét được trong ca đã bắt đầu của đúng suất; cổng lấy theo ca</t>
        </is>
      </c>
      <c r="H3483" s="17" t="inlineStr">
        <is>
          <t>chi_quet_trong_ca</t>
        </is>
      </c>
      <c r="I3483" s="16" t="inlineStr">
        <is>
          <t>Đạt</t>
        </is>
      </c>
      <c r="J3483" s="16" t="n">
        <v>0.068</v>
      </c>
    </row>
    <row r="3484">
      <c r="A3484" s="16" t="n">
        <v>3480</v>
      </c>
      <c r="B3484" s="16" t="inlineStr">
        <is>
          <t>Backend</t>
        </is>
      </c>
      <c r="C3484" s="17" t="inlineStr">
        <is>
          <t>ticketing-service</t>
        </is>
      </c>
      <c r="D3484" s="16" t="inlineStr">
        <is>
          <t>Integration</t>
        </is>
      </c>
      <c r="E3484" s="17" t="inlineStr">
        <is>
          <t>ShiftIT</t>
        </is>
      </c>
      <c r="F3484" s="17" t="inlineStr"/>
      <c r="G3484" s="17" t="inlineStr">
        <is>
          <t>Kết thúc ca: tổng kết đúng số vào, ra, từ chối của chính nhân viên trong ca</t>
        </is>
      </c>
      <c r="H3484" s="17" t="inlineStr">
        <is>
          <t>tong_ket_ca</t>
        </is>
      </c>
      <c r="I3484" s="16" t="inlineStr">
        <is>
          <t>Đạt</t>
        </is>
      </c>
      <c r="J3484" s="16" t="n">
        <v>0.149</v>
      </c>
    </row>
    <row r="3485">
      <c r="A3485" s="16" t="n">
        <v>3481</v>
      </c>
      <c r="B3485" s="16" t="inlineStr">
        <is>
          <t>Backend</t>
        </is>
      </c>
      <c r="C3485" s="17" t="inlineStr">
        <is>
          <t>ticketing-service</t>
        </is>
      </c>
      <c r="D3485" s="16" t="inlineStr">
        <is>
          <t>Integration</t>
        </is>
      </c>
      <c r="E3485" s="17" t="inlineStr">
        <is>
          <t>ShiftIT</t>
        </is>
      </c>
      <c r="F3485" s="17" t="inlineStr"/>
      <c r="G3485" s="17" t="inlineStr">
        <is>
          <t>Không xếp được ca cho người chưa được gán sự kiện ở mục Nhân sự</t>
        </is>
      </c>
      <c r="H3485" s="17" t="inlineStr">
        <is>
          <t>ca_can_nhan_vien_da_duoc_gan</t>
        </is>
      </c>
      <c r="I3485" s="16" t="inlineStr">
        <is>
          <t>Đạt</t>
        </is>
      </c>
      <c r="J3485" s="16" t="n">
        <v>0.043</v>
      </c>
    </row>
    <row r="3486">
      <c r="A3486" s="16" t="n">
        <v>3482</v>
      </c>
      <c r="B3486" s="16" t="inlineStr">
        <is>
          <t>Backend</t>
        </is>
      </c>
      <c r="C3486" s="17" t="inlineStr">
        <is>
          <t>ticketing-service</t>
        </is>
      </c>
      <c r="D3486" s="16" t="inlineStr">
        <is>
          <t>Integration</t>
        </is>
      </c>
      <c r="E3486" s="17" t="inlineStr">
        <is>
          <t>ShiftIT</t>
        </is>
      </c>
      <c r="F3486" s="17" t="inlineStr"/>
      <c r="G3486" s="17" t="inlineStr">
        <is>
          <t>Sớm 30 phút thì bắt đầu được; kết thúc ca thì hết quyền quét ngay</t>
        </is>
      </c>
      <c r="H3486" s="17" t="inlineStr">
        <is>
          <t>som_30_phut_va_ket_thuc</t>
        </is>
      </c>
      <c r="I3486" s="16" t="inlineStr">
        <is>
          <t>Đạt</t>
        </is>
      </c>
      <c r="J3486" s="16" t="n">
        <v>0.056</v>
      </c>
    </row>
    <row r="3487">
      <c r="A3487" s="16" t="n">
        <v>3483</v>
      </c>
      <c r="B3487" s="16" t="inlineStr">
        <is>
          <t>Backend</t>
        </is>
      </c>
      <c r="C3487" s="17" t="inlineStr">
        <is>
          <t>ticketing-service</t>
        </is>
      </c>
      <c r="D3487" s="16" t="inlineStr">
        <is>
          <t>Integration</t>
        </is>
      </c>
      <c r="E3487" s="17" t="inlineStr">
        <is>
          <t>TicketCheckinIT</t>
        </is>
      </c>
      <c r="F3487" s="17" t="inlineStr"/>
      <c r="G3487" s="17" t="inlineStr">
        <is>
          <t>Soát vé hợp lệ: cho qua, và server trả nhãn ghế để hiện lên máy</t>
        </is>
      </c>
      <c r="H3487" s="17" t="inlineStr">
        <is>
          <t>soat_ve_hop_le</t>
        </is>
      </c>
      <c r="I3487" s="16" t="inlineStr">
        <is>
          <t>Đạt</t>
        </is>
      </c>
      <c r="J3487" s="16" t="n">
        <v>0.022</v>
      </c>
    </row>
    <row r="3488">
      <c r="A3488" s="16" t="n">
        <v>3484</v>
      </c>
      <c r="B3488" s="16" t="inlineStr">
        <is>
          <t>Backend</t>
        </is>
      </c>
      <c r="C3488" s="17" t="inlineStr">
        <is>
          <t>ticketing-service</t>
        </is>
      </c>
      <c r="D3488" s="16" t="inlineStr">
        <is>
          <t>Integration</t>
        </is>
      </c>
      <c r="E3488" s="17" t="inlineStr">
        <is>
          <t>TicketCheckinIT</t>
        </is>
      </c>
      <c r="F3488" s="17" t="inlineStr"/>
      <c r="G3488" s="17" t="inlineStr">
        <is>
          <t>QR hỏng: gõ mã vé đi qua cùng bộ kiểm tra, và nhật ký ghi rõ là gõ tay</t>
        </is>
      </c>
      <c r="H3488" s="17" t="inlineStr">
        <is>
          <t>nhap_ma_ve_thu_cong</t>
        </is>
      </c>
      <c r="I3488" s="16" t="inlineStr">
        <is>
          <t>Đạt</t>
        </is>
      </c>
      <c r="J3488" s="16" t="n">
        <v>0.02</v>
      </c>
    </row>
    <row r="3489">
      <c r="A3489" s="16" t="n">
        <v>3485</v>
      </c>
      <c r="B3489" s="16" t="inlineStr">
        <is>
          <t>Backend</t>
        </is>
      </c>
      <c r="C3489" s="17" t="inlineStr">
        <is>
          <t>ticketing-service</t>
        </is>
      </c>
      <c r="D3489" s="16" t="inlineStr">
        <is>
          <t>Integration</t>
        </is>
      </c>
      <c r="E3489" s="17" t="inlineStr">
        <is>
          <t>TicketCheckinIT</t>
        </is>
      </c>
      <c r="F3489" s="17" t="inlineStr"/>
      <c r="G3489" s="17" t="inlineStr">
        <is>
          <t>Vào → ra → vào lại: đếm đúng số lần vào, và chỉ MỘT sự kiện check-in cho vé</t>
        </is>
      </c>
      <c r="H3489" s="17" t="inlineStr">
        <is>
          <t>vao_ra_vao_lai</t>
        </is>
      </c>
      <c r="I3489" s="16" t="inlineStr">
        <is>
          <t>Đạt</t>
        </is>
      </c>
      <c r="J3489" s="16" t="n">
        <v>0.042</v>
      </c>
    </row>
    <row r="3490">
      <c r="A3490" s="16" t="n">
        <v>3486</v>
      </c>
      <c r="B3490" s="16" t="inlineStr">
        <is>
          <t>Backend</t>
        </is>
      </c>
      <c r="C3490" s="17" t="inlineStr">
        <is>
          <t>ticketing-service</t>
        </is>
      </c>
      <c r="D3490" s="16" t="inlineStr">
        <is>
          <t>Integration</t>
        </is>
      </c>
      <c r="E3490" s="17" t="inlineStr">
        <is>
          <t>TicketCheckinIT</t>
        </is>
      </c>
      <c r="F3490" s="17" t="inlineStr"/>
      <c r="G3490" s="17" t="inlineStr">
        <is>
          <t>Hai máy quét cùng một vé cùng lúc: đúng MỘT máy cho qua</t>
        </is>
      </c>
      <c r="H3490" s="17" t="inlineStr">
        <is>
          <t>hai_may_quet_cung_luc</t>
        </is>
      </c>
      <c r="I3490" s="16" t="inlineStr">
        <is>
          <t>Đạt</t>
        </is>
      </c>
      <c r="J3490" s="16" t="n">
        <v>0.038</v>
      </c>
    </row>
    <row r="3491">
      <c r="A3491" s="16" t="n">
        <v>3487</v>
      </c>
      <c r="B3491" s="16" t="inlineStr">
        <is>
          <t>Backend</t>
        </is>
      </c>
      <c r="C3491" s="17" t="inlineStr">
        <is>
          <t>ticketing-service</t>
        </is>
      </c>
      <c r="D3491" s="16" t="inlineStr">
        <is>
          <t>Integration</t>
        </is>
      </c>
      <c r="E3491" s="17" t="inlineStr">
        <is>
          <t>TicketCheckinIT</t>
        </is>
      </c>
      <c r="F3491" s="17" t="inlineStr"/>
      <c r="G3491" s="17" t="inlineStr">
        <is>
          <t>Chữ ký hợp lệ nhưng không có vé nào mang mã đó: NOT_FOUND</t>
        </is>
      </c>
      <c r="H3491" s="17" t="inlineStr">
        <is>
          <t>chu_ky_dung_nhung_khong_co_ve</t>
        </is>
      </c>
      <c r="I3491" s="16" t="inlineStr">
        <is>
          <t>Đạt</t>
        </is>
      </c>
      <c r="J3491" s="16" t="n">
        <v>0.012</v>
      </c>
    </row>
    <row r="3492">
      <c r="A3492" s="16" t="n">
        <v>3488</v>
      </c>
      <c r="B3492" s="16" t="inlineStr">
        <is>
          <t>Backend</t>
        </is>
      </c>
      <c r="C3492" s="17" t="inlineStr">
        <is>
          <t>ticketing-service</t>
        </is>
      </c>
      <c r="D3492" s="16" t="inlineStr">
        <is>
          <t>Integration</t>
        </is>
      </c>
      <c r="E3492" s="17" t="inlineStr">
        <is>
          <t>TicketCheckinIT</t>
        </is>
      </c>
      <c r="F3492" s="17" t="inlineStr"/>
      <c r="G3492" s="17" t="inlineStr">
        <is>
          <t>Suất đã kết thúc: không cho vào nữa, nhưng khách đang ở trong vẫn quét Ra được</t>
        </is>
      </c>
      <c r="H3492" s="17" t="inlineStr">
        <is>
          <t>suat_da_ket_thuc</t>
        </is>
      </c>
      <c r="I3492" s="16" t="inlineStr">
        <is>
          <t>Đạt</t>
        </is>
      </c>
      <c r="J3492" s="16" t="n">
        <v>0.032</v>
      </c>
    </row>
    <row r="3493">
      <c r="A3493" s="16" t="n">
        <v>3489</v>
      </c>
      <c r="B3493" s="16" t="inlineStr">
        <is>
          <t>Backend</t>
        </is>
      </c>
      <c r="C3493" s="17" t="inlineStr">
        <is>
          <t>ticketing-service</t>
        </is>
      </c>
      <c r="D3493" s="16" t="inlineStr">
        <is>
          <t>Integration</t>
        </is>
      </c>
      <c r="E3493" s="17" t="inlineStr">
        <is>
          <t>TicketCheckinIT</t>
        </is>
      </c>
      <c r="F3493" s="17" t="inlineStr"/>
      <c r="G3493" s="17" t="inlineStr">
        <is>
          <t>Chưa tới giờ mở cổng: NOT_OPEN_YET, vé không bị đánh dấu đã dùng</t>
        </is>
      </c>
      <c r="H3493" s="17" t="inlineStr">
        <is>
          <t>chua_toi_gio_mo_cong</t>
        </is>
      </c>
      <c r="I3493" s="16" t="inlineStr">
        <is>
          <t>Đạt</t>
        </is>
      </c>
      <c r="J3493" s="16" t="n">
        <v>0.02</v>
      </c>
    </row>
    <row r="3494">
      <c r="A3494" s="16" t="n">
        <v>3490</v>
      </c>
      <c r="B3494" s="16" t="inlineStr">
        <is>
          <t>Backend</t>
        </is>
      </c>
      <c r="C3494" s="17" t="inlineStr">
        <is>
          <t>ticketing-service</t>
        </is>
      </c>
      <c r="D3494" s="16" t="inlineStr">
        <is>
          <t>Integration</t>
        </is>
      </c>
      <c r="E3494" s="17" t="inlineStr">
        <is>
          <t>TicketCheckinIT</t>
        </is>
      </c>
      <c r="F3494" s="17" t="inlineStr"/>
      <c r="G3494" s="17" t="inlineStr">
        <is>
          <t>Nhân viên tổ chức khác quét: bị từ chối và KHÔNG lộ nhãn ghế</t>
        </is>
      </c>
      <c r="H3494" s="17" t="inlineStr">
        <is>
          <t>nhan_vien_to_chuc_khac</t>
        </is>
      </c>
      <c r="I3494" s="16" t="inlineStr">
        <is>
          <t>Đạt</t>
        </is>
      </c>
      <c r="J3494" s="16" t="n">
        <v>0.014</v>
      </c>
    </row>
    <row r="3495">
      <c r="A3495" s="16" t="n">
        <v>3491</v>
      </c>
      <c r="B3495" s="16" t="inlineStr">
        <is>
          <t>Backend</t>
        </is>
      </c>
      <c r="C3495" s="17" t="inlineStr">
        <is>
          <t>ticketing-service</t>
        </is>
      </c>
      <c r="D3495" s="16" t="inlineStr">
        <is>
          <t>Integration</t>
        </is>
      </c>
      <c r="E3495" s="17" t="inlineStr">
        <is>
          <t>TicketCheckinIT</t>
        </is>
      </c>
      <c r="F3495" s="17" t="inlineStr"/>
      <c r="G3495" s="17" t="inlineStr">
        <is>
          <t>Gỡ nhân viên khỏi sự kiện: mất quyền ngay ở lượt quét kế tiếp</t>
        </is>
      </c>
      <c r="H3495" s="17" t="inlineStr">
        <is>
          <t>go_khoi_su_kien_mat_quyen_ngay</t>
        </is>
      </c>
      <c r="I3495" s="16" t="inlineStr">
        <is>
          <t>Đạt</t>
        </is>
      </c>
      <c r="J3495" s="16" t="n">
        <v>0.018</v>
      </c>
    </row>
    <row r="3496">
      <c r="A3496" s="16" t="n">
        <v>3492</v>
      </c>
      <c r="B3496" s="16" t="inlineStr">
        <is>
          <t>Backend</t>
        </is>
      </c>
      <c r="C3496" s="17" t="inlineStr">
        <is>
          <t>ticketing-service</t>
        </is>
      </c>
      <c r="D3496" s="16" t="inlineStr">
        <is>
          <t>Integration</t>
        </is>
      </c>
      <c r="E3496" s="17" t="inlineStr">
        <is>
          <t>TicketCheckinIT</t>
        </is>
      </c>
      <c r="F3496" s="17" t="inlineStr"/>
      <c r="G3496" s="17" t="inlineStr">
        <is>
          <t>Catalog không trả lời: nhân viên KHÔNG được cho qua bước kiểm quyền</t>
        </is>
      </c>
      <c r="H3496" s="17" t="inlineStr">
        <is>
          <t>catalog_im_lang_thi_khong_cho_qua</t>
        </is>
      </c>
      <c r="I3496" s="16" t="inlineStr">
        <is>
          <t>Đạt</t>
        </is>
      </c>
      <c r="J3496" s="16" t="n">
        <v>0.005</v>
      </c>
    </row>
    <row r="3497">
      <c r="A3497" s="16" t="n">
        <v>3493</v>
      </c>
      <c r="B3497" s="16" t="inlineStr">
        <is>
          <t>Backend</t>
        </is>
      </c>
      <c r="C3497" s="17" t="inlineStr">
        <is>
          <t>ticketing-service</t>
        </is>
      </c>
      <c r="D3497" s="16" t="inlineStr">
        <is>
          <t>Integration</t>
        </is>
      </c>
      <c r="E3497" s="17" t="inlineStr">
        <is>
          <t>TicketCheckinIT</t>
        </is>
      </c>
      <c r="F3497" s="17" t="inlineStr"/>
      <c r="G3497" s="17" t="inlineStr">
        <is>
          <t>Phát hành hai lần cho cùng một đơn: lần hai không tạo vé nào</t>
        </is>
      </c>
      <c r="H3497" s="17" t="inlineStr">
        <is>
          <t>phat_hanh_idempotent</t>
        </is>
      </c>
      <c r="I3497" s="16" t="inlineStr">
        <is>
          <t>Đạt</t>
        </is>
      </c>
      <c r="J3497" s="16" t="n">
        <v>0.01</v>
      </c>
    </row>
    <row r="3498">
      <c r="A3498" s="16" t="n">
        <v>3494</v>
      </c>
      <c r="B3498" s="16" t="inlineStr">
        <is>
          <t>Backend</t>
        </is>
      </c>
      <c r="C3498" s="17" t="inlineStr">
        <is>
          <t>ticketing-service</t>
        </is>
      </c>
      <c r="D3498" s="16" t="inlineStr">
        <is>
          <t>Integration</t>
        </is>
      </c>
      <c r="E3498" s="17" t="inlineStr">
        <is>
          <t>TicketCheckinIT</t>
        </is>
      </c>
      <c r="F3498" s="17" t="inlineStr"/>
      <c r="G3498" s="17" t="inlineStr">
        <is>
          <t>Token giả: INVALID_TOKEN, và vẫn được ghi vào nhật ký soát vé</t>
        </is>
      </c>
      <c r="H3498" s="17" t="inlineStr">
        <is>
          <t>token_gia</t>
        </is>
      </c>
      <c r="I3498" s="16" t="inlineStr">
        <is>
          <t>Đạt</t>
        </is>
      </c>
      <c r="J3498" s="16" t="n">
        <v>0.01</v>
      </c>
    </row>
    <row r="3499">
      <c r="A3499" s="16" t="n">
        <v>3495</v>
      </c>
      <c r="B3499" s="16" t="inlineStr">
        <is>
          <t>Backend</t>
        </is>
      </c>
      <c r="C3499" s="17" t="inlineStr">
        <is>
          <t>ticketing-service</t>
        </is>
      </c>
      <c r="D3499" s="16" t="inlineStr">
        <is>
          <t>Integration</t>
        </is>
      </c>
      <c r="E3499" s="17" t="inlineStr">
        <is>
          <t>TicketCheckinIT</t>
        </is>
      </c>
      <c r="F3499" s="17" t="inlineStr"/>
      <c r="G3499" s="17" t="inlineStr">
        <is>
          <t>Quét lại vé đã soát: ALREADY_CHECKED_IN kèm giờ đã soát</t>
        </is>
      </c>
      <c r="H3499" s="17" t="inlineStr">
        <is>
          <t>quet_lai_ve_da_soat</t>
        </is>
      </c>
      <c r="I3499" s="16" t="inlineStr">
        <is>
          <t>Đạt</t>
        </is>
      </c>
      <c r="J3499" s="16" t="n">
        <v>0.023</v>
      </c>
    </row>
    <row r="3500">
      <c r="A3500" s="16" t="n">
        <v>3496</v>
      </c>
      <c r="B3500" s="16" t="inlineStr">
        <is>
          <t>Backend</t>
        </is>
      </c>
      <c r="C3500" s="17" t="inlineStr">
        <is>
          <t>ticketing-service</t>
        </is>
      </c>
      <c r="D3500" s="16" t="inlineStr">
        <is>
          <t>Integration</t>
        </is>
      </c>
      <c r="E3500" s="17" t="inlineStr">
        <is>
          <t>TicketCheckinIT</t>
        </is>
      </c>
      <c r="F3500" s="17" t="inlineStr"/>
      <c r="G3500" s="17" t="inlineStr">
        <is>
          <t>Mã gõ tay của tổ chức khác: NOT_FOUND, không lộ gì</t>
        </is>
      </c>
      <c r="H3500" s="17" t="inlineStr">
        <is>
          <t>ma_ve_to_chuc_khac</t>
        </is>
      </c>
      <c r="I3500" s="16" t="inlineStr">
        <is>
          <t>Đạt</t>
        </is>
      </c>
      <c r="J3500" s="16" t="n">
        <v>0.008</v>
      </c>
    </row>
    <row r="3501">
      <c r="A3501" s="16" t="n">
        <v>3497</v>
      </c>
      <c r="B3501" s="16" t="inlineStr">
        <is>
          <t>Backend</t>
        </is>
      </c>
      <c r="C3501" s="17" t="inlineStr">
        <is>
          <t>ticketing-service</t>
        </is>
      </c>
      <c r="D3501" s="16" t="inlineStr">
        <is>
          <t>Integration</t>
        </is>
      </c>
      <c r="E3501" s="17" t="inlineStr">
        <is>
          <t>TicketCheckinIT</t>
        </is>
      </c>
      <c r="F3501" s="17" t="inlineStr"/>
      <c r="G3501" s="17" t="inlineStr">
        <is>
          <t>Lịch sử quét của suất: có cả lần bị từ chối, tìm được theo tên, kèm số đang ở trong</t>
        </is>
      </c>
      <c r="H3501" s="17" t="inlineStr">
        <is>
          <t>lich_su_quet</t>
        </is>
      </c>
      <c r="I3501" s="16" t="inlineStr">
        <is>
          <t>Đạt</t>
        </is>
      </c>
      <c r="J3501" s="16" t="n">
        <v>0.059</v>
      </c>
    </row>
    <row r="3502">
      <c r="A3502" s="16" t="n">
        <v>3498</v>
      </c>
      <c r="B3502" s="16" t="inlineStr">
        <is>
          <t>Backend</t>
        </is>
      </c>
      <c r="C3502" s="17" t="inlineStr">
        <is>
          <t>ticketing-service</t>
        </is>
      </c>
      <c r="D3502" s="16" t="inlineStr">
        <is>
          <t>Integration</t>
        </is>
      </c>
      <c r="E3502" s="17" t="inlineStr">
        <is>
          <t>TicketCheckinIT</t>
        </is>
      </c>
      <c r="F3502" s="17" t="inlineStr"/>
      <c r="G3502" s="17" t="inlineStr">
        <is>
          <t>Vé của suất diễn khác: WRONG_SESSION</t>
        </is>
      </c>
      <c r="H3502" s="17" t="inlineStr">
        <is>
          <t>ve_suat_dien_khac</t>
        </is>
      </c>
      <c r="I3502" s="16" t="inlineStr">
        <is>
          <t>Đạt</t>
        </is>
      </c>
      <c r="J3502" s="16" t="n">
        <v>0.023</v>
      </c>
    </row>
    <row r="3503">
      <c r="A3503" s="16" t="n">
        <v>3499</v>
      </c>
      <c r="B3503" s="16" t="inlineStr">
        <is>
          <t>Backend</t>
        </is>
      </c>
      <c r="C3503" s="17" t="inlineStr">
        <is>
          <t>ticketing-service</t>
        </is>
      </c>
      <c r="D3503" s="16" t="inlineStr">
        <is>
          <t>Integration</t>
        </is>
      </c>
      <c r="E3503" s="17" t="inlineStr">
        <is>
          <t>TicketCheckinIT</t>
        </is>
      </c>
      <c r="F3503" s="17" t="inlineStr"/>
      <c r="G3503" s="17" t="inlineStr">
        <is>
          <t>Nhân viên soát vé chỉ soát được sự kiện đã được gán; người quản lý tổ chức thì không cần gán</t>
        </is>
      </c>
      <c r="H3503" s="17" t="inlineStr">
        <is>
          <t>chi_soat_su_kien_duoc_gan</t>
        </is>
      </c>
      <c r="I3503" s="16" t="inlineStr">
        <is>
          <t>Đạt</t>
        </is>
      </c>
      <c r="J3503" s="16" t="n">
        <v>0.015</v>
      </c>
    </row>
    <row r="3504">
      <c r="A3504" s="16" t="n">
        <v>3500</v>
      </c>
      <c r="B3504" s="16" t="inlineStr">
        <is>
          <t>Backend</t>
        </is>
      </c>
      <c r="C3504" s="17" t="inlineStr">
        <is>
          <t>ticketing-service</t>
        </is>
      </c>
      <c r="D3504" s="16" t="inlineStr">
        <is>
          <t>Integration</t>
        </is>
      </c>
      <c r="E3504" s="17" t="inlineStr">
        <is>
          <t>TicketCheckinIT</t>
        </is>
      </c>
      <c r="F3504" s="17" t="inlineStr"/>
      <c r="G3504" s="17" t="inlineStr">
        <is>
          <t>Cho vào thủ công khi vé đang ở trong: cần lý do, và lý do nằm trong nhật ký</t>
        </is>
      </c>
      <c r="H3504" s="17" t="inlineStr">
        <is>
          <t>cho_vao_thu_cong</t>
        </is>
      </c>
      <c r="I3504" s="16" t="inlineStr">
        <is>
          <t>Đạt</t>
        </is>
      </c>
      <c r="J3504" s="16" t="n">
        <v>0.029</v>
      </c>
    </row>
    <row r="3505">
      <c r="A3505" s="16" t="n">
        <v>3501</v>
      </c>
      <c r="B3505" s="16" t="inlineStr">
        <is>
          <t>Backend</t>
        </is>
      </c>
      <c r="C3505" s="17" t="inlineStr">
        <is>
          <t>ticketing-service</t>
        </is>
      </c>
      <c r="D3505" s="16" t="inlineStr">
        <is>
          <t>Integration</t>
        </is>
      </c>
      <c r="E3505" s="17" t="inlineStr">
        <is>
          <t>TicketCheckinIT</t>
        </is>
      </c>
      <c r="F3505" s="17" t="inlineStr"/>
      <c r="G3505" s="17" t="inlineStr">
        <is>
          <t>Quét Ra khi chưa vào: NOT_INSIDE, vé vẫn vào được bình thường</t>
        </is>
      </c>
      <c r="H3505" s="17" t="inlineStr">
        <is>
          <t>ra_khi_chua_vao</t>
        </is>
      </c>
      <c r="I3505" s="16" t="inlineStr">
        <is>
          <t>Đạt</t>
        </is>
      </c>
      <c r="J3505" s="16" t="n">
        <v>0.023</v>
      </c>
    </row>
    <row r="3506">
      <c r="A3506" s="16" t="n">
        <v>3502</v>
      </c>
      <c r="B3506" s="16" t="inlineStr">
        <is>
          <t>Backend</t>
        </is>
      </c>
      <c r="C3506" s="17" t="inlineStr">
        <is>
          <t>ticketing-service</t>
        </is>
      </c>
      <c r="D3506" s="16" t="inlineStr">
        <is>
          <t>Integration</t>
        </is>
      </c>
      <c r="E3506" s="17" t="inlineStr">
        <is>
          <t>TicketCheckinIT</t>
        </is>
      </c>
      <c r="F3506" s="17" t="inlineStr"/>
      <c r="G3506" s="17" t="inlineStr">
        <is>
          <t>Thu hồi vé khi hoàn tiền, nhưng KHÔNG động tới vé đã soát</t>
        </is>
      </c>
      <c r="H3506" s="17" t="inlineStr">
        <is>
          <t>thu_hoi_ve_khong_dong_toi_ve_da_soat</t>
        </is>
      </c>
      <c r="I3506" s="16" t="inlineStr">
        <is>
          <t>Đạt</t>
        </is>
      </c>
      <c r="J3506" s="16" t="n">
        <v>0.026</v>
      </c>
    </row>
    <row r="3507">
      <c r="A3507" s="16" t="n">
        <v>3503</v>
      </c>
      <c r="B3507" s="16" t="inlineStr">
        <is>
          <t>Frontend</t>
        </is>
      </c>
      <c r="C3507" s="17" t="inlineStr">
        <is>
          <t>ts-sdk</t>
        </is>
      </c>
      <c r="D3507" s="16" t="inlineStr">
        <is>
          <t>Unit</t>
        </is>
      </c>
      <c r="E3507" s="17" t="inlineStr">
        <is>
          <t>api-contract.test.ts</t>
        </is>
      </c>
      <c r="F3507" s="17" t="inlineStr">
        <is>
          <t>ordering — đặt và huỷ đơn</t>
        </is>
      </c>
      <c r="G3507" s="17" t="inlineStr">
        <is>
          <t>placeOrder: POST /v1/orders, body nguyên vẹn và BẮT BUỘC kèm Idempotency-Key</t>
        </is>
      </c>
      <c r="H3507" s="17" t="inlineStr">
        <is>
          <t>ordering — đặt và huỷ đơn placeOrder: POST /v1/orders, body nguyên vẹn và BẮT BUỘC kèm Idempotency-Key</t>
        </is>
      </c>
      <c r="I3507" s="16" t="inlineStr">
        <is>
          <t>Đạt</t>
        </is>
      </c>
      <c r="J3507" s="16" t="n">
        <v>0.035</v>
      </c>
    </row>
    <row r="3508">
      <c r="A3508" s="16" t="n">
        <v>3504</v>
      </c>
      <c r="B3508" s="16" t="inlineStr">
        <is>
          <t>Frontend</t>
        </is>
      </c>
      <c r="C3508" s="17" t="inlineStr">
        <is>
          <t>ts-sdk</t>
        </is>
      </c>
      <c r="D3508" s="16" t="inlineStr">
        <is>
          <t>Unit</t>
        </is>
      </c>
      <c r="E3508" s="17" t="inlineStr">
        <is>
          <t>api-contract.test.ts</t>
        </is>
      </c>
      <c r="F3508" s="17" t="inlineStr">
        <is>
          <t>ordering — đặt và huỷ đơn</t>
        </is>
      </c>
      <c r="G3508" s="17" t="inlineStr">
        <is>
          <t>getOrder mã hoá orderId — không để một id lạ thành đường dẫn khác</t>
        </is>
      </c>
      <c r="H3508" s="17" t="inlineStr">
        <is>
          <t>ordering — đặt và huỷ đơn getOrder mã hoá orderId — không để một id lạ thành đường dẫn khác</t>
        </is>
      </c>
      <c r="I3508" s="16" t="inlineStr">
        <is>
          <t>Đạt</t>
        </is>
      </c>
      <c r="J3508" s="16" t="n">
        <v>0.005</v>
      </c>
    </row>
    <row r="3509">
      <c r="A3509" s="16" t="n">
        <v>3505</v>
      </c>
      <c r="B3509" s="16" t="inlineStr">
        <is>
          <t>Frontend</t>
        </is>
      </c>
      <c r="C3509" s="17" t="inlineStr">
        <is>
          <t>ts-sdk</t>
        </is>
      </c>
      <c r="D3509" s="16" t="inlineStr">
        <is>
          <t>Unit</t>
        </is>
      </c>
      <c r="E3509" s="17" t="inlineStr">
        <is>
          <t>api-contract.test.ts</t>
        </is>
      </c>
      <c r="F3509" s="17" t="inlineStr">
        <is>
          <t>ordering — đặt và huỷ đơn</t>
        </is>
      </c>
      <c r="G3509" s="17" t="inlineStr">
        <is>
          <t>listMyOrders: không có tham số thì không có dấu ?, có thì gửi limit/offset (kể cả 0)</t>
        </is>
      </c>
      <c r="H3509" s="17" t="inlineStr">
        <is>
          <t>ordering — đặt và huỷ đơn listMyOrders: không có tham số thì không có dấu ?, có thì gửi limit/offset (kể cả 0)</t>
        </is>
      </c>
      <c r="I3509" s="16" t="inlineStr">
        <is>
          <t>Đạt</t>
        </is>
      </c>
      <c r="J3509" s="16" t="n">
        <v>0.006</v>
      </c>
    </row>
    <row r="3510">
      <c r="A3510" s="16" t="n">
        <v>3506</v>
      </c>
      <c r="B3510" s="16" t="inlineStr">
        <is>
          <t>Frontend</t>
        </is>
      </c>
      <c r="C3510" s="17" t="inlineStr">
        <is>
          <t>ts-sdk</t>
        </is>
      </c>
      <c r="D3510" s="16" t="inlineStr">
        <is>
          <t>Unit</t>
        </is>
      </c>
      <c r="E3510" s="17" t="inlineStr">
        <is>
          <t>api-contract.test.ts</t>
        </is>
      </c>
      <c r="F3510" s="17" t="inlineStr">
        <is>
          <t>ordering — đặt và huỷ đơn</t>
        </is>
      </c>
      <c r="G3510" s="17" t="inlineStr">
        <is>
          <t>cancelOrder: POST /v1/orders/{id}/cancel, không body, chịu được 204</t>
        </is>
      </c>
      <c r="H3510" s="17" t="inlineStr">
        <is>
          <t>ordering — đặt và huỷ đơn cancelOrder: POST /v1/orders/{id}/cancel, không body, chịu được 204</t>
        </is>
      </c>
      <c r="I3510" s="16" t="inlineStr">
        <is>
          <t>Đạt</t>
        </is>
      </c>
      <c r="J3510" s="16" t="n">
        <v>0.006</v>
      </c>
    </row>
    <row r="3511">
      <c r="A3511" s="16" t="n">
        <v>3507</v>
      </c>
      <c r="B3511" s="16" t="inlineStr">
        <is>
          <t>Frontend</t>
        </is>
      </c>
      <c r="C3511" s="17" t="inlineStr">
        <is>
          <t>ts-sdk</t>
        </is>
      </c>
      <c r="D3511" s="16" t="inlineStr">
        <is>
          <t>Unit</t>
        </is>
      </c>
      <c r="E3511" s="17" t="inlineStr">
        <is>
          <t>api-contract.test.ts</t>
        </is>
      </c>
      <c r="F3511" s="17" t="inlineStr">
        <is>
          <t>ordering — đặt và huỷ đơn</t>
        </is>
      </c>
      <c r="G3511" s="17" t="inlineStr">
        <is>
          <t>đơn của người khác → 404 ORDER_NOT_FOUND thành ApiError đọc được</t>
        </is>
      </c>
      <c r="H3511" s="17" t="inlineStr">
        <is>
          <t>ordering — đặt và huỷ đơn đơn của người khác → 404 ORDER_NOT_FOUND thành ApiError đọc được</t>
        </is>
      </c>
      <c r="I3511" s="16" t="inlineStr">
        <is>
          <t>Đạt</t>
        </is>
      </c>
      <c r="J3511" s="16" t="n">
        <v>0.004</v>
      </c>
    </row>
    <row r="3512">
      <c r="A3512" s="16" t="n">
        <v>3508</v>
      </c>
      <c r="B3512" s="16" t="inlineStr">
        <is>
          <t>Frontend</t>
        </is>
      </c>
      <c r="C3512" s="17" t="inlineStr">
        <is>
          <t>ts-sdk</t>
        </is>
      </c>
      <c r="D3512" s="16" t="inlineStr">
        <is>
          <t>Unit</t>
        </is>
      </c>
      <c r="E3512" s="17" t="inlineStr">
        <is>
          <t>api-contract.test.ts</t>
        </is>
      </c>
      <c r="F3512" s="17" t="inlineStr">
        <is>
          <t>inventory — nhả chỗ</t>
        </is>
      </c>
      <c r="G3512" s="17" t="inlineStr">
        <is>
          <t>releaseHold: DELETE /v1/holds/{id}</t>
        </is>
      </c>
      <c r="H3512" s="17" t="inlineStr">
        <is>
          <t>inventory — nhả chỗ releaseHold: DELETE /v1/holds/{id}</t>
        </is>
      </c>
      <c r="I3512" s="16" t="inlineStr">
        <is>
          <t>Đạt</t>
        </is>
      </c>
      <c r="J3512" s="16" t="n">
        <v>0.003</v>
      </c>
    </row>
    <row r="3513">
      <c r="A3513" s="16" t="n">
        <v>3509</v>
      </c>
      <c r="B3513" s="16" t="inlineStr">
        <is>
          <t>Frontend</t>
        </is>
      </c>
      <c r="C3513" s="17" t="inlineStr">
        <is>
          <t>ts-sdk</t>
        </is>
      </c>
      <c r="D3513" s="16" t="inlineStr">
        <is>
          <t>Unit</t>
        </is>
      </c>
      <c r="E3513" s="17" t="inlineStr">
        <is>
          <t>api-contract.test.ts</t>
        </is>
      </c>
      <c r="F3513" s="17" t="inlineStr">
        <is>
          <t>public catalog</t>
        </is>
      </c>
      <c r="G3513" s="17" t="inlineStr">
        <is>
          <t>listPublicEvents: không tham số thì gọi /v1/events trần</t>
        </is>
      </c>
      <c r="H3513" s="17" t="inlineStr">
        <is>
          <t>public catalog listPublicEvents: không tham số thì gọi /v1/events trần</t>
        </is>
      </c>
      <c r="I3513" s="16" t="inlineStr">
        <is>
          <t>Đạt</t>
        </is>
      </c>
      <c r="J3513" s="16" t="n">
        <v>0.003</v>
      </c>
    </row>
    <row r="3514">
      <c r="A3514" s="16" t="n">
        <v>3510</v>
      </c>
      <c r="B3514" s="16" t="inlineStr">
        <is>
          <t>Frontend</t>
        </is>
      </c>
      <c r="C3514" s="17" t="inlineStr">
        <is>
          <t>ts-sdk</t>
        </is>
      </c>
      <c r="D3514" s="16" t="inlineStr">
        <is>
          <t>Unit</t>
        </is>
      </c>
      <c r="E3514" s="17" t="inlineStr">
        <is>
          <t>api-contract.test.ts</t>
        </is>
      </c>
      <c r="F3514" s="17" t="inlineStr">
        <is>
          <t>public catalog</t>
        </is>
      </c>
      <c r="G3514" s="17" t="inlineStr">
        <is>
          <t>listPublicEvents: tên tham số khớp @RequestParam của PublicCatalogController, giá 0 không bị nuốt</t>
        </is>
      </c>
      <c r="H3514" s="17" t="inlineStr">
        <is>
          <t>public catalog listPublicEvents: tên tham số khớp @RequestParam của PublicCatalogController, giá 0 không bị nuốt</t>
        </is>
      </c>
      <c r="I3514" s="16" t="inlineStr">
        <is>
          <t>Đạt</t>
        </is>
      </c>
      <c r="J3514" s="16" t="n">
        <v>0.004</v>
      </c>
    </row>
    <row r="3515">
      <c r="A3515" s="16" t="n">
        <v>3511</v>
      </c>
      <c r="B3515" s="16" t="inlineStr">
        <is>
          <t>Frontend</t>
        </is>
      </c>
      <c r="C3515" s="17" t="inlineStr">
        <is>
          <t>ts-sdk</t>
        </is>
      </c>
      <c r="D3515" s="16" t="inlineStr">
        <is>
          <t>Unit</t>
        </is>
      </c>
      <c r="E3515" s="17" t="inlineStr">
        <is>
          <t>api-contract.test.ts</t>
        </is>
      </c>
      <c r="F3515" s="17" t="inlineStr">
        <is>
          <t>public catalog</t>
        </is>
      </c>
      <c r="G3515" s="17" t="inlineStr">
        <is>
          <t>listPublicEvents: chuỗi rỗng không thành tham số rỗng</t>
        </is>
      </c>
      <c r="H3515" s="17" t="inlineStr">
        <is>
          <t>public catalog listPublicEvents: chuỗi rỗng không thành tham số rỗng</t>
        </is>
      </c>
      <c r="I3515" s="16" t="inlineStr">
        <is>
          <t>Đạt</t>
        </is>
      </c>
      <c r="J3515" s="16" t="n">
        <v>0.004</v>
      </c>
    </row>
    <row r="3516">
      <c r="A3516" s="16" t="n">
        <v>3512</v>
      </c>
      <c r="B3516" s="16" t="inlineStr">
        <is>
          <t>Frontend</t>
        </is>
      </c>
      <c r="C3516" s="17" t="inlineStr">
        <is>
          <t>ts-sdk</t>
        </is>
      </c>
      <c r="D3516" s="16" t="inlineStr">
        <is>
          <t>Unit</t>
        </is>
      </c>
      <c r="E3516" s="17" t="inlineStr">
        <is>
          <t>api-contract.test.ts</t>
        </is>
      </c>
      <c r="F3516" s="17" t="inlineStr">
        <is>
          <t>public catalog</t>
        </is>
      </c>
      <c r="G3516" s="17" t="inlineStr">
        <is>
          <t>getPublicEvent mã hoá slug</t>
        </is>
      </c>
      <c r="H3516" s="17" t="inlineStr">
        <is>
          <t>public catalog getPublicEvent mã hoá slug</t>
        </is>
      </c>
      <c r="I3516" s="16" t="inlineStr">
        <is>
          <t>Đạt</t>
        </is>
      </c>
      <c r="J3516" s="16" t="n">
        <v>0.003</v>
      </c>
    </row>
    <row r="3517">
      <c r="A3517" s="16" t="n">
        <v>3513</v>
      </c>
      <c r="B3517" s="16" t="inlineStr">
        <is>
          <t>Frontend</t>
        </is>
      </c>
      <c r="C3517" s="17" t="inlineStr">
        <is>
          <t>ts-sdk</t>
        </is>
      </c>
      <c r="D3517" s="16" t="inlineStr">
        <is>
          <t>Unit</t>
        </is>
      </c>
      <c r="E3517" s="17" t="inlineStr">
        <is>
          <t>api-contract.test.ts</t>
        </is>
      </c>
      <c r="F3517" s="17" t="inlineStr">
        <is>
          <t>public catalog</t>
        </is>
      </c>
      <c r="G3517" s="17" t="inlineStr">
        <is>
          <t>listTrendingEvents mặc định size=8, nhận size khác</t>
        </is>
      </c>
      <c r="H3517" s="17" t="inlineStr">
        <is>
          <t>public catalog listTrendingEvents mặc định size=8, nhận size khác</t>
        </is>
      </c>
      <c r="I3517" s="16" t="inlineStr">
        <is>
          <t>Đạt</t>
        </is>
      </c>
      <c r="J3517" s="16" t="n">
        <v>0.004</v>
      </c>
    </row>
    <row r="3518">
      <c r="A3518" s="16" t="n">
        <v>3514</v>
      </c>
      <c r="B3518" s="16" t="inlineStr">
        <is>
          <t>Frontend</t>
        </is>
      </c>
      <c r="C3518" s="17" t="inlineStr">
        <is>
          <t>ts-sdk</t>
        </is>
      </c>
      <c r="D3518" s="16" t="inlineStr">
        <is>
          <t>Unit</t>
        </is>
      </c>
      <c r="E3518" s="17" t="inlineStr">
        <is>
          <t>api-contract.test.ts</t>
        </is>
      </c>
      <c r="F3518" s="17" t="inlineStr">
        <is>
          <t>public catalog</t>
        </is>
      </c>
      <c r="G3518" s="17" t="inlineStr">
        <is>
          <t>getPublicFloorPlan và getVenueFloorPlan</t>
        </is>
      </c>
      <c r="H3518" s="17" t="inlineStr">
        <is>
          <t>public catalog getPublicFloorPlan và getVenueFloorPlan</t>
        </is>
      </c>
      <c r="I3518" s="16" t="inlineStr">
        <is>
          <t>Đạt</t>
        </is>
      </c>
      <c r="J3518" s="16" t="n">
        <v>0.004</v>
      </c>
    </row>
    <row r="3519">
      <c r="A3519" s="16" t="n">
        <v>3515</v>
      </c>
      <c r="B3519" s="16" t="inlineStr">
        <is>
          <t>Frontend</t>
        </is>
      </c>
      <c r="C3519" s="17" t="inlineStr">
        <is>
          <t>ts-sdk</t>
        </is>
      </c>
      <c r="D3519" s="16" t="inlineStr">
        <is>
          <t>Unit</t>
        </is>
      </c>
      <c r="E3519" s="17" t="inlineStr">
        <is>
          <t>api-contract.test.ts</t>
        </is>
      </c>
      <c r="F3519" s="17" t="inlineStr">
        <is>
          <t>ticketing</t>
        </is>
      </c>
      <c r="G3519" s="17" t="inlineStr">
        <is>
          <t>scanTicket: POST /v1/sessions/{id}/checkins với body nguyên vẹn</t>
        </is>
      </c>
      <c r="H3519" s="17" t="inlineStr">
        <is>
          <t>ticketing scanTicket: POST /v1/sessions/{id}/checkins với body nguyên vẹn</t>
        </is>
      </c>
      <c r="I3519" s="16" t="inlineStr">
        <is>
          <t>Đạt</t>
        </is>
      </c>
      <c r="J3519" s="16" t="n">
        <v>0.002</v>
      </c>
    </row>
    <row r="3520">
      <c r="A3520" s="16" t="n">
        <v>3516</v>
      </c>
      <c r="B3520" s="16" t="inlineStr">
        <is>
          <t>Frontend</t>
        </is>
      </c>
      <c r="C3520" s="17" t="inlineStr">
        <is>
          <t>ts-sdk</t>
        </is>
      </c>
      <c r="D3520" s="16" t="inlineStr">
        <is>
          <t>Unit</t>
        </is>
      </c>
      <c r="E3520" s="17" t="inlineStr">
        <is>
          <t>api-contract.test.ts</t>
        </is>
      </c>
      <c r="F3520" s="17" t="inlineStr">
        <is>
          <t>ticketing</t>
        </is>
      </c>
      <c r="G3520" s="17" t="inlineStr">
        <is>
          <t>scanTicketForOrganization và listCheckinSessions dùng đường dẫn theo tổ chức</t>
        </is>
      </c>
      <c r="H3520" s="17" t="inlineStr">
        <is>
          <t>ticketing scanTicketForOrganization và listCheckinSessions dùng đường dẫn theo tổ chức</t>
        </is>
      </c>
      <c r="I3520" s="16" t="inlineStr">
        <is>
          <t>Đạt</t>
        </is>
      </c>
      <c r="J3520" s="16" t="n">
        <v>0.007</v>
      </c>
    </row>
    <row r="3521">
      <c r="A3521" s="16" t="n">
        <v>3517</v>
      </c>
      <c r="B3521" s="16" t="inlineStr">
        <is>
          <t>Frontend</t>
        </is>
      </c>
      <c r="C3521" s="17" t="inlineStr">
        <is>
          <t>ts-sdk</t>
        </is>
      </c>
      <c r="D3521" s="16" t="inlineStr">
        <is>
          <t>Unit</t>
        </is>
      </c>
      <c r="E3521" s="17" t="inlineStr">
        <is>
          <t>api-contract.test.ts</t>
        </is>
      </c>
      <c r="F3521" s="17" t="inlineStr">
        <is>
          <t>ticketing</t>
        </is>
      </c>
      <c r="G3521" s="17" t="inlineStr">
        <is>
          <t>listMyTickets / listOrderTickets</t>
        </is>
      </c>
      <c r="H3521" s="17" t="inlineStr">
        <is>
          <t>ticketing listMyTickets / listOrderTickets</t>
        </is>
      </c>
      <c r="I3521" s="16" t="inlineStr">
        <is>
          <t>Đạt</t>
        </is>
      </c>
      <c r="J3521" s="16" t="n">
        <v>0.005</v>
      </c>
    </row>
    <row r="3522">
      <c r="A3522" s="16" t="n">
        <v>3518</v>
      </c>
      <c r="B3522" s="16" t="inlineStr">
        <is>
          <t>Frontend</t>
        </is>
      </c>
      <c r="C3522" s="17" t="inlineStr">
        <is>
          <t>ts-sdk</t>
        </is>
      </c>
      <c r="D3522" s="16" t="inlineStr">
        <is>
          <t>Unit</t>
        </is>
      </c>
      <c r="E3522" s="17" t="inlineStr">
        <is>
          <t>api-contract.test.ts</t>
        </is>
      </c>
      <c r="F3522" s="17" t="inlineStr">
        <is>
          <t>ticketing</t>
        </is>
      </c>
      <c r="G3522" s="17" t="inlineStr">
        <is>
          <t>searchOrganizationTickets: chỉ gửi tiêu chí có giá trị</t>
        </is>
      </c>
      <c r="H3522" s="17" t="inlineStr">
        <is>
          <t>ticketing searchOrganizationTickets: chỉ gửi tiêu chí có giá trị</t>
        </is>
      </c>
      <c r="I3522" s="16" t="inlineStr">
        <is>
          <t>Đạt</t>
        </is>
      </c>
      <c r="J3522" s="16" t="n">
        <v>0.005</v>
      </c>
    </row>
    <row r="3523">
      <c r="A3523" s="16" t="n">
        <v>3519</v>
      </c>
      <c r="B3523" s="16" t="inlineStr">
        <is>
          <t>Frontend</t>
        </is>
      </c>
      <c r="C3523" s="17" t="inlineStr">
        <is>
          <t>ts-sdk</t>
        </is>
      </c>
      <c r="D3523" s="16" t="inlineStr">
        <is>
          <t>Unit</t>
        </is>
      </c>
      <c r="E3523" s="17" t="inlineStr">
        <is>
          <t>api-contract.test.ts</t>
        </is>
      </c>
      <c r="F3523" s="17" t="inlineStr">
        <is>
          <t>catalog quản trị</t>
        </is>
      </c>
      <c r="G3523" s="17" t="inlineStr">
        <is>
          <t>đi đúng method + đường dẫn cho từng thao tác</t>
        </is>
      </c>
      <c r="H3523" s="17" t="inlineStr">
        <is>
          <t>catalog quản trị đi đúng method + đường dẫn cho từng thao tác</t>
        </is>
      </c>
      <c r="I3523" s="16" t="inlineStr">
        <is>
          <t>Đạt</t>
        </is>
      </c>
      <c r="J3523" s="16" t="n">
        <v>0.025</v>
      </c>
    </row>
    <row r="3524">
      <c r="A3524" s="16" t="n">
        <v>3520</v>
      </c>
      <c r="B3524" s="16" t="inlineStr">
        <is>
          <t>Frontend</t>
        </is>
      </c>
      <c r="C3524" s="17" t="inlineStr">
        <is>
          <t>ts-sdk</t>
        </is>
      </c>
      <c r="D3524" s="16" t="inlineStr">
        <is>
          <t>Unit</t>
        </is>
      </c>
      <c r="E3524" s="17" t="inlineStr">
        <is>
          <t>api-contract.test.ts</t>
        </is>
      </c>
      <c r="F3524" s="17" t="inlineStr">
        <is>
          <t>catalog quản trị</t>
        </is>
      </c>
      <c r="G3524" s="17" t="inlineStr">
        <is>
          <t>seating: PUT zones, POST preview, ảnh sơ đồ</t>
        </is>
      </c>
      <c r="H3524" s="17" t="inlineStr">
        <is>
          <t>catalog quản trị seating: PUT zones, POST preview, ảnh sơ đồ</t>
        </is>
      </c>
      <c r="I3524" s="16" t="inlineStr">
        <is>
          <t>Đạt</t>
        </is>
      </c>
      <c r="J3524" s="16" t="n">
        <v>0.008</v>
      </c>
    </row>
    <row r="3525">
      <c r="A3525" s="16" t="n">
        <v>3521</v>
      </c>
      <c r="B3525" s="16" t="inlineStr">
        <is>
          <t>Frontend</t>
        </is>
      </c>
      <c r="C3525" s="17" t="inlineStr">
        <is>
          <t>ts-sdk</t>
        </is>
      </c>
      <c r="D3525" s="16" t="inlineStr">
        <is>
          <t>Unit</t>
        </is>
      </c>
      <c r="E3525" s="17" t="inlineStr">
        <is>
          <t>api-contract.test.ts</t>
        </is>
      </c>
      <c r="F3525" s="17" t="inlineStr">
        <is>
          <t>catalog quản trị</t>
        </is>
      </c>
      <c r="G3525" s="17" t="inlineStr">
        <is>
          <t>dashboard, analytics, ledger</t>
        </is>
      </c>
      <c r="H3525" s="17" t="inlineStr">
        <is>
          <t>catalog quản trị dashboard, analytics, ledger</t>
        </is>
      </c>
      <c r="I3525" s="16" t="inlineStr">
        <is>
          <t>Đạt</t>
        </is>
      </c>
      <c r="J3525" s="16" t="n">
        <v>0.008999999999999999</v>
      </c>
    </row>
    <row r="3526">
      <c r="A3526" s="16" t="n">
        <v>3522</v>
      </c>
      <c r="B3526" s="16" t="inlineStr">
        <is>
          <t>Frontend</t>
        </is>
      </c>
      <c r="C3526" s="17" t="inlineStr">
        <is>
          <t>ts-sdk</t>
        </is>
      </c>
      <c r="D3526" s="16" t="inlineStr">
        <is>
          <t>Unit</t>
        </is>
      </c>
      <c r="E3526" s="17" t="inlineStr">
        <is>
          <t>api-contract.test.ts</t>
        </is>
      </c>
      <c r="F3526" s="17" t="inlineStr">
        <is>
          <t>identity</t>
        </is>
      </c>
      <c r="G3526" s="17" t="inlineStr">
        <is>
          <t>đường dẫn của thành viên, lời mời và tổ chức</t>
        </is>
      </c>
      <c r="H3526" s="17" t="inlineStr">
        <is>
          <t>identity đường dẫn của thành viên, lời mời và tổ chức</t>
        </is>
      </c>
      <c r="I3526" s="16" t="inlineStr">
        <is>
          <t>Đạt</t>
        </is>
      </c>
      <c r="J3526" s="16" t="n">
        <v>0.025</v>
      </c>
    </row>
    <row r="3527">
      <c r="A3527" s="16" t="n">
        <v>3523</v>
      </c>
      <c r="B3527" s="16" t="inlineStr">
        <is>
          <t>Frontend</t>
        </is>
      </c>
      <c r="C3527" s="17" t="inlineStr">
        <is>
          <t>ts-sdk</t>
        </is>
      </c>
      <c r="D3527" s="16" t="inlineStr">
        <is>
          <t>Unit</t>
        </is>
      </c>
      <c r="E3527" s="17" t="inlineStr">
        <is>
          <t>api-contract.test.ts</t>
        </is>
      </c>
      <c r="F3527" s="17" t="inlineStr">
        <is>
          <t>identity</t>
        </is>
      </c>
      <c r="G3527" s="17" t="inlineStr">
        <is>
          <t>listPlatformOrganizations và nhật ký kiểm toán có trang mặc định 50/0</t>
        </is>
      </c>
      <c r="H3527" s="17" t="inlineStr">
        <is>
          <t>identity listPlatformOrganizations và nhật ký kiểm toán có trang mặc định 50/0</t>
        </is>
      </c>
      <c r="I3527" s="16" t="inlineStr">
        <is>
          <t>Đạt</t>
        </is>
      </c>
      <c r="J3527" s="16" t="n">
        <v>0.008999999999999999</v>
      </c>
    </row>
    <row r="3528">
      <c r="A3528" s="16" t="n">
        <v>3524</v>
      </c>
      <c r="B3528" s="16" t="inlineStr">
        <is>
          <t>Frontend</t>
        </is>
      </c>
      <c r="C3528" s="17" t="inlineStr">
        <is>
          <t>ts-sdk</t>
        </is>
      </c>
      <c r="D3528" s="16" t="inlineStr">
        <is>
          <t>Unit</t>
        </is>
      </c>
      <c r="E3528" s="17" t="inlineStr">
        <is>
          <t>api-contract.test.ts</t>
        </is>
      </c>
      <c r="F3528" s="17" t="inlineStr">
        <is>
          <t>identity</t>
        </is>
      </c>
      <c r="G3528" s="17" t="inlineStr">
        <is>
          <t>revokeMemberSessions: lý do đi trên query string và được mã hoá</t>
        </is>
      </c>
      <c r="H3528" s="17" t="inlineStr">
        <is>
          <t>identity revokeMemberSessions: lý do đi trên query string và được mã hoá</t>
        </is>
      </c>
      <c r="I3528" s="16" t="inlineStr">
        <is>
          <t>Đạt</t>
        </is>
      </c>
      <c r="J3528" s="16" t="n">
        <v>0.003</v>
      </c>
    </row>
    <row r="3529">
      <c r="A3529" s="16" t="n">
        <v>3525</v>
      </c>
      <c r="B3529" s="16" t="inlineStr">
        <is>
          <t>Frontend</t>
        </is>
      </c>
      <c r="C3529" s="17" t="inlineStr">
        <is>
          <t>ts-sdk</t>
        </is>
      </c>
      <c r="D3529" s="16" t="inlineStr">
        <is>
          <t>Unit</t>
        </is>
      </c>
      <c r="E3529" s="17" t="inlineStr">
        <is>
          <t>api-contract.test.ts</t>
        </is>
      </c>
      <c r="F3529" s="17" t="inlineStr">
        <is>
          <t>support</t>
        </is>
      </c>
      <c r="G3529" s="17" t="inlineStr">
        <is>
          <t>askSupport kèm Idempotency-Key; các thao tác phiếu chuyển tiếp đi đúng đường</t>
        </is>
      </c>
      <c r="H3529" s="17" t="inlineStr">
        <is>
          <t>support askSupport kèm Idempotency-Key; các thao tác phiếu chuyển tiếp đi đúng đường</t>
        </is>
      </c>
      <c r="I3529" s="16" t="inlineStr">
        <is>
          <t>Đạt</t>
        </is>
      </c>
      <c r="J3529" s="16" t="n">
        <v>0.021</v>
      </c>
    </row>
    <row r="3530">
      <c r="A3530" s="16" t="n">
        <v>3526</v>
      </c>
      <c r="B3530" s="16" t="inlineStr">
        <is>
          <t>Frontend</t>
        </is>
      </c>
      <c r="C3530" s="17" t="inlineStr">
        <is>
          <t>ts-sdk</t>
        </is>
      </c>
      <c r="D3530" s="16" t="inlineStr">
        <is>
          <t>Unit</t>
        </is>
      </c>
      <c r="E3530" s="17" t="inlineStr">
        <is>
          <t>api-contract.test.ts</t>
        </is>
      </c>
      <c r="F3530" s="17" t="inlineStr">
        <is>
          <t>support</t>
        </is>
      </c>
      <c r="G3530" s="17" t="inlineStr">
        <is>
          <t>listHandoffs: cắt khoảng trắng ở q, bỏ q chỉ có khoảng trắng, mine=false không gửi</t>
        </is>
      </c>
      <c r="H3530" s="17" t="inlineStr">
        <is>
          <t>support listHandoffs: cắt khoảng trắng ở q, bỏ q chỉ có khoảng trắng, mine=false không gửi</t>
        </is>
      </c>
      <c r="I3530" s="16" t="inlineStr">
        <is>
          <t>Đạt</t>
        </is>
      </c>
      <c r="J3530" s="16" t="n">
        <v>0.004</v>
      </c>
    </row>
    <row r="3531">
      <c r="A3531" s="16" t="n">
        <v>3527</v>
      </c>
      <c r="B3531" s="16" t="inlineStr">
        <is>
          <t>Frontend</t>
        </is>
      </c>
      <c r="C3531" s="17" t="inlineStr">
        <is>
          <t>ts-sdk</t>
        </is>
      </c>
      <c r="D3531" s="16" t="inlineStr">
        <is>
          <t>Unit</t>
        </is>
      </c>
      <c r="E3531" s="17" t="inlineStr">
        <is>
          <t>api-contract.test.ts</t>
        </is>
      </c>
      <c r="F3531" s="17" t="inlineStr">
        <is>
          <t>support</t>
        </is>
      </c>
      <c r="G3531" s="17" t="inlineStr">
        <is>
          <t>listKnowledgeChunks và previewKnowledge mã hoá câu hỏi</t>
        </is>
      </c>
      <c r="H3531" s="17" t="inlineStr">
        <is>
          <t>support listKnowledgeChunks và previewKnowledge mã hoá câu hỏi</t>
        </is>
      </c>
      <c r="I3531" s="16" t="inlineStr">
        <is>
          <t>Đạt</t>
        </is>
      </c>
      <c r="J3531" s="16" t="n">
        <v>0.004</v>
      </c>
    </row>
    <row r="3532">
      <c r="A3532" s="16" t="n">
        <v>3528</v>
      </c>
      <c r="B3532" s="16" t="inlineStr">
        <is>
          <t>Frontend</t>
        </is>
      </c>
      <c r="C3532" s="17" t="inlineStr">
        <is>
          <t>ts-sdk</t>
        </is>
      </c>
      <c r="D3532" s="16" t="inlineStr">
        <is>
          <t>Unit</t>
        </is>
      </c>
      <c r="E3532" s="17" t="inlineStr">
        <is>
          <t>api-contract.test.ts</t>
        </is>
      </c>
      <c r="F3532" s="17" t="inlineStr">
        <is>
          <t>media — tải ảnh bìa</t>
        </is>
      </c>
      <c r="G3532" s="17" t="inlineStr">
        <is>
          <t>requestPosterUpload: POST kèm contentType</t>
        </is>
      </c>
      <c r="H3532" s="17" t="inlineStr">
        <is>
          <t>media — tải ảnh bìa requestPosterUpload: POST kèm contentType</t>
        </is>
      </c>
      <c r="I3532" s="16" t="inlineStr">
        <is>
          <t>Đạt</t>
        </is>
      </c>
      <c r="J3532" s="16" t="n">
        <v>0.002</v>
      </c>
    </row>
    <row r="3533">
      <c r="A3533" s="16" t="n">
        <v>3529</v>
      </c>
      <c r="B3533" s="16" t="inlineStr">
        <is>
          <t>Frontend</t>
        </is>
      </c>
      <c r="C3533" s="17" t="inlineStr">
        <is>
          <t>ts-sdk</t>
        </is>
      </c>
      <c r="D3533" s="16" t="inlineStr">
        <is>
          <t>Unit</t>
        </is>
      </c>
      <c r="E3533" s="17" t="inlineStr">
        <is>
          <t>api-contract.test.ts</t>
        </is>
      </c>
      <c r="F3533" s="17" t="inlineStr">
        <is>
          <t>media — tải ảnh bìa</t>
        </is>
      </c>
      <c r="G3533" s="17" t="inlineStr">
        <is>
          <t>uploadPoster PUT thẳng vào URL đã ký, KHÔNG gắn Authorization của gateway</t>
        </is>
      </c>
      <c r="H3533" s="17" t="inlineStr">
        <is>
          <t>media — tải ảnh bìa uploadPoster PUT thẳng vào URL đã ký, KHÔNG gắn Authorization của gateway</t>
        </is>
      </c>
      <c r="I3533" s="16" t="inlineStr">
        <is>
          <t>Đạt</t>
        </is>
      </c>
      <c r="J3533" s="16" t="n">
        <v>0.004</v>
      </c>
    </row>
    <row r="3534">
      <c r="A3534" s="16" t="n">
        <v>3530</v>
      </c>
      <c r="B3534" s="16" t="inlineStr">
        <is>
          <t>Frontend</t>
        </is>
      </c>
      <c r="C3534" s="17" t="inlineStr">
        <is>
          <t>ts-sdk</t>
        </is>
      </c>
      <c r="D3534" s="16" t="inlineStr">
        <is>
          <t>Unit</t>
        </is>
      </c>
      <c r="E3534" s="17" t="inlineStr">
        <is>
          <t>api-contract.test.ts</t>
        </is>
      </c>
      <c r="F3534" s="17" t="inlineStr">
        <is>
          <t>media — tải ảnh bìa</t>
        </is>
      </c>
      <c r="G3534" s="17" t="inlineStr">
        <is>
          <t>uploadPoster ném lỗi có mã HTTP khi kho từ chối chữ ký</t>
        </is>
      </c>
      <c r="H3534" s="17" t="inlineStr">
        <is>
          <t>media — tải ảnh bìa uploadPoster ném lỗi có mã HTTP khi kho từ chối chữ ký</t>
        </is>
      </c>
      <c r="I3534" s="16" t="inlineStr">
        <is>
          <t>Đạt</t>
        </is>
      </c>
      <c r="J3534" s="16" t="n">
        <v>0.004</v>
      </c>
    </row>
    <row r="3535">
      <c r="A3535" s="16" t="n">
        <v>3531</v>
      </c>
      <c r="B3535" s="16" t="inlineStr">
        <is>
          <t>Frontend</t>
        </is>
      </c>
      <c r="C3535" s="17" t="inlineStr">
        <is>
          <t>ts-sdk</t>
        </is>
      </c>
      <c r="D3535" s="16" t="inlineStr">
        <is>
          <t>Unit</t>
        </is>
      </c>
      <c r="E3535" s="17" t="inlineStr">
        <is>
          <t>base-url.test.ts</t>
        </is>
      </c>
      <c r="F3535" s="17" t="inlineStr">
        <is>
          <t>resolveApiBaseUrl</t>
        </is>
      </c>
      <c r="G3535" s="17" t="inlineStr">
        <is>
          <t>giữ nguyên URL tuyệt đối khi biến có giá trị</t>
        </is>
      </c>
      <c r="H3535" s="17" t="inlineStr">
        <is>
          <t>resolveApiBaseUrl giữ nguyên URL tuyệt đối khi biến có giá trị</t>
        </is>
      </c>
      <c r="I3535" s="16" t="inlineStr">
        <is>
          <t>Đạt</t>
        </is>
      </c>
      <c r="J3535" s="16" t="n">
        <v>0.002</v>
      </c>
    </row>
    <row r="3536">
      <c r="A3536" s="16" t="n">
        <v>3532</v>
      </c>
      <c r="B3536" s="16" t="inlineStr">
        <is>
          <t>Frontend</t>
        </is>
      </c>
      <c r="C3536" s="17" t="inlineStr">
        <is>
          <t>ts-sdk</t>
        </is>
      </c>
      <c r="D3536" s="16" t="inlineStr">
        <is>
          <t>Unit</t>
        </is>
      </c>
      <c r="E3536" s="17" t="inlineStr">
        <is>
          <t>base-url.test.ts</t>
        </is>
      </c>
      <c r="F3536" s="17" t="inlineStr">
        <is>
          <t>resolveApiBaseUrl</t>
        </is>
      </c>
      <c r="G3536" s="17" t="inlineStr">
        <is>
          <t xml:space="preserve">production + giá trị rỗng (%p) -&gt; cùng gốc </t>
        </is>
      </c>
      <c r="H3536" s="17" t="inlineStr">
        <is>
          <t xml:space="preserve">resolveApiBaseUrl production + giá trị rỗng (%p) -&gt; cùng gốc </t>
        </is>
      </c>
      <c r="I3536" s="16" t="inlineStr">
        <is>
          <t>Đạt</t>
        </is>
      </c>
      <c r="J3536" s="16" t="n">
        <v>0</v>
      </c>
    </row>
    <row r="3537">
      <c r="A3537" s="16" t="n">
        <v>3533</v>
      </c>
      <c r="B3537" s="16" t="inlineStr">
        <is>
          <t>Frontend</t>
        </is>
      </c>
      <c r="C3537" s="17" t="inlineStr">
        <is>
          <t>ts-sdk</t>
        </is>
      </c>
      <c r="D3537" s="16" t="inlineStr">
        <is>
          <t>Unit</t>
        </is>
      </c>
      <c r="E3537" s="17" t="inlineStr">
        <is>
          <t>base-url.test.ts</t>
        </is>
      </c>
      <c r="F3537" s="17" t="inlineStr">
        <is>
          <t>resolveApiBaseUrl</t>
        </is>
      </c>
      <c r="G3537" s="17" t="inlineStr">
        <is>
          <t xml:space="preserve">production + giá trị rỗng (%p) -&gt; cùng gốc    </t>
        </is>
      </c>
      <c r="H3537" s="17" t="inlineStr">
        <is>
          <t xml:space="preserve">resolveApiBaseUrl production + giá trị rỗng (%p) -&gt; cùng gốc    </t>
        </is>
      </c>
      <c r="I3537" s="16" t="inlineStr">
        <is>
          <t>Đạt</t>
        </is>
      </c>
      <c r="J3537" s="16" t="n">
        <v>0</v>
      </c>
    </row>
    <row r="3538">
      <c r="A3538" s="16" t="n">
        <v>3534</v>
      </c>
      <c r="B3538" s="16" t="inlineStr">
        <is>
          <t>Frontend</t>
        </is>
      </c>
      <c r="C3538" s="17" t="inlineStr">
        <is>
          <t>ts-sdk</t>
        </is>
      </c>
      <c r="D3538" s="16" t="inlineStr">
        <is>
          <t>Unit</t>
        </is>
      </c>
      <c r="E3538" s="17" t="inlineStr">
        <is>
          <t>base-url.test.ts</t>
        </is>
      </c>
      <c r="F3538" s="17" t="inlineStr">
        <is>
          <t>resolveApiBaseUrl</t>
        </is>
      </c>
      <c r="G3538" s="17" t="inlineStr">
        <is>
          <t>production + giá trị rỗng (%p) -&gt; cùng gốc undefined</t>
        </is>
      </c>
      <c r="H3538" s="17" t="inlineStr">
        <is>
          <t>resolveApiBaseUrl production + giá trị rỗng (%p) -&gt; cùng gốc undefined</t>
        </is>
      </c>
      <c r="I3538" s="16" t="inlineStr">
        <is>
          <t>Đạt</t>
        </is>
      </c>
      <c r="J3538" s="16" t="n">
        <v>0</v>
      </c>
    </row>
    <row r="3539">
      <c r="A3539" s="16" t="n">
        <v>3535</v>
      </c>
      <c r="B3539" s="16" t="inlineStr">
        <is>
          <t>Frontend</t>
        </is>
      </c>
      <c r="C3539" s="17" t="inlineStr">
        <is>
          <t>ts-sdk</t>
        </is>
      </c>
      <c r="D3539" s="16" t="inlineStr">
        <is>
          <t>Unit</t>
        </is>
      </c>
      <c r="E3539" s="17" t="inlineStr">
        <is>
          <t>base-url.test.ts</t>
        </is>
      </c>
      <c r="F3539" s="17" t="inlineStr">
        <is>
          <t>resolveApiBaseUrl</t>
        </is>
      </c>
      <c r="G3539" s="17" t="inlineStr">
        <is>
          <t xml:space="preserve">development + giá trị rỗng (%p) -&gt; gateway localhost </t>
        </is>
      </c>
      <c r="H3539" s="17" t="inlineStr">
        <is>
          <t xml:space="preserve">resolveApiBaseUrl development + giá trị rỗng (%p) -&gt; gateway localhost </t>
        </is>
      </c>
      <c r="I3539" s="16" t="inlineStr">
        <is>
          <t>Đạt</t>
        </is>
      </c>
      <c r="J3539" s="16" t="n">
        <v>0</v>
      </c>
    </row>
    <row r="3540">
      <c r="A3540" s="16" t="n">
        <v>3536</v>
      </c>
      <c r="B3540" s="16" t="inlineStr">
        <is>
          <t>Frontend</t>
        </is>
      </c>
      <c r="C3540" s="17" t="inlineStr">
        <is>
          <t>ts-sdk</t>
        </is>
      </c>
      <c r="D3540" s="16" t="inlineStr">
        <is>
          <t>Unit</t>
        </is>
      </c>
      <c r="E3540" s="17" t="inlineStr">
        <is>
          <t>base-url.test.ts</t>
        </is>
      </c>
      <c r="F3540" s="17" t="inlineStr">
        <is>
          <t>resolveApiBaseUrl</t>
        </is>
      </c>
      <c r="G3540" s="17" t="inlineStr">
        <is>
          <t>development + giá trị rỗng (%p) -&gt; gateway localhost undefined</t>
        </is>
      </c>
      <c r="H3540" s="17" t="inlineStr">
        <is>
          <t>resolveApiBaseUrl development + giá trị rỗng (%p) -&gt; gateway localhost undefined</t>
        </is>
      </c>
      <c r="I3540" s="16" t="inlineStr">
        <is>
          <t>Đạt</t>
        </is>
      </c>
      <c r="J3540" s="16" t="n">
        <v>0</v>
      </c>
    </row>
    <row r="3541">
      <c r="A3541" s="16" t="n">
        <v>3537</v>
      </c>
      <c r="B3541" s="16" t="inlineStr">
        <is>
          <t>Frontend</t>
        </is>
      </c>
      <c r="C3541" s="17" t="inlineStr">
        <is>
          <t>ts-sdk</t>
        </is>
      </c>
      <c r="D3541" s="16" t="inlineStr">
        <is>
          <t>Unit</t>
        </is>
      </c>
      <c r="E3541" s="17" t="inlineStr">
        <is>
          <t>base-url.test.ts</t>
        </is>
      </c>
      <c r="F3541" s="17" t="inlineStr">
        <is>
          <t>resolveApiBaseUrl</t>
        </is>
      </c>
      <c r="G3541" s="17" t="inlineStr">
        <is>
          <t>bỏ dấu gạch cuối — ApiClient tự nối /v1/..., hai gạch liền làm gateway trả 404</t>
        </is>
      </c>
      <c r="H3541" s="17" t="inlineStr">
        <is>
          <t>resolveApiBaseUrl bỏ dấu gạch cuối — ApiClient tự nối /v1/..., hai gạch liền làm gateway trả 404</t>
        </is>
      </c>
      <c r="I3541" s="16" t="inlineStr">
        <is>
          <t>Đạt</t>
        </is>
      </c>
      <c r="J3541" s="16" t="n">
        <v>0</v>
      </c>
    </row>
    <row r="3542">
      <c r="A3542" s="16" t="n">
        <v>3538</v>
      </c>
      <c r="B3542" s="16" t="inlineStr">
        <is>
          <t>Frontend</t>
        </is>
      </c>
      <c r="C3542" s="17" t="inlineStr">
        <is>
          <t>ts-sdk</t>
        </is>
      </c>
      <c r="D3542" s="16" t="inlineStr">
        <is>
          <t>Unit</t>
        </is>
      </c>
      <c r="E3542" s="17" t="inlineStr">
        <is>
          <t>base-url.test.ts</t>
        </is>
      </c>
      <c r="F3542" s="17" t="inlineStr">
        <is>
          <t>resolveApiBaseUrl</t>
        </is>
      </c>
      <c r="G3542" s="17" t="inlineStr">
        <is>
          <t>khoảng trắng hai đầu không biến một URL thật thành chế độ cùng gốc</t>
        </is>
      </c>
      <c r="H3542" s="17" t="inlineStr">
        <is>
          <t>resolveApiBaseUrl khoảng trắng hai đầu không biến một URL thật thành chế độ cùng gốc</t>
        </is>
      </c>
      <c r="I3542" s="16" t="inlineStr">
        <is>
          <t>Đạt</t>
        </is>
      </c>
      <c r="J3542" s="16" t="n">
        <v>0</v>
      </c>
    </row>
    <row r="3543">
      <c r="A3543" s="16" t="n">
        <v>3539</v>
      </c>
      <c r="B3543" s="16" t="inlineStr">
        <is>
          <t>Frontend</t>
        </is>
      </c>
      <c r="C3543" s="17" t="inlineStr">
        <is>
          <t>ts-sdk</t>
        </is>
      </c>
      <c r="D3543" s="16" t="inlineStr">
        <is>
          <t>Unit</t>
        </is>
      </c>
      <c r="E3543" s="17" t="inlineStr">
        <is>
          <t>client-edge.test.ts</t>
        </is>
      </c>
      <c r="F3543" s="17" t="inlineStr">
        <is>
          <t>ApiClient — dựng request</t>
        </is>
      </c>
      <c r="G3543" s="17" t="inlineStr">
        <is>
          <t>bỏ dấu / cuối của baseUrl để không thành //v1</t>
        </is>
      </c>
      <c r="H3543" s="17" t="inlineStr">
        <is>
          <t>ApiClient — dựng request bỏ dấu / cuối của baseUrl để không thành //v1</t>
        </is>
      </c>
      <c r="I3543" s="16" t="inlineStr">
        <is>
          <t>Đạt</t>
        </is>
      </c>
      <c r="J3543" s="16" t="n">
        <v>0.007</v>
      </c>
    </row>
    <row r="3544">
      <c r="A3544" s="16" t="n">
        <v>3540</v>
      </c>
      <c r="B3544" s="16" t="inlineStr">
        <is>
          <t>Frontend</t>
        </is>
      </c>
      <c r="C3544" s="17" t="inlineStr">
        <is>
          <t>ts-sdk</t>
        </is>
      </c>
      <c r="D3544" s="16" t="inlineStr">
        <is>
          <t>Unit</t>
        </is>
      </c>
      <c r="E3544" s="17" t="inlineStr">
        <is>
          <t>client-edge.test.ts</t>
        </is>
      </c>
      <c r="F3544" s="17" t="inlineStr">
        <is>
          <t>ApiClient — dựng request</t>
        </is>
      </c>
      <c r="G3544" s="17" t="inlineStr">
        <is>
          <t>GET không body thì không khai Content-Type; luôn credentials=omit và Accept JSON</t>
        </is>
      </c>
      <c r="H3544" s="17" t="inlineStr">
        <is>
          <t>ApiClient — dựng request GET không body thì không khai Content-Type; luôn credentials=omit và Accept JSON</t>
        </is>
      </c>
      <c r="I3544" s="16" t="inlineStr">
        <is>
          <t>Đạt</t>
        </is>
      </c>
      <c r="J3544" s="16" t="n">
        <v>0.001</v>
      </c>
    </row>
    <row r="3545">
      <c r="A3545" s="16" t="n">
        <v>3541</v>
      </c>
      <c r="B3545" s="16" t="inlineStr">
        <is>
          <t>Frontend</t>
        </is>
      </c>
      <c r="C3545" s="17" t="inlineStr">
        <is>
          <t>ts-sdk</t>
        </is>
      </c>
      <c r="D3545" s="16" t="inlineStr">
        <is>
          <t>Unit</t>
        </is>
      </c>
      <c r="E3545" s="17" t="inlineStr">
        <is>
          <t>client-edge.test.ts</t>
        </is>
      </c>
      <c r="F3545" s="17" t="inlineStr">
        <is>
          <t>ApiClient — dựng request</t>
        </is>
      </c>
      <c r="G3545" s="17" t="inlineStr">
        <is>
          <t>PATCH và PUT gửi body JSON với đúng method</t>
        </is>
      </c>
      <c r="H3545" s="17" t="inlineStr">
        <is>
          <t>ApiClient — dựng request PATCH và PUT gửi body JSON với đúng method</t>
        </is>
      </c>
      <c r="I3545" s="16" t="inlineStr">
        <is>
          <t>Đạt</t>
        </is>
      </c>
      <c r="J3545" s="16" t="n">
        <v>0.002</v>
      </c>
    </row>
    <row r="3546">
      <c r="A3546" s="16" t="n">
        <v>3542</v>
      </c>
      <c r="B3546" s="16" t="inlineStr">
        <is>
          <t>Frontend</t>
        </is>
      </c>
      <c r="C3546" s="17" t="inlineStr">
        <is>
          <t>ts-sdk</t>
        </is>
      </c>
      <c r="D3546" s="16" t="inlineStr">
        <is>
          <t>Unit</t>
        </is>
      </c>
      <c r="E3546" s="17" t="inlineStr">
        <is>
          <t>client-edge.test.ts</t>
        </is>
      </c>
      <c r="F3546" s="17" t="inlineStr">
        <is>
          <t>ApiClient — dựng request</t>
        </is>
      </c>
      <c r="G3546" s="17" t="inlineStr">
        <is>
          <t>chờ được getAccessToken bất đồng bộ</t>
        </is>
      </c>
      <c r="H3546" s="17" t="inlineStr">
        <is>
          <t>ApiClient — dựng request chờ được getAccessToken bất đồng bộ</t>
        </is>
      </c>
      <c r="I3546" s="16" t="inlineStr">
        <is>
          <t>Đạt</t>
        </is>
      </c>
      <c r="J3546" s="16" t="n">
        <v>0.001</v>
      </c>
    </row>
    <row r="3547">
      <c r="A3547" s="16" t="n">
        <v>3543</v>
      </c>
      <c r="B3547" s="16" t="inlineStr">
        <is>
          <t>Frontend</t>
        </is>
      </c>
      <c r="C3547" s="17" t="inlineStr">
        <is>
          <t>ts-sdk</t>
        </is>
      </c>
      <c r="D3547" s="16" t="inlineStr">
        <is>
          <t>Unit</t>
        </is>
      </c>
      <c r="E3547" s="17" t="inlineStr">
        <is>
          <t>client-edge.test.ts</t>
        </is>
      </c>
      <c r="F3547" s="17" t="inlineStr">
        <is>
          <t>ApiClient — dựng request</t>
        </is>
      </c>
      <c r="G3547" s="17" t="inlineStr">
        <is>
          <t>header do nơi gọi truyền vào được giữ, và etag thành If-None-Match</t>
        </is>
      </c>
      <c r="H3547" s="17" t="inlineStr">
        <is>
          <t>ApiClient — dựng request header do nơi gọi truyền vào được giữ, và etag thành If-None-Match</t>
        </is>
      </c>
      <c r="I3547" s="16" t="inlineStr">
        <is>
          <t>Đạt</t>
        </is>
      </c>
      <c r="J3547" s="16" t="n">
        <v>0.001</v>
      </c>
    </row>
    <row r="3548">
      <c r="A3548" s="16" t="n">
        <v>3544</v>
      </c>
      <c r="B3548" s="16" t="inlineStr">
        <is>
          <t>Frontend</t>
        </is>
      </c>
      <c r="C3548" s="17" t="inlineStr">
        <is>
          <t>ts-sdk</t>
        </is>
      </c>
      <c r="D3548" s="16" t="inlineStr">
        <is>
          <t>Unit</t>
        </is>
      </c>
      <c r="E3548" s="17" t="inlineStr">
        <is>
          <t>client-edge.test.ts</t>
        </is>
      </c>
      <c r="F3548" s="17" t="inlineStr">
        <is>
          <t>ApiClient — dựng request</t>
        </is>
      </c>
      <c r="G3548" s="17" t="inlineStr">
        <is>
          <t>signal của nơi gọi thắng hạn mặc định</t>
        </is>
      </c>
      <c r="H3548" s="17" t="inlineStr">
        <is>
          <t>ApiClient — dựng request signal của nơi gọi thắng hạn mặc định</t>
        </is>
      </c>
      <c r="I3548" s="16" t="inlineStr">
        <is>
          <t>Đạt</t>
        </is>
      </c>
      <c r="J3548" s="16" t="n">
        <v>0.001</v>
      </c>
    </row>
    <row r="3549">
      <c r="A3549" s="16" t="n">
        <v>3545</v>
      </c>
      <c r="B3549" s="16" t="inlineStr">
        <is>
          <t>Frontend</t>
        </is>
      </c>
      <c r="C3549" s="17" t="inlineStr">
        <is>
          <t>ts-sdk</t>
        </is>
      </c>
      <c r="D3549" s="16" t="inlineStr">
        <is>
          <t>Unit</t>
        </is>
      </c>
      <c r="E3549" s="17" t="inlineStr">
        <is>
          <t>client-edge.test.ts</t>
        </is>
      </c>
      <c r="F3549" s="17" t="inlineStr">
        <is>
          <t>ApiClient — đọc response</t>
        </is>
      </c>
      <c r="G3549" s="17" t="inlineStr">
        <is>
          <t>Content-Length: 0 hoặc body rỗng trả null, không nổ JSON.parse</t>
        </is>
      </c>
      <c r="H3549" s="17" t="inlineStr">
        <is>
          <t>ApiClient — đọc response Content-Length: 0 hoặc body rỗng trả null, không nổ JSON.parse</t>
        </is>
      </c>
      <c r="I3549" s="16" t="inlineStr">
        <is>
          <t>Đạt</t>
        </is>
      </c>
      <c r="J3549" s="16" t="n">
        <v>0.001</v>
      </c>
    </row>
    <row r="3550">
      <c r="A3550" s="16" t="n">
        <v>3546</v>
      </c>
      <c r="B3550" s="16" t="inlineStr">
        <is>
          <t>Frontend</t>
        </is>
      </c>
      <c r="C3550" s="17" t="inlineStr">
        <is>
          <t>ts-sdk</t>
        </is>
      </c>
      <c r="D3550" s="16" t="inlineStr">
        <is>
          <t>Unit</t>
        </is>
      </c>
      <c r="E3550" s="17" t="inlineStr">
        <is>
          <t>client-edge.test.ts</t>
        </is>
      </c>
      <c r="F3550" s="17" t="inlineStr">
        <is>
          <t>ApiClient — đọc response</t>
        </is>
      </c>
      <c r="G3550" s="17" t="inlineStr">
        <is>
          <t>trả etag và correlationId từ header</t>
        </is>
      </c>
      <c r="H3550" s="17" t="inlineStr">
        <is>
          <t>ApiClient — đọc response trả etag và correlationId từ header</t>
        </is>
      </c>
      <c r="I3550" s="16" t="inlineStr">
        <is>
          <t>Đạt</t>
        </is>
      </c>
      <c r="J3550" s="16" t="n">
        <v>0.002</v>
      </c>
    </row>
    <row r="3551">
      <c r="A3551" s="16" t="n">
        <v>3547</v>
      </c>
      <c r="B3551" s="16" t="inlineStr">
        <is>
          <t>Frontend</t>
        </is>
      </c>
      <c r="C3551" s="17" t="inlineStr">
        <is>
          <t>ts-sdk</t>
        </is>
      </c>
      <c r="D3551" s="16" t="inlineStr">
        <is>
          <t>Unit</t>
        </is>
      </c>
      <c r="E3551" s="17" t="inlineStr">
        <is>
          <t>client-edge.test.ts</t>
        </is>
      </c>
      <c r="F3551" s="17" t="inlineStr">
        <is>
          <t>ApiClient — đọc response</t>
        </is>
      </c>
      <c r="G3551" s="17" t="inlineStr">
        <is>
          <t>body 200 không phải JSON làm request bị từ chối (hiện là SyntaxError, không phải ApiError)</t>
        </is>
      </c>
      <c r="H3551" s="17" t="inlineStr">
        <is>
          <t>ApiClient — đọc response body 200 không phải JSON làm request bị từ chối (hiện là SyntaxError, không phải ApiError)</t>
        </is>
      </c>
      <c r="I3551" s="16" t="inlineStr">
        <is>
          <t>Đạt</t>
        </is>
      </c>
      <c r="J3551" s="16" t="n">
        <v>0.001</v>
      </c>
    </row>
    <row r="3552">
      <c r="A3552" s="16" t="n">
        <v>3548</v>
      </c>
      <c r="B3552" s="16" t="inlineStr">
        <is>
          <t>Frontend</t>
        </is>
      </c>
      <c r="C3552" s="17" t="inlineStr">
        <is>
          <t>ts-sdk</t>
        </is>
      </c>
      <c r="D3552" s="16" t="inlineStr">
        <is>
          <t>Unit</t>
        </is>
      </c>
      <c r="E3552" s="17" t="inlineStr">
        <is>
          <t>client-edge.test.ts</t>
        </is>
      </c>
      <c r="F3552" s="17" t="inlineStr">
        <is>
          <t>ApiClient — mã lỗi dự phòng khi body không có `code`</t>
        </is>
      </c>
      <c r="G3552" s="17" t="inlineStr">
        <is>
          <t>HTTP 400 → VALIDATION_FAILED</t>
        </is>
      </c>
      <c r="H3552" s="17" t="inlineStr">
        <is>
          <t>ApiClient — mã lỗi dự phòng khi body không có `code` HTTP 400 → VALIDATION_FAILED</t>
        </is>
      </c>
      <c r="I3552" s="16" t="inlineStr">
        <is>
          <t>Đạt</t>
        </is>
      </c>
      <c r="J3552" s="16" t="n">
        <v>0.001</v>
      </c>
    </row>
    <row r="3553">
      <c r="A3553" s="16" t="n">
        <v>3549</v>
      </c>
      <c r="B3553" s="16" t="inlineStr">
        <is>
          <t>Frontend</t>
        </is>
      </c>
      <c r="C3553" s="17" t="inlineStr">
        <is>
          <t>ts-sdk</t>
        </is>
      </c>
      <c r="D3553" s="16" t="inlineStr">
        <is>
          <t>Unit</t>
        </is>
      </c>
      <c r="E3553" s="17" t="inlineStr">
        <is>
          <t>client-edge.test.ts</t>
        </is>
      </c>
      <c r="F3553" s="17" t="inlineStr">
        <is>
          <t>ApiClient — mã lỗi dự phòng khi body không có `code`</t>
        </is>
      </c>
      <c r="G3553" s="17" t="inlineStr">
        <is>
          <t>HTTP 401 → UNAUTHENTICATED</t>
        </is>
      </c>
      <c r="H3553" s="17" t="inlineStr">
        <is>
          <t>ApiClient — mã lỗi dự phòng khi body không có `code` HTTP 401 → UNAUTHENTICATED</t>
        </is>
      </c>
      <c r="I3553" s="16" t="inlineStr">
        <is>
          <t>Đạt</t>
        </is>
      </c>
      <c r="J3553" s="16" t="n">
        <v>0.001</v>
      </c>
    </row>
    <row r="3554">
      <c r="A3554" s="16" t="n">
        <v>3550</v>
      </c>
      <c r="B3554" s="16" t="inlineStr">
        <is>
          <t>Frontend</t>
        </is>
      </c>
      <c r="C3554" s="17" t="inlineStr">
        <is>
          <t>ts-sdk</t>
        </is>
      </c>
      <c r="D3554" s="16" t="inlineStr">
        <is>
          <t>Unit</t>
        </is>
      </c>
      <c r="E3554" s="17" t="inlineStr">
        <is>
          <t>client-edge.test.ts</t>
        </is>
      </c>
      <c r="F3554" s="17" t="inlineStr">
        <is>
          <t>ApiClient — mã lỗi dự phòng khi body không có `code`</t>
        </is>
      </c>
      <c r="G3554" s="17" t="inlineStr">
        <is>
          <t>HTTP 403 → FORBIDDEN</t>
        </is>
      </c>
      <c r="H3554" s="17" t="inlineStr">
        <is>
          <t>ApiClient — mã lỗi dự phòng khi body không có `code` HTTP 403 → FORBIDDEN</t>
        </is>
      </c>
      <c r="I3554" s="16" t="inlineStr">
        <is>
          <t>Đạt</t>
        </is>
      </c>
      <c r="J3554" s="16" t="n">
        <v>0</v>
      </c>
    </row>
    <row r="3555">
      <c r="A3555" s="16" t="n">
        <v>3551</v>
      </c>
      <c r="B3555" s="16" t="inlineStr">
        <is>
          <t>Frontend</t>
        </is>
      </c>
      <c r="C3555" s="17" t="inlineStr">
        <is>
          <t>ts-sdk</t>
        </is>
      </c>
      <c r="D3555" s="16" t="inlineStr">
        <is>
          <t>Unit</t>
        </is>
      </c>
      <c r="E3555" s="17" t="inlineStr">
        <is>
          <t>client-edge.test.ts</t>
        </is>
      </c>
      <c r="F3555" s="17" t="inlineStr">
        <is>
          <t>ApiClient — mã lỗi dự phòng khi body không có `code`</t>
        </is>
      </c>
      <c r="G3555" s="17" t="inlineStr">
        <is>
          <t>HTTP 404 → NOT_FOUND</t>
        </is>
      </c>
      <c r="H3555" s="17" t="inlineStr">
        <is>
          <t>ApiClient — mã lỗi dự phòng khi body không có `code` HTTP 404 → NOT_FOUND</t>
        </is>
      </c>
      <c r="I3555" s="16" t="inlineStr">
        <is>
          <t>Đạt</t>
        </is>
      </c>
      <c r="J3555" s="16" t="n">
        <v>0</v>
      </c>
    </row>
    <row r="3556">
      <c r="A3556" s="16" t="n">
        <v>3552</v>
      </c>
      <c r="B3556" s="16" t="inlineStr">
        <is>
          <t>Frontend</t>
        </is>
      </c>
      <c r="C3556" s="17" t="inlineStr">
        <is>
          <t>ts-sdk</t>
        </is>
      </c>
      <c r="D3556" s="16" t="inlineStr">
        <is>
          <t>Unit</t>
        </is>
      </c>
      <c r="E3556" s="17" t="inlineStr">
        <is>
          <t>client-edge.test.ts</t>
        </is>
      </c>
      <c r="F3556" s="17" t="inlineStr">
        <is>
          <t>ApiClient — mã lỗi dự phòng khi body không có `code`</t>
        </is>
      </c>
      <c r="G3556" s="17" t="inlineStr">
        <is>
          <t>HTTP 409 → CONFLICT</t>
        </is>
      </c>
      <c r="H3556" s="17" t="inlineStr">
        <is>
          <t>ApiClient — mã lỗi dự phòng khi body không có `code` HTTP 409 → CONFLICT</t>
        </is>
      </c>
      <c r="I3556" s="16" t="inlineStr">
        <is>
          <t>Đạt</t>
        </is>
      </c>
      <c r="J3556" s="16" t="n">
        <v>0</v>
      </c>
    </row>
    <row r="3557">
      <c r="A3557" s="16" t="n">
        <v>3553</v>
      </c>
      <c r="B3557" s="16" t="inlineStr">
        <is>
          <t>Frontend</t>
        </is>
      </c>
      <c r="C3557" s="17" t="inlineStr">
        <is>
          <t>ts-sdk</t>
        </is>
      </c>
      <c r="D3557" s="16" t="inlineStr">
        <is>
          <t>Unit</t>
        </is>
      </c>
      <c r="E3557" s="17" t="inlineStr">
        <is>
          <t>client-edge.test.ts</t>
        </is>
      </c>
      <c r="F3557" s="17" t="inlineStr">
        <is>
          <t>ApiClient — mã lỗi dự phòng khi body không có `code`</t>
        </is>
      </c>
      <c r="G3557" s="17" t="inlineStr">
        <is>
          <t>HTTP 422 → VALIDATION_FAILED</t>
        </is>
      </c>
      <c r="H3557" s="17" t="inlineStr">
        <is>
          <t>ApiClient — mã lỗi dự phòng khi body không có `code` HTTP 422 → VALIDATION_FAILED</t>
        </is>
      </c>
      <c r="I3557" s="16" t="inlineStr">
        <is>
          <t>Đạt</t>
        </is>
      </c>
      <c r="J3557" s="16" t="n">
        <v>0</v>
      </c>
    </row>
    <row r="3558">
      <c r="A3558" s="16" t="n">
        <v>3554</v>
      </c>
      <c r="B3558" s="16" t="inlineStr">
        <is>
          <t>Frontend</t>
        </is>
      </c>
      <c r="C3558" s="17" t="inlineStr">
        <is>
          <t>ts-sdk</t>
        </is>
      </c>
      <c r="D3558" s="16" t="inlineStr">
        <is>
          <t>Unit</t>
        </is>
      </c>
      <c r="E3558" s="17" t="inlineStr">
        <is>
          <t>client-edge.test.ts</t>
        </is>
      </c>
      <c r="F3558" s="17" t="inlineStr">
        <is>
          <t>ApiClient — mã lỗi dự phòng khi body không có `code`</t>
        </is>
      </c>
      <c r="G3558" s="17" t="inlineStr">
        <is>
          <t>HTTP 429 → RATE_LIMITED</t>
        </is>
      </c>
      <c r="H3558" s="17" t="inlineStr">
        <is>
          <t>ApiClient — mã lỗi dự phòng khi body không có `code` HTTP 429 → RATE_LIMITED</t>
        </is>
      </c>
      <c r="I3558" s="16" t="inlineStr">
        <is>
          <t>Đạt</t>
        </is>
      </c>
      <c r="J3558" s="16" t="n">
        <v>0</v>
      </c>
    </row>
    <row r="3559">
      <c r="A3559" s="16" t="n">
        <v>3555</v>
      </c>
      <c r="B3559" s="16" t="inlineStr">
        <is>
          <t>Frontend</t>
        </is>
      </c>
      <c r="C3559" s="17" t="inlineStr">
        <is>
          <t>ts-sdk</t>
        </is>
      </c>
      <c r="D3559" s="16" t="inlineStr">
        <is>
          <t>Unit</t>
        </is>
      </c>
      <c r="E3559" s="17" t="inlineStr">
        <is>
          <t>client-edge.test.ts</t>
        </is>
      </c>
      <c r="F3559" s="17" t="inlineStr">
        <is>
          <t>ApiClient — mã lỗi dự phòng khi body không có `code`</t>
        </is>
      </c>
      <c r="G3559" s="17" t="inlineStr">
        <is>
          <t>HTTP 500 → INTERNAL_ERROR</t>
        </is>
      </c>
      <c r="H3559" s="17" t="inlineStr">
        <is>
          <t>ApiClient — mã lỗi dự phòng khi body không có `code` HTTP 500 → INTERNAL_ERROR</t>
        </is>
      </c>
      <c r="I3559" s="16" t="inlineStr">
        <is>
          <t>Đạt</t>
        </is>
      </c>
      <c r="J3559" s="16" t="n">
        <v>0.001</v>
      </c>
    </row>
    <row r="3560">
      <c r="A3560" s="16" t="n">
        <v>3556</v>
      </c>
      <c r="B3560" s="16" t="inlineStr">
        <is>
          <t>Frontend</t>
        </is>
      </c>
      <c r="C3560" s="17" t="inlineStr">
        <is>
          <t>ts-sdk</t>
        </is>
      </c>
      <c r="D3560" s="16" t="inlineStr">
        <is>
          <t>Unit</t>
        </is>
      </c>
      <c r="E3560" s="17" t="inlineStr">
        <is>
          <t>client-edge.test.ts</t>
        </is>
      </c>
      <c r="F3560" s="17" t="inlineStr">
        <is>
          <t>ApiClient — mã lỗi dự phòng khi body không có `code`</t>
        </is>
      </c>
      <c r="G3560" s="17" t="inlineStr">
        <is>
          <t>HTTP 503 → INTERNAL_ERROR</t>
        </is>
      </c>
      <c r="H3560" s="17" t="inlineStr">
        <is>
          <t>ApiClient — mã lỗi dự phòng khi body không có `code` HTTP 503 → INTERNAL_ERROR</t>
        </is>
      </c>
      <c r="I3560" s="16" t="inlineStr">
        <is>
          <t>Đạt</t>
        </is>
      </c>
      <c r="J3560" s="16" t="n">
        <v>0.001</v>
      </c>
    </row>
    <row r="3561">
      <c r="A3561" s="16" t="n">
        <v>3557</v>
      </c>
      <c r="B3561" s="16" t="inlineStr">
        <is>
          <t>Frontend</t>
        </is>
      </c>
      <c r="C3561" s="17" t="inlineStr">
        <is>
          <t>ts-sdk</t>
        </is>
      </c>
      <c r="D3561" s="16" t="inlineStr">
        <is>
          <t>Unit</t>
        </is>
      </c>
      <c r="E3561" s="17" t="inlineStr">
        <is>
          <t>client-edge.test.ts</t>
        </is>
      </c>
      <c r="F3561" s="17" t="inlineStr">
        <is>
          <t>ApiClient — mã lỗi dự phòng khi body không có `code`</t>
        </is>
      </c>
      <c r="G3561" s="17" t="inlineStr">
        <is>
          <t>401 không có body vẫn gọi onUnauthenticated</t>
        </is>
      </c>
      <c r="H3561" s="17" t="inlineStr">
        <is>
          <t>ApiClient — mã lỗi dự phòng khi body không có `code` 401 không có body vẫn gọi onUnauthenticated</t>
        </is>
      </c>
      <c r="I3561" s="16" t="inlineStr">
        <is>
          <t>Đạt</t>
        </is>
      </c>
      <c r="J3561" s="16" t="n">
        <v>0.001</v>
      </c>
    </row>
    <row r="3562">
      <c r="A3562" s="16" t="n">
        <v>3558</v>
      </c>
      <c r="B3562" s="16" t="inlineStr">
        <is>
          <t>Frontend</t>
        </is>
      </c>
      <c r="C3562" s="17" t="inlineStr">
        <is>
          <t>ts-sdk</t>
        </is>
      </c>
      <c r="D3562" s="16" t="inlineStr">
        <is>
          <t>Unit</t>
        </is>
      </c>
      <c r="E3562" s="17" t="inlineStr">
        <is>
          <t>client-edge.test.ts</t>
        </is>
      </c>
      <c r="F3562" s="17" t="inlineStr">
        <is>
          <t>ApiClient — mã lỗi dự phòng khi body không có `code`</t>
        </is>
      </c>
      <c r="G3562" s="17" t="inlineStr">
        <is>
          <t>5xx không phải lỗi phía client</t>
        </is>
      </c>
      <c r="H3562" s="17" t="inlineStr">
        <is>
          <t>ApiClient — mã lỗi dự phòng khi body không có `code` 5xx không phải lỗi phía client</t>
        </is>
      </c>
      <c r="I3562" s="16" t="inlineStr">
        <is>
          <t>Đạt</t>
        </is>
      </c>
      <c r="J3562" s="16" t="n">
        <v>0.001</v>
      </c>
    </row>
    <row r="3563">
      <c r="A3563" s="16" t="n">
        <v>3559</v>
      </c>
      <c r="B3563" s="16" t="inlineStr">
        <is>
          <t>Frontend</t>
        </is>
      </c>
      <c r="C3563" s="17" t="inlineStr">
        <is>
          <t>ts-sdk</t>
        </is>
      </c>
      <c r="D3563" s="16" t="inlineStr">
        <is>
          <t>Unit</t>
        </is>
      </c>
      <c r="E3563" s="17" t="inlineStr">
        <is>
          <t>client-edge.test.ts</t>
        </is>
      </c>
      <c r="F3563" s="17" t="inlineStr">
        <is>
          <t>ApiClient — hạn chờ và lỗi mạng</t>
        </is>
      </c>
      <c r="G3563" s="17" t="inlineStr">
        <is>
          <t>fetch bị huỷ vì hết hạn thành ApiError TIMEOUT, status 0</t>
        </is>
      </c>
      <c r="H3563" s="17" t="inlineStr">
        <is>
          <t>ApiClient — hạn chờ và lỗi mạng fetch bị huỷ vì hết hạn thành ApiError TIMEOUT, status 0</t>
        </is>
      </c>
      <c r="I3563" s="16" t="inlineStr">
        <is>
          <t>Đạt</t>
        </is>
      </c>
      <c r="J3563" s="16" t="n">
        <v>0.001</v>
      </c>
    </row>
    <row r="3564">
      <c r="A3564" s="16" t="n">
        <v>3560</v>
      </c>
      <c r="B3564" s="16" t="inlineStr">
        <is>
          <t>Frontend</t>
        </is>
      </c>
      <c r="C3564" s="17" t="inlineStr">
        <is>
          <t>ts-sdk</t>
        </is>
      </c>
      <c r="D3564" s="16" t="inlineStr">
        <is>
          <t>Unit</t>
        </is>
      </c>
      <c r="E3564" s="17" t="inlineStr">
        <is>
          <t>client-edge.test.ts</t>
        </is>
      </c>
      <c r="F3564" s="17" t="inlineStr">
        <is>
          <t>ApiClient — hạn chờ và lỗi mạng</t>
        </is>
      </c>
      <c r="G3564" s="17" t="inlineStr">
        <is>
          <t>người dùng tự huỷ (AbortError) là NETWORK_ERROR, không bị gọi nhầm là quá hạn</t>
        </is>
      </c>
      <c r="H3564" s="17" t="inlineStr">
        <is>
          <t>ApiClient — hạn chờ và lỗi mạng người dùng tự huỷ (AbortError) là NETWORK_ERROR, không bị gọi nhầm là quá hạn</t>
        </is>
      </c>
      <c r="I3564" s="16" t="inlineStr">
        <is>
          <t>Đạt</t>
        </is>
      </c>
      <c r="J3564" s="16" t="n">
        <v>0.001</v>
      </c>
    </row>
    <row r="3565">
      <c r="A3565" s="16" t="n">
        <v>3561</v>
      </c>
      <c r="B3565" s="16" t="inlineStr">
        <is>
          <t>Frontend</t>
        </is>
      </c>
      <c r="C3565" s="17" t="inlineStr">
        <is>
          <t>ts-sdk</t>
        </is>
      </c>
      <c r="D3565" s="16" t="inlineStr">
        <is>
          <t>Unit</t>
        </is>
      </c>
      <c r="E3565" s="17" t="inlineStr">
        <is>
          <t>client-edge.test.ts</t>
        </is>
      </c>
      <c r="F3565" s="17" t="inlineStr">
        <is>
          <t>ApiClient — hạn chờ và lỗi mạng</t>
        </is>
      </c>
      <c r="G3565" s="17" t="inlineStr">
        <is>
          <t>client KHÔNG tự thử lại — một lỗi mạng là đúng một lần gọi fetch</t>
        </is>
      </c>
      <c r="H3565" s="17" t="inlineStr">
        <is>
          <t>ApiClient — hạn chờ và lỗi mạng client KHÔNG tự thử lại — một lỗi mạng là đúng một lần gọi fetch</t>
        </is>
      </c>
      <c r="I3565" s="16" t="inlineStr">
        <is>
          <t>Đạt</t>
        </is>
      </c>
      <c r="J3565" s="16" t="n">
        <v>0.002</v>
      </c>
    </row>
    <row r="3566">
      <c r="A3566" s="16" t="n">
        <v>3562</v>
      </c>
      <c r="B3566" s="16" t="inlineStr">
        <is>
          <t>Frontend</t>
        </is>
      </c>
      <c r="C3566" s="17" t="inlineStr">
        <is>
          <t>ts-sdk</t>
        </is>
      </c>
      <c r="D3566" s="16" t="inlineStr">
        <is>
          <t>Unit</t>
        </is>
      </c>
      <c r="E3566" s="17" t="inlineStr">
        <is>
          <t>client-edge.test.ts</t>
        </is>
      </c>
      <c r="F3566" s="17" t="inlineStr">
        <is>
          <t>ApiClient — hạn chờ và lỗi mạng</t>
        </is>
      </c>
      <c r="G3566" s="17" t="inlineStr">
        <is>
          <t>networkError với nguyên nhân không phải Error vẫn có detail đọc được</t>
        </is>
      </c>
      <c r="H3566" s="17" t="inlineStr">
        <is>
          <t>ApiClient — hạn chờ và lỗi mạng networkError với nguyên nhân không phải Error vẫn có detail đọc được</t>
        </is>
      </c>
      <c r="I3566" s="16" t="inlineStr">
        <is>
          <t>Đạt</t>
        </is>
      </c>
      <c r="J3566" s="16" t="n">
        <v>0</v>
      </c>
    </row>
    <row r="3567">
      <c r="A3567" s="16" t="n">
        <v>3563</v>
      </c>
      <c r="B3567" s="16" t="inlineStr">
        <is>
          <t>Frontend</t>
        </is>
      </c>
      <c r="C3567" s="17" t="inlineStr">
        <is>
          <t>ts-sdk</t>
        </is>
      </c>
      <c r="D3567" s="16" t="inlineStr">
        <is>
          <t>Unit</t>
        </is>
      </c>
      <c r="E3567" s="17" t="inlineStr">
        <is>
          <t>client.test.ts</t>
        </is>
      </c>
      <c r="F3567" s="17" t="inlineStr">
        <is>
          <t>ApiClient</t>
        </is>
      </c>
      <c r="G3567" s="17" t="inlineStr">
        <is>
          <t>gắn Bearer token khi đã đăng nhập</t>
        </is>
      </c>
      <c r="H3567" s="17" t="inlineStr">
        <is>
          <t>ApiClient gắn Bearer token khi đã đăng nhập</t>
        </is>
      </c>
      <c r="I3567" s="16" t="inlineStr">
        <is>
          <t>Đạt</t>
        </is>
      </c>
      <c r="J3567" s="16" t="n">
        <v>0.059</v>
      </c>
    </row>
    <row r="3568">
      <c r="A3568" s="16" t="n">
        <v>3564</v>
      </c>
      <c r="B3568" s="16" t="inlineStr">
        <is>
          <t>Frontend</t>
        </is>
      </c>
      <c r="C3568" s="17" t="inlineStr">
        <is>
          <t>ts-sdk</t>
        </is>
      </c>
      <c r="D3568" s="16" t="inlineStr">
        <is>
          <t>Unit</t>
        </is>
      </c>
      <c r="E3568" s="17" t="inlineStr">
        <is>
          <t>client.test.ts</t>
        </is>
      </c>
      <c r="F3568" s="17" t="inlineStr">
        <is>
          <t>ApiClient</t>
        </is>
      </c>
      <c r="G3568" s="17" t="inlineStr">
        <is>
          <t>khách vãng lai không gửi Authorization — sơ đồ chỗ vẫn xem được</t>
        </is>
      </c>
      <c r="H3568" s="17" t="inlineStr">
        <is>
          <t>ApiClient khách vãng lai không gửi Authorization — sơ đồ chỗ vẫn xem được</t>
        </is>
      </c>
      <c r="I3568" s="16" t="inlineStr">
        <is>
          <t>Đạt</t>
        </is>
      </c>
      <c r="J3568" s="16" t="n">
        <v>0.005</v>
      </c>
    </row>
    <row r="3569">
      <c r="A3569" s="16" t="n">
        <v>3565</v>
      </c>
      <c r="B3569" s="16" t="inlineStr">
        <is>
          <t>Frontend</t>
        </is>
      </c>
      <c r="C3569" s="17" t="inlineStr">
        <is>
          <t>ts-sdk</t>
        </is>
      </c>
      <c r="D3569" s="16" t="inlineStr">
        <is>
          <t>Unit</t>
        </is>
      </c>
      <c r="E3569" s="17" t="inlineStr">
        <is>
          <t>client.test.ts</t>
        </is>
      </c>
      <c r="F3569" s="17" t="inlineStr">
        <is>
          <t>ApiClient</t>
        </is>
      </c>
      <c r="G3569" s="17" t="inlineStr">
        <is>
          <t>gửi Idempotency-Key khi được cấp</t>
        </is>
      </c>
      <c r="H3569" s="17" t="inlineStr">
        <is>
          <t>ApiClient gửi Idempotency-Key khi được cấp</t>
        </is>
      </c>
      <c r="I3569" s="16" t="inlineStr">
        <is>
          <t>Đạt</t>
        </is>
      </c>
      <c r="J3569" s="16" t="n">
        <v>0.005</v>
      </c>
    </row>
    <row r="3570">
      <c r="A3570" s="16" t="n">
        <v>3566</v>
      </c>
      <c r="B3570" s="16" t="inlineStr">
        <is>
          <t>Frontend</t>
        </is>
      </c>
      <c r="C3570" s="17" t="inlineStr">
        <is>
          <t>ts-sdk</t>
        </is>
      </c>
      <c r="D3570" s="16" t="inlineStr">
        <is>
          <t>Unit</t>
        </is>
      </c>
      <c r="E3570" s="17" t="inlineStr">
        <is>
          <t>client.test.ts</t>
        </is>
      </c>
      <c r="F3570" s="17" t="inlineStr">
        <is>
          <t>ApiClient</t>
        </is>
      </c>
      <c r="G3570" s="17" t="inlineStr">
        <is>
          <t>dựng ApiError từ body RFC 7807, giữ code / meta / correlationId</t>
        </is>
      </c>
      <c r="H3570" s="17" t="inlineStr">
        <is>
          <t>ApiClient dựng ApiError từ body RFC 7807, giữ code / meta / correlationId</t>
        </is>
      </c>
      <c r="I3570" s="16" t="inlineStr">
        <is>
          <t>Đạt</t>
        </is>
      </c>
      <c r="J3570" s="16" t="n">
        <v>0.006</v>
      </c>
    </row>
    <row r="3571">
      <c r="A3571" s="16" t="n">
        <v>3567</v>
      </c>
      <c r="B3571" s="16" t="inlineStr">
        <is>
          <t>Frontend</t>
        </is>
      </c>
      <c r="C3571" s="17" t="inlineStr">
        <is>
          <t>ts-sdk</t>
        </is>
      </c>
      <c r="D3571" s="16" t="inlineStr">
        <is>
          <t>Unit</t>
        </is>
      </c>
      <c r="E3571" s="17" t="inlineStr">
        <is>
          <t>client.test.ts</t>
        </is>
      </c>
      <c r="F3571" s="17" t="inlineStr">
        <is>
          <t>ApiClient</t>
        </is>
      </c>
      <c r="G3571" s="17" t="inlineStr">
        <is>
          <t>body không phải JSON (trang lỗi của hạ tầng) vẫn thành ApiError đọc được</t>
        </is>
      </c>
      <c r="H3571" s="17" t="inlineStr">
        <is>
          <t>ApiClient body không phải JSON (trang lỗi của hạ tầng) vẫn thành ApiError đọc được</t>
        </is>
      </c>
      <c r="I3571" s="16" t="inlineStr">
        <is>
          <t>Đạt</t>
        </is>
      </c>
      <c r="J3571" s="16" t="n">
        <v>0.005</v>
      </c>
    </row>
    <row r="3572">
      <c r="A3572" s="16" t="n">
        <v>3568</v>
      </c>
      <c r="B3572" s="16" t="inlineStr">
        <is>
          <t>Frontend</t>
        </is>
      </c>
      <c r="C3572" s="17" t="inlineStr">
        <is>
          <t>ts-sdk</t>
        </is>
      </c>
      <c r="D3572" s="16" t="inlineStr">
        <is>
          <t>Unit</t>
        </is>
      </c>
      <c r="E3572" s="17" t="inlineStr">
        <is>
          <t>client.test.ts</t>
        </is>
      </c>
      <c r="F3572" s="17" t="inlineStr">
        <is>
          <t>ApiClient</t>
        </is>
      </c>
      <c r="G3572" s="17" t="inlineStr">
        <is>
          <t>lấy correlationId từ header khi body không có</t>
        </is>
      </c>
      <c r="H3572" s="17" t="inlineStr">
        <is>
          <t>ApiClient lấy correlationId từ header khi body không có</t>
        </is>
      </c>
      <c r="I3572" s="16" t="inlineStr">
        <is>
          <t>Đạt</t>
        </is>
      </c>
      <c r="J3572" s="16" t="n">
        <v>0.003</v>
      </c>
    </row>
    <row r="3573">
      <c r="A3573" s="16" t="n">
        <v>3569</v>
      </c>
      <c r="B3573" s="16" t="inlineStr">
        <is>
          <t>Frontend</t>
        </is>
      </c>
      <c r="C3573" s="17" t="inlineStr">
        <is>
          <t>ts-sdk</t>
        </is>
      </c>
      <c r="D3573" s="16" t="inlineStr">
        <is>
          <t>Unit</t>
        </is>
      </c>
      <c r="E3573" s="17" t="inlineStr">
        <is>
          <t>client.test.ts</t>
        </is>
      </c>
      <c r="F3573" s="17" t="inlineStr">
        <is>
          <t>ApiClient</t>
        </is>
      </c>
      <c r="G3573" s="17" t="inlineStr">
        <is>
          <t>204 trả về null chứ không nổ khi parse JSON</t>
        </is>
      </c>
      <c r="H3573" s="17" t="inlineStr">
        <is>
          <t>ApiClient 204 trả về null chứ không nổ khi parse JSON</t>
        </is>
      </c>
      <c r="I3573" s="16" t="inlineStr">
        <is>
          <t>Đạt</t>
        </is>
      </c>
      <c r="J3573" s="16" t="n">
        <v>0.003</v>
      </c>
    </row>
    <row r="3574">
      <c r="A3574" s="16" t="n">
        <v>3570</v>
      </c>
      <c r="B3574" s="16" t="inlineStr">
        <is>
          <t>Frontend</t>
        </is>
      </c>
      <c r="C3574" s="17" t="inlineStr">
        <is>
          <t>ts-sdk</t>
        </is>
      </c>
      <c r="D3574" s="16" t="inlineStr">
        <is>
          <t>Unit</t>
        </is>
      </c>
      <c r="E3574" s="17" t="inlineStr">
        <is>
          <t>client.test.ts</t>
        </is>
      </c>
      <c r="F3574" s="17" t="inlineStr">
        <is>
          <t>ApiClient</t>
        </is>
      </c>
      <c r="G3574" s="17" t="inlineStr">
        <is>
          <t>401 từ gateway gọi onUnauthenticated — đường thoát duy nhất khi phiên bị thu hồi</t>
        </is>
      </c>
      <c r="H3574" s="17" t="inlineStr">
        <is>
          <t>ApiClient 401 từ gateway gọi onUnauthenticated — đường thoát duy nhất khi phiên bị thu hồi</t>
        </is>
      </c>
      <c r="I3574" s="16" t="inlineStr">
        <is>
          <t>Đạt</t>
        </is>
      </c>
      <c r="J3574" s="16" t="n">
        <v>0.008</v>
      </c>
    </row>
    <row r="3575">
      <c r="A3575" s="16" t="n">
        <v>3571</v>
      </c>
      <c r="B3575" s="16" t="inlineStr">
        <is>
          <t>Frontend</t>
        </is>
      </c>
      <c r="C3575" s="17" t="inlineStr">
        <is>
          <t>ts-sdk</t>
        </is>
      </c>
      <c r="D3575" s="16" t="inlineStr">
        <is>
          <t>Unit</t>
        </is>
      </c>
      <c r="E3575" s="17" t="inlineStr">
        <is>
          <t>client.test.ts</t>
        </is>
      </c>
      <c r="F3575" s="17" t="inlineStr">
        <is>
          <t>ApiClient</t>
        </is>
      </c>
      <c r="G3575" s="17" t="inlineStr">
        <is>
          <t>403 KHÔNG gọi onUnauthenticated — thiếu quyền không phải mất phiên</t>
        </is>
      </c>
      <c r="H3575" s="17" t="inlineStr">
        <is>
          <t>ApiClient 403 KHÔNG gọi onUnauthenticated — thiếu quyền không phải mất phiên</t>
        </is>
      </c>
      <c r="I3575" s="16" t="inlineStr">
        <is>
          <t>Đạt</t>
        </is>
      </c>
      <c r="J3575" s="16" t="n">
        <v>0.005</v>
      </c>
    </row>
    <row r="3576">
      <c r="A3576" s="16" t="n">
        <v>3572</v>
      </c>
      <c r="B3576" s="16" t="inlineStr">
        <is>
          <t>Frontend</t>
        </is>
      </c>
      <c r="C3576" s="17" t="inlineStr">
        <is>
          <t>ts-sdk</t>
        </is>
      </c>
      <c r="D3576" s="16" t="inlineStr">
        <is>
          <t>Unit</t>
        </is>
      </c>
      <c r="E3576" s="17" t="inlineStr">
        <is>
          <t>client.test.ts</t>
        </is>
      </c>
      <c r="F3576" s="17" t="inlineStr">
        <is>
          <t>ApiClient</t>
        </is>
      </c>
      <c r="G3576" s="17" t="inlineStr">
        <is>
          <t>mất mạng thành ApiError NETWORK_ERROR, không phải TypeError trần</t>
        </is>
      </c>
      <c r="H3576" s="17" t="inlineStr">
        <is>
          <t>ApiClient mất mạng thành ApiError NETWORK_ERROR, không phải TypeError trần</t>
        </is>
      </c>
      <c r="I3576" s="16" t="inlineStr">
        <is>
          <t>Đạt</t>
        </is>
      </c>
      <c r="J3576" s="16" t="n">
        <v>0.004</v>
      </c>
    </row>
    <row r="3577">
      <c r="A3577" s="16" t="n">
        <v>3573</v>
      </c>
      <c r="B3577" s="16" t="inlineStr">
        <is>
          <t>Frontend</t>
        </is>
      </c>
      <c r="C3577" s="17" t="inlineStr">
        <is>
          <t>ts-sdk</t>
        </is>
      </c>
      <c r="D3577" s="16" t="inlineStr">
        <is>
          <t>Unit</t>
        </is>
      </c>
      <c r="E3577" s="17" t="inlineStr">
        <is>
          <t>client.test.ts</t>
        </is>
      </c>
      <c r="F3577" s="17" t="inlineStr">
        <is>
          <t>ApiClient</t>
        </is>
      </c>
      <c r="G3577" s="17" t="inlineStr">
        <is>
          <t>timeoutMs của một lời gọi thắng hạn mặc định của client</t>
        </is>
      </c>
      <c r="H3577" s="17" t="inlineStr">
        <is>
          <t>ApiClient timeoutMs của một lời gọi thắng hạn mặc định của client</t>
        </is>
      </c>
      <c r="I3577" s="16" t="inlineStr">
        <is>
          <t>Đạt</t>
        </is>
      </c>
      <c r="J3577" s="16" t="n">
        <v>0.003</v>
      </c>
    </row>
    <row r="3578">
      <c r="A3578" s="16" t="n">
        <v>3574</v>
      </c>
      <c r="B3578" s="16" t="inlineStr">
        <is>
          <t>Frontend</t>
        </is>
      </c>
      <c r="C3578" s="17" t="inlineStr">
        <is>
          <t>ts-sdk</t>
        </is>
      </c>
      <c r="D3578" s="16" t="inlineStr">
        <is>
          <t>Unit</t>
        </is>
      </c>
      <c r="E3578" s="17" t="inlineStr">
        <is>
          <t>client.test.ts</t>
        </is>
      </c>
      <c r="F3578" s="17" t="inlineStr">
        <is>
          <t>ApiClient</t>
        </is>
      </c>
      <c r="G3578" s="17" t="inlineStr">
        <is>
          <t>không truyền timeoutMs thì vẫn là 15 giây — nới hạn là việc của từng endpoint</t>
        </is>
      </c>
      <c r="H3578" s="17" t="inlineStr">
        <is>
          <t>ApiClient không truyền timeoutMs thì vẫn là 15 giây — nới hạn là việc của từng endpoint</t>
        </is>
      </c>
      <c r="I3578" s="16" t="inlineStr">
        <is>
          <t>Đạt</t>
        </is>
      </c>
      <c r="J3578" s="16" t="n">
        <v>0.01</v>
      </c>
    </row>
    <row r="3579">
      <c r="A3579" s="16" t="n">
        <v>3575</v>
      </c>
      <c r="B3579" s="16" t="inlineStr">
        <is>
          <t>Frontend</t>
        </is>
      </c>
      <c r="C3579" s="17" t="inlineStr">
        <is>
          <t>ts-sdk</t>
        </is>
      </c>
      <c r="D3579" s="16" t="inlineStr">
        <is>
          <t>Unit</t>
        </is>
      </c>
      <c r="E3579" s="17" t="inlineStr">
        <is>
          <t>client.test.ts</t>
        </is>
      </c>
      <c r="F3579" s="17" t="inlineStr">
        <is>
          <t>receiver của fetch</t>
        </is>
      </c>
      <c r="G3579" s="17" t="inlineStr">
        <is>
          <t>luôn là globalThis, không phải chính ApiClient</t>
        </is>
      </c>
      <c r="H3579" s="17" t="inlineStr">
        <is>
          <t>receiver của fetch luôn là globalThis, không phải chính ApiClient</t>
        </is>
      </c>
      <c r="I3579" s="16" t="inlineStr">
        <is>
          <t>Đạt</t>
        </is>
      </c>
      <c r="J3579" s="16" t="n">
        <v>0.001</v>
      </c>
    </row>
    <row r="3580">
      <c r="A3580" s="16" t="n">
        <v>3576</v>
      </c>
      <c r="B3580" s="16" t="inlineStr">
        <is>
          <t>Frontend</t>
        </is>
      </c>
      <c r="C3580" s="17" t="inlineStr">
        <is>
          <t>ts-sdk</t>
        </is>
      </c>
      <c r="D3580" s="16" t="inlineStr">
        <is>
          <t>Unit</t>
        </is>
      </c>
      <c r="E3580" s="17" t="inlineStr">
        <is>
          <t>floor-plan.test.ts</t>
        </is>
      </c>
      <c r="F3580" s="17" t="inlineStr">
        <is>
          <t>seatPositionsFitFloorPlan</t>
        </is>
      </c>
      <c r="G3580" s="17" t="inlineStr">
        <is>
          <t>toạ độ mét đúng khu: vẽ được</t>
        </is>
      </c>
      <c r="H3580" s="17" t="inlineStr">
        <is>
          <t>seatPositionsFitFloorPlan toạ độ mét đúng khu: vẽ được</t>
        </is>
      </c>
      <c r="I3580" s="16" t="inlineStr">
        <is>
          <t>Đạt</t>
        </is>
      </c>
      <c r="J3580" s="16" t="n">
        <v>0.001</v>
      </c>
    </row>
    <row r="3581">
      <c r="A3581" s="16" t="n">
        <v>3577</v>
      </c>
      <c r="B3581" s="16" t="inlineStr">
        <is>
          <t>Frontend</t>
        </is>
      </c>
      <c r="C3581" s="17" t="inlineStr">
        <is>
          <t>ts-sdk</t>
        </is>
      </c>
      <c r="D3581" s="16" t="inlineStr">
        <is>
          <t>Unit</t>
        </is>
      </c>
      <c r="E3581" s="17" t="inlineStr">
        <is>
          <t>floor-plan.test.ts</t>
        </is>
      </c>
      <c r="F3581" s="17" t="inlineStr">
        <is>
          <t>seatPositionsFitFloorPlan</t>
        </is>
      </c>
      <c r="G3581" s="17" t="inlineStr">
        <is>
          <t>toạ độ là chỉ số hàng/cột: KHÔNG vẽ</t>
        </is>
      </c>
      <c r="H3581" s="17" t="inlineStr">
        <is>
          <t>seatPositionsFitFloorPlan toạ độ là chỉ số hàng/cột: KHÔNG vẽ</t>
        </is>
      </c>
      <c r="I3581" s="16" t="inlineStr">
        <is>
          <t>Đạt</t>
        </is>
      </c>
      <c r="J3581" s="16" t="n">
        <v>0</v>
      </c>
    </row>
    <row r="3582">
      <c r="A3582" s="16" t="n">
        <v>3578</v>
      </c>
      <c r="B3582" s="16" t="inlineStr">
        <is>
          <t>Frontend</t>
        </is>
      </c>
      <c r="C3582" s="17" t="inlineStr">
        <is>
          <t>ts-sdk</t>
        </is>
      </c>
      <c r="D3582" s="16" t="inlineStr">
        <is>
          <t>Unit</t>
        </is>
      </c>
      <c r="E3582" s="17" t="inlineStr">
        <is>
          <t>floor-plan.test.ts</t>
        </is>
      </c>
      <c r="F3582" s="17" t="inlineStr">
        <is>
          <t>seatPositionsFitFloorPlan</t>
        </is>
      </c>
      <c r="G3582" s="17" t="inlineStr">
        <is>
          <t>vài ghế mép nhô khỏi đa giác vẫn chấp nhận được</t>
        </is>
      </c>
      <c r="H3582" s="17" t="inlineStr">
        <is>
          <t>seatPositionsFitFloorPlan vài ghế mép nhô khỏi đa giác vẫn chấp nhận được</t>
        </is>
      </c>
      <c r="I3582" s="16" t="inlineStr">
        <is>
          <t>Đạt</t>
        </is>
      </c>
      <c r="J3582" s="16" t="n">
        <v>0</v>
      </c>
    </row>
    <row r="3583">
      <c r="A3583" s="16" t="n">
        <v>3579</v>
      </c>
      <c r="B3583" s="16" t="inlineStr">
        <is>
          <t>Frontend</t>
        </is>
      </c>
      <c r="C3583" s="17" t="inlineStr">
        <is>
          <t>ts-sdk</t>
        </is>
      </c>
      <c r="D3583" s="16" t="inlineStr">
        <is>
          <t>Unit</t>
        </is>
      </c>
      <c r="E3583" s="17" t="inlineStr">
        <is>
          <t>floor-plan.test.ts</t>
        </is>
      </c>
      <c r="F3583" s="17" t="inlineStr">
        <is>
          <t>seatPositionsFitFloorPlan</t>
        </is>
      </c>
      <c r="G3583" s="17" t="inlineStr">
        <is>
          <t>không có toạ độ nào: không vẽ được, và đó không phải lỗi</t>
        </is>
      </c>
      <c r="H3583" s="17" t="inlineStr">
        <is>
          <t>seatPositionsFitFloorPlan không có toạ độ nào: không vẽ được, và đó không phải lỗi</t>
        </is>
      </c>
      <c r="I3583" s="16" t="inlineStr">
        <is>
          <t>Đạt</t>
        </is>
      </c>
      <c r="J3583" s="16" t="n">
        <v>0</v>
      </c>
    </row>
    <row r="3584">
      <c r="A3584" s="16" t="n">
        <v>3580</v>
      </c>
      <c r="B3584" s="16" t="inlineStr">
        <is>
          <t>Frontend</t>
        </is>
      </c>
      <c r="C3584" s="17" t="inlineStr">
        <is>
          <t>ts-sdk</t>
        </is>
      </c>
      <c r="D3584" s="16" t="inlineStr">
        <is>
          <t>Unit</t>
        </is>
      </c>
      <c r="E3584" s="17" t="inlineStr">
        <is>
          <t>floor-plan.test.ts</t>
        </is>
      </c>
      <c r="F3584" s="17" t="inlineStr">
        <is>
          <t>seatPositionsFitFloorPlan</t>
        </is>
      </c>
      <c r="G3584" s="17" t="inlineStr">
        <is>
          <t>khu không có ghế nào trong dữ liệu thì bỏ qua, không kéo cả sơ đồ xuống</t>
        </is>
      </c>
      <c r="H3584" s="17" t="inlineStr">
        <is>
          <t>seatPositionsFitFloorPlan khu không có ghế nào trong dữ liệu thì bỏ qua, không kéo cả sơ đồ xuống</t>
        </is>
      </c>
      <c r="I3584" s="16" t="inlineStr">
        <is>
          <t>Đạt</t>
        </is>
      </c>
      <c r="J3584" s="16" t="n">
        <v>0</v>
      </c>
    </row>
    <row r="3585">
      <c r="A3585" s="16" t="n">
        <v>3581</v>
      </c>
      <c r="B3585" s="16" t="inlineStr">
        <is>
          <t>Frontend</t>
        </is>
      </c>
      <c r="C3585" s="17" t="inlineStr">
        <is>
          <t>ts-sdk</t>
        </is>
      </c>
      <c r="D3585" s="16" t="inlineStr">
        <is>
          <t>Unit</t>
        </is>
      </c>
      <c r="E3585" s="17" t="inlineStr">
        <is>
          <t>hooks.test.tsx</t>
        </is>
      </c>
      <c r="F3585" s="17" t="inlineStr">
        <is>
          <t>useApiClient</t>
        </is>
      </c>
      <c r="G3585" s="17" t="inlineStr">
        <is>
          <t>ném lỗi rõ ràng khi quên bọc NexaQueryProvider</t>
        </is>
      </c>
      <c r="H3585" s="17" t="inlineStr">
        <is>
          <t>useApiClient ném lỗi rõ ràng khi quên bọc NexaQueryProvider</t>
        </is>
      </c>
      <c r="I3585" s="16" t="inlineStr">
        <is>
          <t>Đạt</t>
        </is>
      </c>
      <c r="J3585" s="16" t="n">
        <v>0.02</v>
      </c>
    </row>
    <row r="3586">
      <c r="A3586" s="16" t="n">
        <v>3582</v>
      </c>
      <c r="B3586" s="16" t="inlineStr">
        <is>
          <t>Frontend</t>
        </is>
      </c>
      <c r="C3586" s="17" t="inlineStr">
        <is>
          <t>ts-sdk</t>
        </is>
      </c>
      <c r="D3586" s="16" t="inlineStr">
        <is>
          <t>Unit</t>
        </is>
      </c>
      <c r="E3586" s="17" t="inlineStr">
        <is>
          <t>hooks.test.tsx</t>
        </is>
      </c>
      <c r="F3586" s="17" t="inlineStr">
        <is>
          <t>ordering hooks</t>
        </is>
      </c>
      <c r="G3586" s="17" t="inlineStr">
        <is>
          <t>useMyOrders: trang mặc định 20/0 nằm trong cả key lẫn URL</t>
        </is>
      </c>
      <c r="H3586" s="17" t="inlineStr">
        <is>
          <t>ordering hooks useMyOrders: trang mặc định 20/0 nằm trong cả key lẫn URL</t>
        </is>
      </c>
      <c r="I3586" s="16" t="inlineStr">
        <is>
          <t>Đạt</t>
        </is>
      </c>
      <c r="J3586" s="16" t="n">
        <v>0.08500000000000001</v>
      </c>
    </row>
    <row r="3587">
      <c r="A3587" s="16" t="n">
        <v>3583</v>
      </c>
      <c r="B3587" s="16" t="inlineStr">
        <is>
          <t>Frontend</t>
        </is>
      </c>
      <c r="C3587" s="17" t="inlineStr">
        <is>
          <t>ts-sdk</t>
        </is>
      </c>
      <c r="D3587" s="16" t="inlineStr">
        <is>
          <t>Unit</t>
        </is>
      </c>
      <c r="E3587" s="17" t="inlineStr">
        <is>
          <t>hooks.test.tsx</t>
        </is>
      </c>
      <c r="F3587" s="17" t="inlineStr">
        <is>
          <t>ordering hooks</t>
        </is>
      </c>
      <c r="G3587" s="17" t="inlineStr">
        <is>
          <t>useOrder không gọi mạng khi chưa có orderId</t>
        </is>
      </c>
      <c r="H3587" s="17" t="inlineStr">
        <is>
          <t>ordering hooks useOrder không gọi mạng khi chưa có orderId</t>
        </is>
      </c>
      <c r="I3587" s="16" t="inlineStr">
        <is>
          <t>Đạt</t>
        </is>
      </c>
      <c r="J3587" s="16" t="n">
        <v>0.003</v>
      </c>
    </row>
    <row r="3588">
      <c r="A3588" s="16" t="n">
        <v>3584</v>
      </c>
      <c r="B3588" s="16" t="inlineStr">
        <is>
          <t>Frontend</t>
        </is>
      </c>
      <c r="C3588" s="17" t="inlineStr">
        <is>
          <t>ts-sdk</t>
        </is>
      </c>
      <c r="D3588" s="16" t="inlineStr">
        <is>
          <t>Unit</t>
        </is>
      </c>
      <c r="E3588" s="17" t="inlineStr">
        <is>
          <t>hooks.test.tsx</t>
        </is>
      </c>
      <c r="F3588" s="17" t="inlineStr">
        <is>
          <t>ordering hooks</t>
        </is>
      </c>
      <c r="G3588" s="17" t="inlineStr">
        <is>
          <t>useCancelOrder làm mới MỌI trang danh sách đơn và chính đơn đó</t>
        </is>
      </c>
      <c r="H3588" s="17" t="inlineStr">
        <is>
          <t>ordering hooks useCancelOrder làm mới MỌI trang danh sách đơn và chính đơn đó</t>
        </is>
      </c>
      <c r="I3588" s="16" t="inlineStr">
        <is>
          <t>Đạt</t>
        </is>
      </c>
      <c r="J3588" s="16" t="n">
        <v>0.005</v>
      </c>
    </row>
    <row r="3589">
      <c r="A3589" s="16" t="n">
        <v>3585</v>
      </c>
      <c r="B3589" s="16" t="inlineStr">
        <is>
          <t>Frontend</t>
        </is>
      </c>
      <c r="C3589" s="17" t="inlineStr">
        <is>
          <t>ts-sdk</t>
        </is>
      </c>
      <c r="D3589" s="16" t="inlineStr">
        <is>
          <t>Unit</t>
        </is>
      </c>
      <c r="E3589" s="17" t="inlineStr">
        <is>
          <t>hooks.test.tsx</t>
        </is>
      </c>
      <c r="F3589" s="17" t="inlineStr">
        <is>
          <t>ordering hooks</t>
        </is>
      </c>
      <c r="G3589" s="17" t="inlineStr">
        <is>
          <t>useCancelOrder không thử lại và không invalidate khi backend từ chối</t>
        </is>
      </c>
      <c r="H3589" s="17" t="inlineStr">
        <is>
          <t>ordering hooks useCancelOrder không thử lại và không invalidate khi backend từ chối</t>
        </is>
      </c>
      <c r="I3589" s="16" t="inlineStr">
        <is>
          <t>Đạt</t>
        </is>
      </c>
      <c r="J3589" s="16" t="n">
        <v>0.003</v>
      </c>
    </row>
    <row r="3590">
      <c r="A3590" s="16" t="n">
        <v>3586</v>
      </c>
      <c r="B3590" s="16" t="inlineStr">
        <is>
          <t>Frontend</t>
        </is>
      </c>
      <c r="C3590" s="17" t="inlineStr">
        <is>
          <t>ts-sdk</t>
        </is>
      </c>
      <c r="D3590" s="16" t="inlineStr">
        <is>
          <t>Unit</t>
        </is>
      </c>
      <c r="E3590" s="17" t="inlineStr">
        <is>
          <t>hooks.test.tsx</t>
        </is>
      </c>
      <c r="F3590" s="17" t="inlineStr">
        <is>
          <t>inventory hooks</t>
        </is>
      </c>
      <c r="G3590" s="17" t="inlineStr">
        <is>
          <t>useSeatMap lần refetch gửi If-None-Match từ snapshot đang cache, 304 giữ dữ liệu cũ</t>
        </is>
      </c>
      <c r="H3590" s="17" t="inlineStr">
        <is>
          <t>inventory hooks useSeatMap lần refetch gửi If-None-Match từ snapshot đang cache, 304 giữ dữ liệu cũ</t>
        </is>
      </c>
      <c r="I3590" s="16" t="inlineStr">
        <is>
          <t>Đạt</t>
        </is>
      </c>
      <c r="J3590" s="16" t="n">
        <v>0.08500000000000001</v>
      </c>
    </row>
    <row r="3591">
      <c r="A3591" s="16" t="n">
        <v>3587</v>
      </c>
      <c r="B3591" s="16" t="inlineStr">
        <is>
          <t>Frontend</t>
        </is>
      </c>
      <c r="C3591" s="17" t="inlineStr">
        <is>
          <t>ts-sdk</t>
        </is>
      </c>
      <c r="D3591" s="16" t="inlineStr">
        <is>
          <t>Unit</t>
        </is>
      </c>
      <c r="E3591" s="17" t="inlineStr">
        <is>
          <t>hooks.test.tsx</t>
        </is>
      </c>
      <c r="F3591" s="17" t="inlineStr">
        <is>
          <t>inventory hooks</t>
        </is>
      </c>
      <c r="G3591" s="17" t="inlineStr">
        <is>
          <t>useSeatMap tắt khi enabled=false</t>
        </is>
      </c>
      <c r="H3591" s="17" t="inlineStr">
        <is>
          <t>inventory hooks useSeatMap tắt khi enabled=false</t>
        </is>
      </c>
      <c r="I3591" s="16" t="inlineStr">
        <is>
          <t>Đạt</t>
        </is>
      </c>
      <c r="J3591" s="16" t="n">
        <v>0.002</v>
      </c>
    </row>
    <row r="3592">
      <c r="A3592" s="16" t="n">
        <v>3588</v>
      </c>
      <c r="B3592" s="16" t="inlineStr">
        <is>
          <t>Frontend</t>
        </is>
      </c>
      <c r="C3592" s="17" t="inlineStr">
        <is>
          <t>ts-sdk</t>
        </is>
      </c>
      <c r="D3592" s="16" t="inlineStr">
        <is>
          <t>Unit</t>
        </is>
      </c>
      <c r="E3592" s="17" t="inlineStr">
        <is>
          <t>hooks.test.tsx</t>
        </is>
      </c>
      <c r="F3592" s="17" t="inlineStr">
        <is>
          <t>inventory hooks</t>
        </is>
      </c>
      <c r="G3592" s="17" t="inlineStr">
        <is>
          <t>usePlaceHold gửi Idempotency-Key KHÔNG lọt vào body, rồi làm mới sơ đồ của đúng suất</t>
        </is>
      </c>
      <c r="H3592" s="17" t="inlineStr">
        <is>
          <t>inventory hooks usePlaceHold gửi Idempotency-Key KHÔNG lọt vào body, rồi làm mới sơ đồ của đúng suất</t>
        </is>
      </c>
      <c r="I3592" s="16" t="inlineStr">
        <is>
          <t>Đạt</t>
        </is>
      </c>
      <c r="J3592" s="16" t="n">
        <v>0.002</v>
      </c>
    </row>
    <row r="3593">
      <c r="A3593" s="16" t="n">
        <v>3589</v>
      </c>
      <c r="B3593" s="16" t="inlineStr">
        <is>
          <t>Frontend</t>
        </is>
      </c>
      <c r="C3593" s="17" t="inlineStr">
        <is>
          <t>ts-sdk</t>
        </is>
      </c>
      <c r="D3593" s="16" t="inlineStr">
        <is>
          <t>Unit</t>
        </is>
      </c>
      <c r="E3593" s="17" t="inlineStr">
        <is>
          <t>hooks.test.tsx</t>
        </is>
      </c>
      <c r="F3593" s="17" t="inlineStr">
        <is>
          <t>inventory hooks</t>
        </is>
      </c>
      <c r="G3593" s="17" t="inlineStr">
        <is>
          <t>useReleaseHold làm mới sơ đồ sau khi nhả chỗ</t>
        </is>
      </c>
      <c r="H3593" s="17" t="inlineStr">
        <is>
          <t>inventory hooks useReleaseHold làm mới sơ đồ sau khi nhả chỗ</t>
        </is>
      </c>
      <c r="I3593" s="16" t="inlineStr">
        <is>
          <t>Đạt</t>
        </is>
      </c>
      <c r="J3593" s="16" t="n">
        <v>0.002</v>
      </c>
    </row>
    <row r="3594">
      <c r="A3594" s="16" t="n">
        <v>3590</v>
      </c>
      <c r="B3594" s="16" t="inlineStr">
        <is>
          <t>Frontend</t>
        </is>
      </c>
      <c r="C3594" s="17" t="inlineStr">
        <is>
          <t>ts-sdk</t>
        </is>
      </c>
      <c r="D3594" s="16" t="inlineStr">
        <is>
          <t>Unit</t>
        </is>
      </c>
      <c r="E3594" s="17" t="inlineStr">
        <is>
          <t>hooks.test.tsx</t>
        </is>
      </c>
      <c r="F3594" s="17" t="inlineStr">
        <is>
          <t>ticketing hooks</t>
        </is>
      </c>
      <c r="G3594" s="17" t="inlineStr">
        <is>
          <t>useMyTickets mặc định 50/0; useOrderTickets chờ có orderId</t>
        </is>
      </c>
      <c r="H3594" s="17" t="inlineStr">
        <is>
          <t>ticketing hooks useMyTickets mặc định 50/0; useOrderTickets chờ có orderId</t>
        </is>
      </c>
      <c r="I3594" s="16" t="inlineStr">
        <is>
          <t>Đạt</t>
        </is>
      </c>
      <c r="J3594" s="16" t="n">
        <v>0.07000000000000001</v>
      </c>
    </row>
    <row r="3595">
      <c r="A3595" s="16" t="n">
        <v>3591</v>
      </c>
      <c r="B3595" s="16" t="inlineStr">
        <is>
          <t>Frontend</t>
        </is>
      </c>
      <c r="C3595" s="17" t="inlineStr">
        <is>
          <t>ts-sdk</t>
        </is>
      </c>
      <c r="D3595" s="16" t="inlineStr">
        <is>
          <t>Unit</t>
        </is>
      </c>
      <c r="E3595" s="17" t="inlineStr">
        <is>
          <t>hooks.test.tsx</t>
        </is>
      </c>
      <c r="F3595" s="17" t="inlineStr">
        <is>
          <t>identity hooks</t>
        </is>
      </c>
      <c r="G3595" s="17" t="inlineStr">
        <is>
          <t>useAcceptInvitation làm mới danh sách tổ chức của tôi và tổ chức vừa vào</t>
        </is>
      </c>
      <c r="H3595" s="17" t="inlineStr">
        <is>
          <t>identity hooks useAcceptInvitation làm mới danh sách tổ chức của tôi và tổ chức vừa vào</t>
        </is>
      </c>
      <c r="I3595" s="16" t="inlineStr">
        <is>
          <t>Đạt</t>
        </is>
      </c>
      <c r="J3595" s="16" t="n">
        <v>0.003</v>
      </c>
    </row>
    <row r="3596">
      <c r="A3596" s="16" t="n">
        <v>3592</v>
      </c>
      <c r="B3596" s="16" t="inlineStr">
        <is>
          <t>Frontend</t>
        </is>
      </c>
      <c r="C3596" s="17" t="inlineStr">
        <is>
          <t>ts-sdk</t>
        </is>
      </c>
      <c r="D3596" s="16" t="inlineStr">
        <is>
          <t>Unit</t>
        </is>
      </c>
      <c r="E3596" s="17" t="inlineStr">
        <is>
          <t>hooks.test.tsx</t>
        </is>
      </c>
      <c r="F3596" s="17" t="inlineStr">
        <is>
          <t>identity hooks</t>
        </is>
      </c>
      <c r="G3596" s="17" t="inlineStr">
        <is>
          <t>useChangeMemberRole làm mới danh sách thành viên VÀ quyền của chính mình</t>
        </is>
      </c>
      <c r="H3596" s="17" t="inlineStr">
        <is>
          <t>identity hooks useChangeMemberRole làm mới danh sách thành viên VÀ quyền của chính mình</t>
        </is>
      </c>
      <c r="I3596" s="16" t="inlineStr">
        <is>
          <t>Đạt</t>
        </is>
      </c>
      <c r="J3596" s="16" t="n">
        <v>0.002</v>
      </c>
    </row>
    <row r="3597">
      <c r="A3597" s="16" t="n">
        <v>3593</v>
      </c>
      <c r="B3597" s="16" t="inlineStr">
        <is>
          <t>Frontend</t>
        </is>
      </c>
      <c r="C3597" s="17" t="inlineStr">
        <is>
          <t>ts-sdk</t>
        </is>
      </c>
      <c r="D3597" s="16" t="inlineStr">
        <is>
          <t>Unit</t>
        </is>
      </c>
      <c r="E3597" s="17" t="inlineStr">
        <is>
          <t>hooks.test.tsx</t>
        </is>
      </c>
      <c r="F3597" s="17" t="inlineStr">
        <is>
          <t>identity hooks</t>
        </is>
      </c>
      <c r="G3597" s="17" t="inlineStr">
        <is>
          <t>useCreateOrganization tách idempotencyKey ra header và làm mới danh sách nền tảng</t>
        </is>
      </c>
      <c r="H3597" s="17" t="inlineStr">
        <is>
          <t>identity hooks useCreateOrganization tách idempotencyKey ra header và làm mới danh sách nền tảng</t>
        </is>
      </c>
      <c r="I3597" s="16" t="inlineStr">
        <is>
          <t>Đạt</t>
        </is>
      </c>
      <c r="J3597" s="16" t="n">
        <v>0.002</v>
      </c>
    </row>
    <row r="3598">
      <c r="A3598" s="16" t="n">
        <v>3594</v>
      </c>
      <c r="B3598" s="16" t="inlineStr">
        <is>
          <t>Frontend</t>
        </is>
      </c>
      <c r="C3598" s="17" t="inlineStr">
        <is>
          <t>ts-sdk</t>
        </is>
      </c>
      <c r="D3598" s="16" t="inlineStr">
        <is>
          <t>Unit</t>
        </is>
      </c>
      <c r="E3598" s="17" t="inlineStr">
        <is>
          <t>hooks.test.tsx</t>
        </is>
      </c>
      <c r="F3598" s="17" t="inlineStr">
        <is>
          <t>catalog hooks</t>
        </is>
      </c>
      <c r="G3598" s="17" t="inlineStr">
        <is>
          <t>usePublishEvent ghi thẳng sự kiện vào cache chi tiết và làm mới danh sách</t>
        </is>
      </c>
      <c r="H3598" s="17" t="inlineStr">
        <is>
          <t>catalog hooks usePublishEvent ghi thẳng sự kiện vào cache chi tiết và làm mới danh sách</t>
        </is>
      </c>
      <c r="I3598" s="16" t="inlineStr">
        <is>
          <t>Đạt</t>
        </is>
      </c>
      <c r="J3598" s="16" t="n">
        <v>0.002</v>
      </c>
    </row>
    <row r="3599">
      <c r="A3599" s="16" t="n">
        <v>3595</v>
      </c>
      <c r="B3599" s="16" t="inlineStr">
        <is>
          <t>Frontend</t>
        </is>
      </c>
      <c r="C3599" s="17" t="inlineStr">
        <is>
          <t>ts-sdk</t>
        </is>
      </c>
      <c r="D3599" s="16" t="inlineStr">
        <is>
          <t>Unit</t>
        </is>
      </c>
      <c r="E3599" s="17" t="inlineStr">
        <is>
          <t>hooks.test.tsx</t>
        </is>
      </c>
      <c r="F3599" s="17" t="inlineStr">
        <is>
          <t>catalog hooks</t>
        </is>
      </c>
      <c r="G3599" s="17" t="inlineStr">
        <is>
          <t>useBulkTicketTypes: một dòng hỏng không chặn các dòng sau, lỗi mang `code` chứ không phải detail</t>
        </is>
      </c>
      <c r="H3599" s="17" t="inlineStr">
        <is>
          <t>catalog hooks useBulkTicketTypes: một dòng hỏng không chặn các dòng sau, lỗi mang `code` chứ không phải detail</t>
        </is>
      </c>
      <c r="I3599" s="16" t="inlineStr">
        <is>
          <t>Đạt</t>
        </is>
      </c>
      <c r="J3599" s="16" t="n">
        <v>0.003</v>
      </c>
    </row>
    <row r="3600">
      <c r="A3600" s="16" t="n">
        <v>3596</v>
      </c>
      <c r="B3600" s="16" t="inlineStr">
        <is>
          <t>Frontend</t>
        </is>
      </c>
      <c r="C3600" s="17" t="inlineStr">
        <is>
          <t>ts-sdk</t>
        </is>
      </c>
      <c r="D3600" s="16" t="inlineStr">
        <is>
          <t>Unit</t>
        </is>
      </c>
      <c r="E3600" s="17" t="inlineStr">
        <is>
          <t>hooks.test.tsx</t>
        </is>
      </c>
      <c r="F3600" s="17" t="inlineStr">
        <is>
          <t>support hooks</t>
        </is>
      </c>
      <c r="G3600" s="17" t="inlineStr">
        <is>
          <t>useKnowledgePreview không gọi mạng với câu hỏi chỉ có khoảng trắng</t>
        </is>
      </c>
      <c r="H3600" s="17" t="inlineStr">
        <is>
          <t>support hooks useKnowledgePreview không gọi mạng với câu hỏi chỉ có khoảng trắng</t>
        </is>
      </c>
      <c r="I3600" s="16" t="inlineStr">
        <is>
          <t>Đạt</t>
        </is>
      </c>
      <c r="J3600" s="16" t="n">
        <v>0.002</v>
      </c>
    </row>
    <row r="3601">
      <c r="A3601" s="16" t="n">
        <v>3597</v>
      </c>
      <c r="B3601" s="16" t="inlineStr">
        <is>
          <t>Frontend</t>
        </is>
      </c>
      <c r="C3601" s="17" t="inlineStr">
        <is>
          <t>ts-sdk</t>
        </is>
      </c>
      <c r="D3601" s="16" t="inlineStr">
        <is>
          <t>Unit</t>
        </is>
      </c>
      <c r="E3601" s="17" t="inlineStr">
        <is>
          <t>hooks.test.tsx</t>
        </is>
      </c>
      <c r="F3601" s="17" t="inlineStr">
        <is>
          <t>support hooks</t>
        </is>
      </c>
      <c r="G3601" s="17" t="inlineStr">
        <is>
          <t>useClaimHandoff ghi luồng vào cache của phiếu và làm mới cả nhánh support</t>
        </is>
      </c>
      <c r="H3601" s="17" t="inlineStr">
        <is>
          <t>support hooks useClaimHandoff ghi luồng vào cache của phiếu và làm mới cả nhánh support</t>
        </is>
      </c>
      <c r="I3601" s="16" t="inlineStr">
        <is>
          <t>Đạt</t>
        </is>
      </c>
      <c r="J3601" s="16" t="n">
        <v>0.006</v>
      </c>
    </row>
    <row r="3602">
      <c r="A3602" s="16" t="n">
        <v>3598</v>
      </c>
      <c r="B3602" s="16" t="inlineStr">
        <is>
          <t>Frontend</t>
        </is>
      </c>
      <c r="C3602" s="17" t="inlineStr">
        <is>
          <t>ts-sdk</t>
        </is>
      </c>
      <c r="D3602" s="16" t="inlineStr">
        <is>
          <t>Unit</t>
        </is>
      </c>
      <c r="E3602" s="17" t="inlineStr">
        <is>
          <t>idempotency.test.tsx</t>
        </is>
      </c>
      <c r="F3602" s="17" t="inlineStr">
        <is>
          <t>useIdempotencyKey</t>
        </is>
      </c>
      <c r="G3602" s="17" t="inlineStr">
        <is>
          <t>giữ nguyên khoá qua nhiều lần render — thử lại phải mang đúng khoá cũ</t>
        </is>
      </c>
      <c r="H3602" s="17" t="inlineStr">
        <is>
          <t>useIdempotencyKey giữ nguyên khoá qua nhiều lần render — thử lại phải mang đúng khoá cũ</t>
        </is>
      </c>
      <c r="I3602" s="16" t="inlineStr">
        <is>
          <t>Đạt</t>
        </is>
      </c>
      <c r="J3602" s="16" t="n">
        <v>0.025</v>
      </c>
    </row>
    <row r="3603">
      <c r="A3603" s="16" t="n">
        <v>3599</v>
      </c>
      <c r="B3603" s="16" t="inlineStr">
        <is>
          <t>Frontend</t>
        </is>
      </c>
      <c r="C3603" s="17" t="inlineStr">
        <is>
          <t>ts-sdk</t>
        </is>
      </c>
      <c r="D3603" s="16" t="inlineStr">
        <is>
          <t>Unit</t>
        </is>
      </c>
      <c r="E3603" s="17" t="inlineStr">
        <is>
          <t>idempotency.test.tsx</t>
        </is>
      </c>
      <c r="F3603" s="17" t="inlineStr">
        <is>
          <t>useIdempotencyKey</t>
        </is>
      </c>
      <c r="G3603" s="17" t="inlineStr">
        <is>
          <t>đổi lựa chọn thì sinh khoá mới — đó là một ý định khác</t>
        </is>
      </c>
      <c r="H3603" s="17" t="inlineStr">
        <is>
          <t>useIdempotencyKey đổi lựa chọn thì sinh khoá mới — đó là một ý định khác</t>
        </is>
      </c>
      <c r="I3603" s="16" t="inlineStr">
        <is>
          <t>Đạt</t>
        </is>
      </c>
      <c r="J3603" s="16" t="n">
        <v>0.003</v>
      </c>
    </row>
    <row r="3604">
      <c r="A3604" s="16" t="n">
        <v>3600</v>
      </c>
      <c r="B3604" s="16" t="inlineStr">
        <is>
          <t>Frontend</t>
        </is>
      </c>
      <c r="C3604" s="17" t="inlineStr">
        <is>
          <t>ts-sdk</t>
        </is>
      </c>
      <c r="D3604" s="16" t="inlineStr">
        <is>
          <t>Unit</t>
        </is>
      </c>
      <c r="E3604" s="17" t="inlineStr">
        <is>
          <t>idempotency.test.tsx</t>
        </is>
      </c>
      <c r="F3604" s="17" t="inlineStr">
        <is>
          <t>useIdempotencyKey</t>
        </is>
      </c>
      <c r="G3604" s="17" t="inlineStr">
        <is>
          <t>reset sau khi gửi thành công thì lần bấm sau là khoá khác</t>
        </is>
      </c>
      <c r="H3604" s="17" t="inlineStr">
        <is>
          <t>useIdempotencyKey reset sau khi gửi thành công thì lần bấm sau là khoá khác</t>
        </is>
      </c>
      <c r="I3604" s="16" t="inlineStr">
        <is>
          <t>Đạt</t>
        </is>
      </c>
      <c r="J3604" s="16" t="n">
        <v>0.003</v>
      </c>
    </row>
    <row r="3605">
      <c r="A3605" s="16" t="n">
        <v>3601</v>
      </c>
      <c r="B3605" s="16" t="inlineStr">
        <is>
          <t>Frontend</t>
        </is>
      </c>
      <c r="C3605" s="17" t="inlineStr">
        <is>
          <t>ts-sdk</t>
        </is>
      </c>
      <c r="D3605" s="16" t="inlineStr">
        <is>
          <t>Unit</t>
        </is>
      </c>
      <c r="E3605" s="17" t="inlineStr">
        <is>
          <t>inventory.test.ts</t>
        </is>
      </c>
      <c r="F3605" s="17" t="inlineStr">
        <is>
          <t>fetchSeatMap</t>
        </is>
      </c>
      <c r="G3605" s="17" t="inlineStr">
        <is>
          <t>lần đầu lấy đủ dữ liệu và giữ lại ETag</t>
        </is>
      </c>
      <c r="H3605" s="17" t="inlineStr">
        <is>
          <t>fetchSeatMap lần đầu lấy đủ dữ liệu và giữ lại ETag</t>
        </is>
      </c>
      <c r="I3605" s="16" t="inlineStr">
        <is>
          <t>Đạt</t>
        </is>
      </c>
      <c r="J3605" s="16" t="n">
        <v>0.061</v>
      </c>
    </row>
    <row r="3606">
      <c r="A3606" s="16" t="n">
        <v>3602</v>
      </c>
      <c r="B3606" s="16" t="inlineStr">
        <is>
          <t>Frontend</t>
        </is>
      </c>
      <c r="C3606" s="17" t="inlineStr">
        <is>
          <t>ts-sdk</t>
        </is>
      </c>
      <c r="D3606" s="16" t="inlineStr">
        <is>
          <t>Unit</t>
        </is>
      </c>
      <c r="E3606" s="17" t="inlineStr">
        <is>
          <t>inventory.test.ts</t>
        </is>
      </c>
      <c r="F3606" s="17" t="inlineStr">
        <is>
          <t>fetchSeatMap</t>
        </is>
      </c>
      <c r="G3606" s="17" t="inlineStr">
        <is>
          <t>gửi If-None-Match và dùng lại bản cũ khi backend trả 304</t>
        </is>
      </c>
      <c r="H3606" s="17" t="inlineStr">
        <is>
          <t>fetchSeatMap gửi If-None-Match và dùng lại bản cũ khi backend trả 304</t>
        </is>
      </c>
      <c r="I3606" s="16" t="inlineStr">
        <is>
          <t>Đạt</t>
        </is>
      </c>
      <c r="J3606" s="16" t="n">
        <v>0.005</v>
      </c>
    </row>
    <row r="3607">
      <c r="A3607" s="16" t="n">
        <v>3603</v>
      </c>
      <c r="B3607" s="16" t="inlineStr">
        <is>
          <t>Frontend</t>
        </is>
      </c>
      <c r="C3607" s="17" t="inlineStr">
        <is>
          <t>ts-sdk</t>
        </is>
      </c>
      <c r="D3607" s="16" t="inlineStr">
        <is>
          <t>Unit</t>
        </is>
      </c>
      <c r="E3607" s="17" t="inlineStr">
        <is>
          <t>inventory.test.ts</t>
        </is>
      </c>
      <c r="F3607" s="17" t="inlineStr">
        <is>
          <t>fetchSeatMap</t>
        </is>
      </c>
      <c r="G3607" s="17" t="inlineStr">
        <is>
          <t>304 mà không có bản sao nào thì hỏi lại, lần này không kèm ETag</t>
        </is>
      </c>
      <c r="H3607" s="17" t="inlineStr">
        <is>
          <t>fetchSeatMap 304 mà không có bản sao nào thì hỏi lại, lần này không kèm ETag</t>
        </is>
      </c>
      <c r="I3607" s="16" t="inlineStr">
        <is>
          <t>Đạt</t>
        </is>
      </c>
      <c r="J3607" s="16" t="n">
        <v>0.005</v>
      </c>
    </row>
    <row r="3608">
      <c r="A3608" s="16" t="n">
        <v>3604</v>
      </c>
      <c r="B3608" s="16" t="inlineStr">
        <is>
          <t>Frontend</t>
        </is>
      </c>
      <c r="C3608" s="17" t="inlineStr">
        <is>
          <t>ts-sdk</t>
        </is>
      </c>
      <c r="D3608" s="16" t="inlineStr">
        <is>
          <t>Unit</t>
        </is>
      </c>
      <c r="E3608" s="17" t="inlineStr">
        <is>
          <t>inventory.test.ts</t>
        </is>
      </c>
      <c r="F3608" s="17" t="inlineStr">
        <is>
          <t>placeHold</t>
        </is>
      </c>
      <c r="G3608" s="17" t="inlineStr">
        <is>
          <t>gửi mảng rỗng thay vì bỏ trống, và kèm Idempotency-Key</t>
        </is>
      </c>
      <c r="H3608" s="17" t="inlineStr">
        <is>
          <t>placeHold gửi mảng rỗng thay vì bỏ trống, và kèm Idempotency-Key</t>
        </is>
      </c>
      <c r="I3608" s="16" t="inlineStr">
        <is>
          <t>Đạt</t>
        </is>
      </c>
      <c r="J3608" s="16" t="n">
        <v>0.006</v>
      </c>
    </row>
    <row r="3609">
      <c r="A3609" s="16" t="n">
        <v>3605</v>
      </c>
      <c r="B3609" s="16" t="inlineStr">
        <is>
          <t>Frontend</t>
        </is>
      </c>
      <c r="C3609" s="17" t="inlineStr">
        <is>
          <t>ts-sdk</t>
        </is>
      </c>
      <c r="D3609" s="16" t="inlineStr">
        <is>
          <t>Unit</t>
        </is>
      </c>
      <c r="E3609" s="17" t="inlineStr">
        <is>
          <t>query.test.ts</t>
        </is>
      </c>
      <c r="F3609" s="17" t="inlineStr">
        <is>
          <t>chính sách thử lại</t>
        </is>
      </c>
      <c r="G3609" s="17" t="inlineStr">
        <is>
          <t>không thử lại lỗi 4xx — gửi lại y hệt vẫn hỏng</t>
        </is>
      </c>
      <c r="H3609" s="17" t="inlineStr">
        <is>
          <t>chính sách thử lại không thử lại lỗi 4xx — gửi lại y hệt vẫn hỏng</t>
        </is>
      </c>
      <c r="I3609" s="16" t="inlineStr">
        <is>
          <t>Đạt</t>
        </is>
      </c>
      <c r="J3609" s="16" t="n">
        <v>0.002</v>
      </c>
    </row>
    <row r="3610">
      <c r="A3610" s="16" t="n">
        <v>3606</v>
      </c>
      <c r="B3610" s="16" t="inlineStr">
        <is>
          <t>Frontend</t>
        </is>
      </c>
      <c r="C3610" s="17" t="inlineStr">
        <is>
          <t>ts-sdk</t>
        </is>
      </c>
      <c r="D3610" s="16" t="inlineStr">
        <is>
          <t>Unit</t>
        </is>
      </c>
      <c r="E3610" s="17" t="inlineStr">
        <is>
          <t>query.test.ts</t>
        </is>
      </c>
      <c r="F3610" s="17" t="inlineStr">
        <is>
          <t>chính sách thử lại</t>
        </is>
      </c>
      <c r="G3610" s="17" t="inlineStr">
        <is>
          <t>không thử lại khi bị rate limit — thử lại là đổ thêm dầu vào lửa</t>
        </is>
      </c>
      <c r="H3610" s="17" t="inlineStr">
        <is>
          <t>chính sách thử lại không thử lại khi bị rate limit — thử lại là đổ thêm dầu vào lửa</t>
        </is>
      </c>
      <c r="I3610" s="16" t="inlineStr">
        <is>
          <t>Đạt</t>
        </is>
      </c>
      <c r="J3610" s="16" t="n">
        <v>0</v>
      </c>
    </row>
    <row r="3611">
      <c r="A3611" s="16" t="n">
        <v>3607</v>
      </c>
      <c r="B3611" s="16" t="inlineStr">
        <is>
          <t>Frontend</t>
        </is>
      </c>
      <c r="C3611" s="17" t="inlineStr">
        <is>
          <t>ts-sdk</t>
        </is>
      </c>
      <c r="D3611" s="16" t="inlineStr">
        <is>
          <t>Unit</t>
        </is>
      </c>
      <c r="E3611" s="17" t="inlineStr">
        <is>
          <t>query.test.ts</t>
        </is>
      </c>
      <c r="F3611" s="17" t="inlineStr">
        <is>
          <t>chính sách thử lại</t>
        </is>
      </c>
      <c r="G3611" s="17" t="inlineStr">
        <is>
          <t>thử lại lỗi mạng và 5xx, tối đa hai lần</t>
        </is>
      </c>
      <c r="H3611" s="17" t="inlineStr">
        <is>
          <t>chính sách thử lại thử lại lỗi mạng và 5xx, tối đa hai lần</t>
        </is>
      </c>
      <c r="I3611" s="16" t="inlineStr">
        <is>
          <t>Đạt</t>
        </is>
      </c>
      <c r="J3611" s="16" t="n">
        <v>0</v>
      </c>
    </row>
    <row r="3612">
      <c r="A3612" s="16" t="n">
        <v>3608</v>
      </c>
      <c r="B3612" s="16" t="inlineStr">
        <is>
          <t>Frontend</t>
        </is>
      </c>
      <c r="C3612" s="17" t="inlineStr">
        <is>
          <t>ts-sdk</t>
        </is>
      </c>
      <c r="D3612" s="16" t="inlineStr">
        <is>
          <t>Unit</t>
        </is>
      </c>
      <c r="E3612" s="17" t="inlineStr">
        <is>
          <t>query.test.ts</t>
        </is>
      </c>
      <c r="F3612" s="17" t="inlineStr">
        <is>
          <t>chính sách thử lại</t>
        </is>
      </c>
      <c r="G3612" s="17" t="inlineStr">
        <is>
          <t>mutation không bao giờ tự thử lại</t>
        </is>
      </c>
      <c r="H3612" s="17" t="inlineStr">
        <is>
          <t>chính sách thử lại mutation không bao giờ tự thử lại</t>
        </is>
      </c>
      <c r="I3612" s="16" t="inlineStr">
        <is>
          <t>Đạt</t>
        </is>
      </c>
      <c r="J3612" s="16" t="n">
        <v>0</v>
      </c>
    </row>
    <row r="3613">
      <c r="A3613" s="16" t="n">
        <v>3609</v>
      </c>
      <c r="B3613" s="16" t="inlineStr">
        <is>
          <t>Frontend</t>
        </is>
      </c>
      <c r="C3613" s="17" t="inlineStr">
        <is>
          <t>ts-sdk</t>
        </is>
      </c>
      <c r="D3613" s="16" t="inlineStr">
        <is>
          <t>Unit</t>
        </is>
      </c>
      <c r="E3613" s="17" t="inlineStr">
        <is>
          <t>query.test.ts</t>
        </is>
      </c>
      <c r="F3613" s="17" t="inlineStr">
        <is>
          <t>query key</t>
        </is>
      </c>
      <c r="G3613" s="17" t="inlineStr">
        <is>
          <t>sơ đồ chỗ không bao giờ được coi là tươi</t>
        </is>
      </c>
      <c r="H3613" s="17" t="inlineStr">
        <is>
          <t>query key sơ đồ chỗ không bao giờ được coi là tươi</t>
        </is>
      </c>
      <c r="I3613" s="16" t="inlineStr">
        <is>
          <t>Đạt</t>
        </is>
      </c>
      <c r="J3613" s="16" t="n">
        <v>0</v>
      </c>
    </row>
    <row r="3614">
      <c r="A3614" s="16" t="n">
        <v>3610</v>
      </c>
      <c r="B3614" s="16" t="inlineStr">
        <is>
          <t>Frontend</t>
        </is>
      </c>
      <c r="C3614" s="17" t="inlineStr">
        <is>
          <t>ts-sdk</t>
        </is>
      </c>
      <c r="D3614" s="16" t="inlineStr">
        <is>
          <t>Unit</t>
        </is>
      </c>
      <c r="E3614" s="17" t="inlineStr">
        <is>
          <t>query.test.ts</t>
        </is>
      </c>
      <c r="F3614" s="17" t="inlineStr">
        <is>
          <t>query key</t>
        </is>
      </c>
      <c r="G3614" s="17" t="inlineStr">
        <is>
          <t>key của hai suất diễn khác nhau không đụng nhau</t>
        </is>
      </c>
      <c r="H3614" s="17" t="inlineStr">
        <is>
          <t>query key key của hai suất diễn khác nhau không đụng nhau</t>
        </is>
      </c>
      <c r="I3614" s="16" t="inlineStr">
        <is>
          <t>Đạt</t>
        </is>
      </c>
      <c r="J3614" s="16" t="n">
        <v>0.001</v>
      </c>
    </row>
    <row r="3615">
      <c r="A3615" s="16" t="n">
        <v>3611</v>
      </c>
      <c r="B3615" s="16" t="inlineStr">
        <is>
          <t>Frontend</t>
        </is>
      </c>
      <c r="C3615" s="17" t="inlineStr">
        <is>
          <t>ui</t>
        </is>
      </c>
      <c r="D3615" s="16" t="inlineStr">
        <is>
          <t>Unit</t>
        </is>
      </c>
      <c r="E3615" s="17" t="inlineStr">
        <is>
          <t>catalog.test.tsx</t>
        </is>
      </c>
      <c r="F3615" s="17" t="inlineStr">
        <is>
          <t>EventCard</t>
        </is>
      </c>
      <c r="G3615" s="17" t="inlineStr">
        <is>
          <t>hiện đủ bốn dòng theo đúng thứ tự quy định</t>
        </is>
      </c>
      <c r="H3615" s="17" t="inlineStr">
        <is>
          <t>EventCard hiện đủ bốn dòng theo đúng thứ tự quy định</t>
        </is>
      </c>
      <c r="I3615" s="16" t="inlineStr">
        <is>
          <t>Đạt</t>
        </is>
      </c>
      <c r="J3615" s="16" t="n">
        <v>0.149</v>
      </c>
    </row>
    <row r="3616">
      <c r="A3616" s="16" t="n">
        <v>3612</v>
      </c>
      <c r="B3616" s="16" t="inlineStr">
        <is>
          <t>Frontend</t>
        </is>
      </c>
      <c r="C3616" s="17" t="inlineStr">
        <is>
          <t>ui</t>
        </is>
      </c>
      <c r="D3616" s="16" t="inlineStr">
        <is>
          <t>Unit</t>
        </is>
      </c>
      <c r="E3616" s="17" t="inlineStr">
        <is>
          <t>catalog.test.tsx</t>
        </is>
      </c>
      <c r="F3616" s="17" t="inlineStr">
        <is>
          <t>EventCard</t>
        </is>
      </c>
      <c r="G3616" s="17" t="inlineStr">
        <is>
          <t>chưa có giá thì nói "Chưa mở bán" thay vì hiện 0 ₫</t>
        </is>
      </c>
      <c r="H3616" s="17" t="inlineStr">
        <is>
          <t>EventCard chưa có giá thì nói "Chưa mở bán" thay vì hiện 0 ₫</t>
        </is>
      </c>
      <c r="I3616" s="16" t="inlineStr">
        <is>
          <t>Đạt</t>
        </is>
      </c>
      <c r="J3616" s="16" t="n">
        <v>0.016</v>
      </c>
    </row>
    <row r="3617">
      <c r="A3617" s="16" t="n">
        <v>3613</v>
      </c>
      <c r="B3617" s="16" t="inlineStr">
        <is>
          <t>Frontend</t>
        </is>
      </c>
      <c r="C3617" s="17" t="inlineStr">
        <is>
          <t>ui</t>
        </is>
      </c>
      <c r="D3617" s="16" t="inlineStr">
        <is>
          <t>Unit</t>
        </is>
      </c>
      <c r="E3617" s="17" t="inlineStr">
        <is>
          <t>catalog.test.tsx</t>
        </is>
      </c>
      <c r="F3617" s="17" t="inlineStr">
        <is>
          <t>CategoryChips</t>
        </is>
      </c>
      <c r="G3617" s="17" t="inlineStr">
        <is>
          <t>chip là link, giữ được bộ lọc trên URL</t>
        </is>
      </c>
      <c r="H3617" s="17" t="inlineStr">
        <is>
          <t>CategoryChips chip là link, giữ được bộ lọc trên URL</t>
        </is>
      </c>
      <c r="I3617" s="16" t="inlineStr">
        <is>
          <t>Đạt</t>
        </is>
      </c>
      <c r="J3617" s="16" t="n">
        <v>0.017</v>
      </c>
    </row>
    <row r="3618">
      <c r="A3618" s="16" t="n">
        <v>3614</v>
      </c>
      <c r="B3618" s="16" t="inlineStr">
        <is>
          <t>Frontend</t>
        </is>
      </c>
      <c r="C3618" s="17" t="inlineStr">
        <is>
          <t>ui</t>
        </is>
      </c>
      <c r="D3618" s="16" t="inlineStr">
        <is>
          <t>Unit</t>
        </is>
      </c>
      <c r="E3618" s="17" t="inlineStr">
        <is>
          <t>components.test.tsx</t>
        </is>
      </c>
      <c r="F3618" s="17" t="inlineStr">
        <is>
          <t>Button</t>
        </is>
      </c>
      <c r="G3618" s="17" t="inlineStr">
        <is>
          <t>khoá nút khi đang gửi — bấm hai lần không tạo hai request</t>
        </is>
      </c>
      <c r="H3618" s="17" t="inlineStr">
        <is>
          <t>Button khoá nút khi đang gửi — bấm hai lần không tạo hai request</t>
        </is>
      </c>
      <c r="I3618" s="16" t="inlineStr">
        <is>
          <t>Đạt</t>
        </is>
      </c>
      <c r="J3618" s="16" t="n">
        <v>0.162</v>
      </c>
    </row>
    <row r="3619">
      <c r="A3619" s="16" t="n">
        <v>3615</v>
      </c>
      <c r="B3619" s="16" t="inlineStr">
        <is>
          <t>Frontend</t>
        </is>
      </c>
      <c r="C3619" s="17" t="inlineStr">
        <is>
          <t>ui</t>
        </is>
      </c>
      <c r="D3619" s="16" t="inlineStr">
        <is>
          <t>Unit</t>
        </is>
      </c>
      <c r="E3619" s="17" t="inlineStr">
        <is>
          <t>components.test.tsx</t>
        </is>
      </c>
      <c r="F3619" s="17" t="inlineStr">
        <is>
          <t>ErrorState</t>
        </is>
      </c>
      <c r="G3619" s="17" t="inlineStr">
        <is>
          <t>hiện câu tiếng Việt, mã ở dòng phụ, và mã tra cứu</t>
        </is>
      </c>
      <c r="H3619" s="17" t="inlineStr">
        <is>
          <t>ErrorState hiện câu tiếng Việt, mã ở dòng phụ, và mã tra cứu</t>
        </is>
      </c>
      <c r="I3619" s="16" t="inlineStr">
        <is>
          <t>Đạt</t>
        </is>
      </c>
      <c r="J3619" s="16" t="n">
        <v>0.025</v>
      </c>
    </row>
    <row r="3620">
      <c r="A3620" s="16" t="n">
        <v>3616</v>
      </c>
      <c r="B3620" s="16" t="inlineStr">
        <is>
          <t>Frontend</t>
        </is>
      </c>
      <c r="C3620" s="17" t="inlineStr">
        <is>
          <t>ui</t>
        </is>
      </c>
      <c r="D3620" s="16" t="inlineStr">
        <is>
          <t>Unit</t>
        </is>
      </c>
      <c r="E3620" s="17" t="inlineStr">
        <is>
          <t>components.test.tsx</t>
        </is>
      </c>
      <c r="F3620" s="17" t="inlineStr">
        <is>
          <t>ErrorState</t>
        </is>
      </c>
      <c r="G3620" s="17" t="inlineStr">
        <is>
          <t>lỗi không thử lại được thì không mời người dùng bấm lại</t>
        </is>
      </c>
      <c r="H3620" s="17" t="inlineStr">
        <is>
          <t>ErrorState lỗi không thử lại được thì không mời người dùng bấm lại</t>
        </is>
      </c>
      <c r="I3620" s="16" t="inlineStr">
        <is>
          <t>Đạt</t>
        </is>
      </c>
      <c r="J3620" s="16" t="n">
        <v>0.005</v>
      </c>
    </row>
    <row r="3621">
      <c r="A3621" s="16" t="n">
        <v>3617</v>
      </c>
      <c r="B3621" s="16" t="inlineStr">
        <is>
          <t>Frontend</t>
        </is>
      </c>
      <c r="C3621" s="17" t="inlineStr">
        <is>
          <t>ui</t>
        </is>
      </c>
      <c r="D3621" s="16" t="inlineStr">
        <is>
          <t>Unit</t>
        </is>
      </c>
      <c r="E3621" s="17" t="inlineStr">
        <is>
          <t>components.test.tsx</t>
        </is>
      </c>
      <c r="F3621" s="17" t="inlineStr">
        <is>
          <t>Table</t>
        </is>
      </c>
      <c r="G3621" s="17" t="inlineStr">
        <is>
          <t>bảng rỗng hiện trạng thái rỗng thay vì thân bảng trắng</t>
        </is>
      </c>
      <c r="H3621" s="17" t="inlineStr">
        <is>
          <t>Table bảng rỗng hiện trạng thái rỗng thay vì thân bảng trắng</t>
        </is>
      </c>
      <c r="I3621" s="16" t="inlineStr">
        <is>
          <t>Đạt</t>
        </is>
      </c>
      <c r="J3621" s="16" t="n">
        <v>0.01</v>
      </c>
    </row>
    <row r="3622">
      <c r="A3622" s="16" t="n">
        <v>3618</v>
      </c>
      <c r="B3622" s="16" t="inlineStr">
        <is>
          <t>Frontend</t>
        </is>
      </c>
      <c r="C3622" s="17" t="inlineStr">
        <is>
          <t>ui</t>
        </is>
      </c>
      <c r="D3622" s="16" t="inlineStr">
        <is>
          <t>Unit</t>
        </is>
      </c>
      <c r="E3622" s="17" t="inlineStr">
        <is>
          <t>components.test.tsx</t>
        </is>
      </c>
      <c r="F3622" s="17" t="inlineStr">
        <is>
          <t>Table</t>
        </is>
      </c>
      <c r="G3622" s="17" t="inlineStr">
        <is>
          <t>đang tải thì đánh dấu aria-busy và không hiện trạng thái rỗng</t>
        </is>
      </c>
      <c r="H3622" s="17" t="inlineStr">
        <is>
          <t>Table đang tải thì đánh dấu aria-busy và không hiện trạng thái rỗng</t>
        </is>
      </c>
      <c r="I3622" s="16" t="inlineStr">
        <is>
          <t>Đạt</t>
        </is>
      </c>
      <c r="J3622" s="16" t="n">
        <v>0.038</v>
      </c>
    </row>
    <row r="3623">
      <c r="A3623" s="16" t="n">
        <v>3619</v>
      </c>
      <c r="B3623" s="16" t="inlineStr">
        <is>
          <t>Frontend</t>
        </is>
      </c>
      <c r="C3623" s="17" t="inlineStr">
        <is>
          <t>ui</t>
        </is>
      </c>
      <c r="D3623" s="16" t="inlineStr">
        <is>
          <t>Unit</t>
        </is>
      </c>
      <c r="E3623" s="17" t="inlineStr">
        <is>
          <t>csv.test.ts</t>
        </is>
      </c>
      <c r="F3623" s="17" t="inlineStr">
        <is>
          <t>toCsv — bọc ô</t>
        </is>
      </c>
      <c r="G3623" s="17" t="inlineStr">
        <is>
          <t>bọc ô có dấu phẩy, nếu không nó tự tách thành hai cột</t>
        </is>
      </c>
      <c r="H3623" s="17" t="inlineStr">
        <is>
          <t>toCsv — bọc ô bọc ô có dấu phẩy, nếu không nó tự tách thành hai cột</t>
        </is>
      </c>
      <c r="I3623" s="16" t="inlineStr">
        <is>
          <t>Đạt</t>
        </is>
      </c>
      <c r="J3623" s="16" t="n">
        <v>0.002</v>
      </c>
    </row>
    <row r="3624">
      <c r="A3624" s="16" t="n">
        <v>3620</v>
      </c>
      <c r="B3624" s="16" t="inlineStr">
        <is>
          <t>Frontend</t>
        </is>
      </c>
      <c r="C3624" s="17" t="inlineStr">
        <is>
          <t>ui</t>
        </is>
      </c>
      <c r="D3624" s="16" t="inlineStr">
        <is>
          <t>Unit</t>
        </is>
      </c>
      <c r="E3624" s="17" t="inlineStr">
        <is>
          <t>csv.test.ts</t>
        </is>
      </c>
      <c r="F3624" s="17" t="inlineStr">
        <is>
          <t>toCsv — bọc ô</t>
        </is>
      </c>
      <c r="G3624" s="17" t="inlineStr">
        <is>
          <t>nhân đôi dấu ngoặc kép bên trong</t>
        </is>
      </c>
      <c r="H3624" s="17" t="inlineStr">
        <is>
          <t>toCsv — bọc ô nhân đôi dấu ngoặc kép bên trong</t>
        </is>
      </c>
      <c r="I3624" s="16" t="inlineStr">
        <is>
          <t>Đạt</t>
        </is>
      </c>
      <c r="J3624" s="16" t="n">
        <v>0</v>
      </c>
    </row>
    <row r="3625">
      <c r="A3625" s="16" t="n">
        <v>3621</v>
      </c>
      <c r="B3625" s="16" t="inlineStr">
        <is>
          <t>Frontend</t>
        </is>
      </c>
      <c r="C3625" s="17" t="inlineStr">
        <is>
          <t>ui</t>
        </is>
      </c>
      <c r="D3625" s="16" t="inlineStr">
        <is>
          <t>Unit</t>
        </is>
      </c>
      <c r="E3625" s="17" t="inlineStr">
        <is>
          <t>csv.test.ts</t>
        </is>
      </c>
      <c r="F3625" s="17" t="inlineStr">
        <is>
          <t>toCsv — bọc ô</t>
        </is>
      </c>
      <c r="G3625" s="17" t="inlineStr">
        <is>
          <t>bọc ô có dòng mới</t>
        </is>
      </c>
      <c r="H3625" s="17" t="inlineStr">
        <is>
          <t>toCsv — bọc ô bọc ô có dòng mới</t>
        </is>
      </c>
      <c r="I3625" s="16" t="inlineStr">
        <is>
          <t>Đạt</t>
        </is>
      </c>
      <c r="J3625" s="16" t="n">
        <v>0</v>
      </c>
    </row>
    <row r="3626">
      <c r="A3626" s="16" t="n">
        <v>3622</v>
      </c>
      <c r="B3626" s="16" t="inlineStr">
        <is>
          <t>Frontend</t>
        </is>
      </c>
      <c r="C3626" s="17" t="inlineStr">
        <is>
          <t>ui</t>
        </is>
      </c>
      <c r="D3626" s="16" t="inlineStr">
        <is>
          <t>Unit</t>
        </is>
      </c>
      <c r="E3626" s="17" t="inlineStr">
        <is>
          <t>csv.test.ts</t>
        </is>
      </c>
      <c r="F3626" s="17" t="inlineStr">
        <is>
          <t>toCsv — bọc ô</t>
        </is>
      </c>
      <c r="G3626" s="17" t="inlineStr">
        <is>
          <t>bọc ô có khoảng trắng ở đầu hoặc cuối — nếu không nó bị ăn mất khi đọc lại</t>
        </is>
      </c>
      <c r="H3626" s="17" t="inlineStr">
        <is>
          <t>toCsv — bọc ô bọc ô có khoảng trắng ở đầu hoặc cuối — nếu không nó bị ăn mất khi đọc lại</t>
        </is>
      </c>
      <c r="I3626" s="16" t="inlineStr">
        <is>
          <t>Đạt</t>
        </is>
      </c>
      <c r="J3626" s="16" t="n">
        <v>0</v>
      </c>
    </row>
    <row r="3627">
      <c r="A3627" s="16" t="n">
        <v>3623</v>
      </c>
      <c r="B3627" s="16" t="inlineStr">
        <is>
          <t>Frontend</t>
        </is>
      </c>
      <c r="C3627" s="17" t="inlineStr">
        <is>
          <t>ui</t>
        </is>
      </c>
      <c r="D3627" s="16" t="inlineStr">
        <is>
          <t>Unit</t>
        </is>
      </c>
      <c r="E3627" s="17" t="inlineStr">
        <is>
          <t>csv.test.ts</t>
        </is>
      </c>
      <c r="F3627" s="17" t="inlineStr">
        <is>
          <t>toCsv — bọc ô</t>
        </is>
      </c>
      <c r="G3627" s="17" t="inlineStr">
        <is>
          <t>null và undefined thành ô rỗng, không phải chữ "null"</t>
        </is>
      </c>
      <c r="H3627" s="17" t="inlineStr">
        <is>
          <t>toCsv — bọc ô null và undefined thành ô rỗng, không phải chữ "null"</t>
        </is>
      </c>
      <c r="I3627" s="16" t="inlineStr">
        <is>
          <t>Đạt</t>
        </is>
      </c>
      <c r="J3627" s="16" t="n">
        <v>0</v>
      </c>
    </row>
    <row r="3628">
      <c r="A3628" s="16" t="n">
        <v>3624</v>
      </c>
      <c r="B3628" s="16" t="inlineStr">
        <is>
          <t>Frontend</t>
        </is>
      </c>
      <c r="C3628" s="17" t="inlineStr">
        <is>
          <t>ui</t>
        </is>
      </c>
      <c r="D3628" s="16" t="inlineStr">
        <is>
          <t>Unit</t>
        </is>
      </c>
      <c r="E3628" s="17" t="inlineStr">
        <is>
          <t>csv.test.ts</t>
        </is>
      </c>
      <c r="F3628" s="17" t="inlineStr">
        <is>
          <t>toCsv — bọc ô</t>
        </is>
      </c>
      <c r="G3628" s="17" t="inlineStr">
        <is>
          <t>giữ nguyên ô thường, không bọc thừa</t>
        </is>
      </c>
      <c r="H3628" s="17" t="inlineStr">
        <is>
          <t>toCsv — bọc ô giữ nguyên ô thường, không bọc thừa</t>
        </is>
      </c>
      <c r="I3628" s="16" t="inlineStr">
        <is>
          <t>Đạt</t>
        </is>
      </c>
      <c r="J3628" s="16" t="n">
        <v>0</v>
      </c>
    </row>
    <row r="3629">
      <c r="A3629" s="16" t="n">
        <v>3625</v>
      </c>
      <c r="B3629" s="16" t="inlineStr">
        <is>
          <t>Frontend</t>
        </is>
      </c>
      <c r="C3629" s="17" t="inlineStr">
        <is>
          <t>ui</t>
        </is>
      </c>
      <c r="D3629" s="16" t="inlineStr">
        <is>
          <t>Unit</t>
        </is>
      </c>
      <c r="E3629" s="17" t="inlineStr">
        <is>
          <t>csv.test.ts</t>
        </is>
      </c>
      <c r="F3629" s="17" t="inlineStr">
        <is>
          <t>toCsv — chặn Excel thực thi công thức</t>
        </is>
      </c>
      <c r="G3629" s="17" t="inlineStr">
        <is>
          <t>thêm nháy đơn vào đầu chuỗi: =1+1</t>
        </is>
      </c>
      <c r="H3629" s="17" t="inlineStr">
        <is>
          <t>toCsv — chặn Excel thực thi công thức thêm nháy đơn vào đầu chuỗi: =1+1</t>
        </is>
      </c>
      <c r="I3629" s="16" t="inlineStr">
        <is>
          <t>Đạt</t>
        </is>
      </c>
      <c r="J3629" s="16" t="n">
        <v>0</v>
      </c>
    </row>
    <row r="3630">
      <c r="A3630" s="16" t="n">
        <v>3626</v>
      </c>
      <c r="B3630" s="16" t="inlineStr">
        <is>
          <t>Frontend</t>
        </is>
      </c>
      <c r="C3630" s="17" t="inlineStr">
        <is>
          <t>ui</t>
        </is>
      </c>
      <c r="D3630" s="16" t="inlineStr">
        <is>
          <t>Unit</t>
        </is>
      </c>
      <c r="E3630" s="17" t="inlineStr">
        <is>
          <t>csv.test.ts</t>
        </is>
      </c>
      <c r="F3630" s="17" t="inlineStr">
        <is>
          <t>toCsv — chặn Excel thực thi công thức</t>
        </is>
      </c>
      <c r="G3630" s="17" t="inlineStr">
        <is>
          <t>thêm nháy đơn vào đầu chuỗi: +1</t>
        </is>
      </c>
      <c r="H3630" s="17" t="inlineStr">
        <is>
          <t>toCsv — chặn Excel thực thi công thức thêm nháy đơn vào đầu chuỗi: +1</t>
        </is>
      </c>
      <c r="I3630" s="16" t="inlineStr">
        <is>
          <t>Đạt</t>
        </is>
      </c>
      <c r="J3630" s="16" t="n">
        <v>0</v>
      </c>
    </row>
    <row r="3631">
      <c r="A3631" s="16" t="n">
        <v>3627</v>
      </c>
      <c r="B3631" s="16" t="inlineStr">
        <is>
          <t>Frontend</t>
        </is>
      </c>
      <c r="C3631" s="17" t="inlineStr">
        <is>
          <t>ui</t>
        </is>
      </c>
      <c r="D3631" s="16" t="inlineStr">
        <is>
          <t>Unit</t>
        </is>
      </c>
      <c r="E3631" s="17" t="inlineStr">
        <is>
          <t>csv.test.ts</t>
        </is>
      </c>
      <c r="F3631" s="17" t="inlineStr">
        <is>
          <t>toCsv — chặn Excel thực thi công thức</t>
        </is>
      </c>
      <c r="G3631" s="17" t="inlineStr">
        <is>
          <t>thêm nháy đơn vào đầu chuỗi: -1</t>
        </is>
      </c>
      <c r="H3631" s="17" t="inlineStr">
        <is>
          <t>toCsv — chặn Excel thực thi công thức thêm nháy đơn vào đầu chuỗi: -1</t>
        </is>
      </c>
      <c r="I3631" s="16" t="inlineStr">
        <is>
          <t>Đạt</t>
        </is>
      </c>
      <c r="J3631" s="16" t="n">
        <v>0</v>
      </c>
    </row>
    <row r="3632">
      <c r="A3632" s="16" t="n">
        <v>3628</v>
      </c>
      <c r="B3632" s="16" t="inlineStr">
        <is>
          <t>Frontend</t>
        </is>
      </c>
      <c r="C3632" s="17" t="inlineStr">
        <is>
          <t>ui</t>
        </is>
      </c>
      <c r="D3632" s="16" t="inlineStr">
        <is>
          <t>Unit</t>
        </is>
      </c>
      <c r="E3632" s="17" t="inlineStr">
        <is>
          <t>csv.test.ts</t>
        </is>
      </c>
      <c r="F3632" s="17" t="inlineStr">
        <is>
          <t>toCsv — chặn Excel thực thi công thức</t>
        </is>
      </c>
      <c r="G3632" s="17" t="inlineStr">
        <is>
          <t>thêm nháy đơn vào đầu chuỗi: @SUM(A1)</t>
        </is>
      </c>
      <c r="H3632" s="17" t="inlineStr">
        <is>
          <t>toCsv — chặn Excel thực thi công thức thêm nháy đơn vào đầu chuỗi: @SUM(A1)</t>
        </is>
      </c>
      <c r="I3632" s="16" t="inlineStr">
        <is>
          <t>Đạt</t>
        </is>
      </c>
      <c r="J3632" s="16" t="n">
        <v>0</v>
      </c>
    </row>
    <row r="3633">
      <c r="A3633" s="16" t="n">
        <v>3629</v>
      </c>
      <c r="B3633" s="16" t="inlineStr">
        <is>
          <t>Frontend</t>
        </is>
      </c>
      <c r="C3633" s="17" t="inlineStr">
        <is>
          <t>ui</t>
        </is>
      </c>
      <c r="D3633" s="16" t="inlineStr">
        <is>
          <t>Unit</t>
        </is>
      </c>
      <c r="E3633" s="17" t="inlineStr">
        <is>
          <t>csv.test.ts</t>
        </is>
      </c>
      <c r="F3633" s="17" t="inlineStr">
        <is>
          <t>toCsv — chặn Excel thực thi công thức</t>
        </is>
      </c>
      <c r="G3633" s="17" t="inlineStr">
        <is>
          <t>thêm nháy đơn vào đầu chuỗi: =HYPERLINK("http://x","bấm")</t>
        </is>
      </c>
      <c r="H3633" s="17" t="inlineStr">
        <is>
          <t>toCsv — chặn Excel thực thi công thức thêm nháy đơn vào đầu chuỗi: =HYPERLINK("http://x","bấm")</t>
        </is>
      </c>
      <c r="I3633" s="16" t="inlineStr">
        <is>
          <t>Đạt</t>
        </is>
      </c>
      <c r="J3633" s="16" t="n">
        <v>0</v>
      </c>
    </row>
    <row r="3634">
      <c r="A3634" s="16" t="n">
        <v>3630</v>
      </c>
      <c r="B3634" s="16" t="inlineStr">
        <is>
          <t>Frontend</t>
        </is>
      </c>
      <c r="C3634" s="17" t="inlineStr">
        <is>
          <t>ui</t>
        </is>
      </c>
      <c r="D3634" s="16" t="inlineStr">
        <is>
          <t>Unit</t>
        </is>
      </c>
      <c r="E3634" s="17" t="inlineStr">
        <is>
          <t>csv.test.ts</t>
        </is>
      </c>
      <c r="F3634" s="17" t="inlineStr">
        <is>
          <t>toCsv — chặn Excel thực thi công thức</t>
        </is>
      </c>
      <c r="G3634" s="17" t="inlineStr">
        <is>
          <t>số âm vẫn là số, không bị biến thành chuỗi</t>
        </is>
      </c>
      <c r="H3634" s="17" t="inlineStr">
        <is>
          <t>toCsv — chặn Excel thực thi công thức số âm vẫn là số, không bị biến thành chuỗi</t>
        </is>
      </c>
      <c r="I3634" s="16" t="inlineStr">
        <is>
          <t>Đạt</t>
        </is>
      </c>
      <c r="J3634" s="16" t="n">
        <v>0</v>
      </c>
    </row>
    <row r="3635">
      <c r="A3635" s="16" t="n">
        <v>3631</v>
      </c>
      <c r="B3635" s="16" t="inlineStr">
        <is>
          <t>Frontend</t>
        </is>
      </c>
      <c r="C3635" s="17" t="inlineStr">
        <is>
          <t>ui</t>
        </is>
      </c>
      <c r="D3635" s="16" t="inlineStr">
        <is>
          <t>Unit</t>
        </is>
      </c>
      <c r="E3635" s="17" t="inlineStr">
        <is>
          <t>csv.test.ts</t>
        </is>
      </c>
      <c r="F3635" s="17" t="inlineStr">
        <is>
          <t>toCsv — chặn Excel thực thi công thức</t>
        </is>
      </c>
      <c r="G3635" s="17" t="inlineStr">
        <is>
          <t>số thường không bị đụng tới</t>
        </is>
      </c>
      <c r="H3635" s="17" t="inlineStr">
        <is>
          <t>toCsv — chặn Excel thực thi công thức số thường không bị đụng tới</t>
        </is>
      </c>
      <c r="I3635" s="16" t="inlineStr">
        <is>
          <t>Đạt</t>
        </is>
      </c>
      <c r="J3635" s="16" t="n">
        <v>0</v>
      </c>
    </row>
    <row r="3636">
      <c r="A3636" s="16" t="n">
        <v>3632</v>
      </c>
      <c r="B3636" s="16" t="inlineStr">
        <is>
          <t>Frontend</t>
        </is>
      </c>
      <c r="C3636" s="17" t="inlineStr">
        <is>
          <t>ui</t>
        </is>
      </c>
      <c r="D3636" s="16" t="inlineStr">
        <is>
          <t>Unit</t>
        </is>
      </c>
      <c r="E3636" s="17" t="inlineStr">
        <is>
          <t>csv.test.ts</t>
        </is>
      </c>
      <c r="F3636" s="17" t="inlineStr">
        <is>
          <t>toCsv — hình dạng file</t>
        </is>
      </c>
      <c r="G3636" s="17" t="inlineStr">
        <is>
          <t>dòng đầu là sep=, để Excel tiếng Việt tách đúng cột</t>
        </is>
      </c>
      <c r="H3636" s="17" t="inlineStr">
        <is>
          <t>toCsv — hình dạng file dòng đầu là sep=, để Excel tiếng Việt tách đúng cột</t>
        </is>
      </c>
      <c r="I3636" s="16" t="inlineStr">
        <is>
          <t>Đạt</t>
        </is>
      </c>
      <c r="J3636" s="16" t="n">
        <v>0</v>
      </c>
    </row>
    <row r="3637">
      <c r="A3637" s="16" t="n">
        <v>3633</v>
      </c>
      <c r="B3637" s="16" t="inlineStr">
        <is>
          <t>Frontend</t>
        </is>
      </c>
      <c r="C3637" s="17" t="inlineStr">
        <is>
          <t>ui</t>
        </is>
      </c>
      <c r="D3637" s="16" t="inlineStr">
        <is>
          <t>Unit</t>
        </is>
      </c>
      <c r="E3637" s="17" t="inlineStr">
        <is>
          <t>csv.test.ts</t>
        </is>
      </c>
      <c r="F3637" s="17" t="inlineStr">
        <is>
          <t>toCsv — hình dạng file</t>
        </is>
      </c>
      <c r="G3637" s="17" t="inlineStr">
        <is>
          <t>dùng CRLF theo RFC 4180</t>
        </is>
      </c>
      <c r="H3637" s="17" t="inlineStr">
        <is>
          <t>toCsv — hình dạng file dùng CRLF theo RFC 4180</t>
        </is>
      </c>
      <c r="I3637" s="16" t="inlineStr">
        <is>
          <t>Đạt</t>
        </is>
      </c>
      <c r="J3637" s="16" t="n">
        <v>0</v>
      </c>
    </row>
    <row r="3638">
      <c r="A3638" s="16" t="n">
        <v>3634</v>
      </c>
      <c r="B3638" s="16" t="inlineStr">
        <is>
          <t>Frontend</t>
        </is>
      </c>
      <c r="C3638" s="17" t="inlineStr">
        <is>
          <t>ui</t>
        </is>
      </c>
      <c r="D3638" s="16" t="inlineStr">
        <is>
          <t>Unit</t>
        </is>
      </c>
      <c r="E3638" s="17" t="inlineStr">
        <is>
          <t>csv.test.ts</t>
        </is>
      </c>
      <c r="F3638" s="17" t="inlineStr">
        <is>
          <t>toCsv — hình dạng file</t>
        </is>
      </c>
      <c r="G3638" s="17" t="inlineStr">
        <is>
          <t>một dòng trống giữa hai khối</t>
        </is>
      </c>
      <c r="H3638" s="17" t="inlineStr">
        <is>
          <t>toCsv — hình dạng file một dòng trống giữa hai khối</t>
        </is>
      </c>
      <c r="I3638" s="16" t="inlineStr">
        <is>
          <t>Đạt</t>
        </is>
      </c>
      <c r="J3638" s="16" t="n">
        <v>0</v>
      </c>
    </row>
    <row r="3639">
      <c r="A3639" s="16" t="n">
        <v>3635</v>
      </c>
      <c r="B3639" s="16" t="inlineStr">
        <is>
          <t>Frontend</t>
        </is>
      </c>
      <c r="C3639" s="17" t="inlineStr">
        <is>
          <t>ui</t>
        </is>
      </c>
      <c r="D3639" s="16" t="inlineStr">
        <is>
          <t>Unit</t>
        </is>
      </c>
      <c r="E3639" s="17" t="inlineStr">
        <is>
          <t>csv.test.ts</t>
        </is>
      </c>
      <c r="F3639" s="17" t="inlineStr">
        <is>
          <t>toCsv — hình dạng file</t>
        </is>
      </c>
      <c r="G3639" s="17" t="inlineStr">
        <is>
          <t>khối không có dòng nào vẫn giữ tiêu đề — "rỗng" là một thông tin</t>
        </is>
      </c>
      <c r="H3639" s="17" t="inlineStr">
        <is>
          <t>toCsv — hình dạng file khối không có dòng nào vẫn giữ tiêu đề — "rỗng" là một thông tin</t>
        </is>
      </c>
      <c r="I3639" s="16" t="inlineStr">
        <is>
          <t>Đạt</t>
        </is>
      </c>
      <c r="J3639" s="16" t="n">
        <v>0</v>
      </c>
    </row>
    <row r="3640">
      <c r="A3640" s="16" t="n">
        <v>3636</v>
      </c>
      <c r="B3640" s="16" t="inlineStr">
        <is>
          <t>Frontend</t>
        </is>
      </c>
      <c r="C3640" s="17" t="inlineStr">
        <is>
          <t>ui</t>
        </is>
      </c>
      <c r="D3640" s="16" t="inlineStr">
        <is>
          <t>Unit</t>
        </is>
      </c>
      <c r="E3640" s="17" t="inlineStr">
        <is>
          <t>csv.test.ts</t>
        </is>
      </c>
      <c r="F3640" s="17" t="inlineStr">
        <is>
          <t>csvFilename</t>
        </is>
      </c>
      <c r="G3640" s="17" t="inlineStr">
        <is>
          <t>bỏ dấu và ghép ngày</t>
        </is>
      </c>
      <c r="H3640" s="17" t="inlineStr">
        <is>
          <t>csvFilename bỏ dấu và ghép ngày</t>
        </is>
      </c>
      <c r="I3640" s="16" t="inlineStr">
        <is>
          <t>Đạt</t>
        </is>
      </c>
      <c r="J3640" s="16" t="n">
        <v>0.001</v>
      </c>
    </row>
    <row r="3641">
      <c r="A3641" s="16" t="n">
        <v>3637</v>
      </c>
      <c r="B3641" s="16" t="inlineStr">
        <is>
          <t>Frontend</t>
        </is>
      </c>
      <c r="C3641" s="17" t="inlineStr">
        <is>
          <t>ui</t>
        </is>
      </c>
      <c r="D3641" s="16" t="inlineStr">
        <is>
          <t>Unit</t>
        </is>
      </c>
      <c r="E3641" s="17" t="inlineStr">
        <is>
          <t>csv.test.ts</t>
        </is>
      </c>
      <c r="F3641" s="17" t="inlineStr">
        <is>
          <t>csvFilename</t>
        </is>
      </c>
      <c r="G3641" s="17" t="inlineStr">
        <is>
          <t>gộp mọi ký tự lạ thành một gạch, không để gạch ở hai đầu</t>
        </is>
      </c>
      <c r="H3641" s="17" t="inlineStr">
        <is>
          <t>csvFilename gộp mọi ký tự lạ thành một gạch, không để gạch ở hai đầu</t>
        </is>
      </c>
      <c r="I3641" s="16" t="inlineStr">
        <is>
          <t>Đạt</t>
        </is>
      </c>
      <c r="J3641" s="16" t="n">
        <v>0</v>
      </c>
    </row>
    <row r="3642">
      <c r="A3642" s="16" t="n">
        <v>3638</v>
      </c>
      <c r="B3642" s="16" t="inlineStr">
        <is>
          <t>Frontend</t>
        </is>
      </c>
      <c r="C3642" s="17" t="inlineStr">
        <is>
          <t>ui</t>
        </is>
      </c>
      <c r="D3642" s="16" t="inlineStr">
        <is>
          <t>Unit</t>
        </is>
      </c>
      <c r="E3642" s="17" t="inlineStr">
        <is>
          <t>csv.test.ts</t>
        </is>
      </c>
      <c r="F3642" s="17" t="inlineStr">
        <is>
          <t>csvFilename</t>
        </is>
      </c>
      <c r="G3642" s="17" t="inlineStr">
        <is>
          <t>tên rỗng vẫn cho ra một file mở được</t>
        </is>
      </c>
      <c r="H3642" s="17" t="inlineStr">
        <is>
          <t>csvFilename tên rỗng vẫn cho ra một file mở được</t>
        </is>
      </c>
      <c r="I3642" s="16" t="inlineStr">
        <is>
          <t>Đạt</t>
        </is>
      </c>
      <c r="J3642" s="16" t="n">
        <v>0</v>
      </c>
    </row>
    <row r="3643">
      <c r="A3643" s="16" t="n">
        <v>3639</v>
      </c>
      <c r="B3643" s="16" t="inlineStr">
        <is>
          <t>Frontend</t>
        </is>
      </c>
      <c r="C3643" s="17" t="inlineStr">
        <is>
          <t>ui</t>
        </is>
      </c>
      <c r="D3643" s="16" t="inlineStr">
        <is>
          <t>Unit</t>
        </is>
      </c>
      <c r="E3643" s="17" t="inlineStr">
        <is>
          <t>errors.test.ts</t>
        </is>
      </c>
      <c r="F3643" s="17" t="inlineStr">
        <is>
          <t>từ điển lỗi</t>
        </is>
      </c>
      <c r="G3643" s="17" t="inlineStr">
        <is>
          <t>dịch mã backend sang câu tiếng Việt và chọn cách hiện</t>
        </is>
      </c>
      <c r="H3643" s="17" t="inlineStr">
        <is>
          <t>từ điển lỗi dịch mã backend sang câu tiếng Việt và chọn cách hiện</t>
        </is>
      </c>
      <c r="I3643" s="16" t="inlineStr">
        <is>
          <t>Đạt</t>
        </is>
      </c>
      <c r="J3643" s="16" t="n">
        <v>0.003</v>
      </c>
    </row>
    <row r="3644">
      <c r="A3644" s="16" t="n">
        <v>3640</v>
      </c>
      <c r="B3644" s="16" t="inlineStr">
        <is>
          <t>Frontend</t>
        </is>
      </c>
      <c r="C3644" s="17" t="inlineStr">
        <is>
          <t>ui</t>
        </is>
      </c>
      <c r="D3644" s="16" t="inlineStr">
        <is>
          <t>Unit</t>
        </is>
      </c>
      <c r="E3644" s="17" t="inlineStr">
        <is>
          <t>errors.test.ts</t>
        </is>
      </c>
      <c r="F3644" s="17" t="inlineStr">
        <is>
          <t>từ điển lỗi</t>
        </is>
      </c>
      <c r="G3644" s="17" t="inlineStr">
        <is>
          <t>tên mã trong tài liệu trỏ về đúng mã backend thật sự phát ra</t>
        </is>
      </c>
      <c r="H3644" s="17" t="inlineStr">
        <is>
          <t>từ điển lỗi tên mã trong tài liệu trỏ về đúng mã backend thật sự phát ra</t>
        </is>
      </c>
      <c r="I3644" s="16" t="inlineStr">
        <is>
          <t>Đạt</t>
        </is>
      </c>
      <c r="J3644" s="16" t="n">
        <v>0.001</v>
      </c>
    </row>
    <row r="3645">
      <c r="A3645" s="16" t="n">
        <v>3641</v>
      </c>
      <c r="B3645" s="16" t="inlineStr">
        <is>
          <t>Frontend</t>
        </is>
      </c>
      <c r="C3645" s="17" t="inlineStr">
        <is>
          <t>ui</t>
        </is>
      </c>
      <c r="D3645" s="16" t="inlineStr">
        <is>
          <t>Unit</t>
        </is>
      </c>
      <c r="E3645" s="17" t="inlineStr">
        <is>
          <t>errors.test.ts</t>
        </is>
      </c>
      <c r="F3645" s="17" t="inlineStr">
        <is>
          <t>từ điển lỗi</t>
        </is>
      </c>
      <c r="G3645" s="17" t="inlineStr">
        <is>
          <t>mã lạ rơi về câu mặc định, không lộ chuỗi kỹ thuật</t>
        </is>
      </c>
      <c r="H3645" s="17" t="inlineStr">
        <is>
          <t>từ điển lỗi mã lạ rơi về câu mặc định, không lộ chuỗi kỹ thuật</t>
        </is>
      </c>
      <c r="I3645" s="16" t="inlineStr">
        <is>
          <t>Đạt</t>
        </is>
      </c>
      <c r="J3645" s="16" t="n">
        <v>0.001</v>
      </c>
    </row>
    <row r="3646">
      <c r="A3646" s="16" t="n">
        <v>3642</v>
      </c>
      <c r="B3646" s="16" t="inlineStr">
        <is>
          <t>Frontend</t>
        </is>
      </c>
      <c r="C3646" s="17" t="inlineStr">
        <is>
          <t>ui</t>
        </is>
      </c>
      <c r="D3646" s="16" t="inlineStr">
        <is>
          <t>Unit</t>
        </is>
      </c>
      <c r="E3646" s="17" t="inlineStr">
        <is>
          <t>errors.test.ts</t>
        </is>
      </c>
      <c r="F3646" s="17" t="inlineStr">
        <is>
          <t>từ điển lỗi</t>
        </is>
      </c>
      <c r="G3646" s="17" t="inlineStr">
        <is>
          <t>nêu rõ trần hiện hành khi backend gửi kèm meta</t>
        </is>
      </c>
      <c r="H3646" s="17" t="inlineStr">
        <is>
          <t>từ điển lỗi nêu rõ trần hiện hành khi backend gửi kèm meta</t>
        </is>
      </c>
      <c r="I3646" s="16" t="inlineStr">
        <is>
          <t>Đạt</t>
        </is>
      </c>
      <c r="J3646" s="16" t="n">
        <v>0.001</v>
      </c>
    </row>
    <row r="3647">
      <c r="A3647" s="16" t="n">
        <v>3643</v>
      </c>
      <c r="B3647" s="16" t="inlineStr">
        <is>
          <t>Frontend</t>
        </is>
      </c>
      <c r="C3647" s="17" t="inlineStr">
        <is>
          <t>ui</t>
        </is>
      </c>
      <c r="D3647" s="16" t="inlineStr">
        <is>
          <t>Unit</t>
        </is>
      </c>
      <c r="E3647" s="17" t="inlineStr">
        <is>
          <t>errors.test.ts</t>
        </is>
      </c>
      <c r="F3647" s="17" t="inlineStr">
        <is>
          <t>từ điển lỗi</t>
        </is>
      </c>
      <c r="G3647" s="17" t="inlineStr">
        <is>
          <t>thiếu meta thì vẫn trả câu gốc chứ không ghép "undefined"</t>
        </is>
      </c>
      <c r="H3647" s="17" t="inlineStr">
        <is>
          <t>từ điển lỗi thiếu meta thì vẫn trả câu gốc chứ không ghép "undefined"</t>
        </is>
      </c>
      <c r="I3647" s="16" t="inlineStr">
        <is>
          <t>Đạt</t>
        </is>
      </c>
      <c r="J3647" s="16" t="n">
        <v>0</v>
      </c>
    </row>
    <row r="3648">
      <c r="A3648" s="16" t="n">
        <v>3644</v>
      </c>
      <c r="B3648" s="16" t="inlineStr">
        <is>
          <t>Frontend</t>
        </is>
      </c>
      <c r="C3648" s="17" t="inlineStr">
        <is>
          <t>ui</t>
        </is>
      </c>
      <c r="D3648" s="16" t="inlineStr">
        <is>
          <t>Unit</t>
        </is>
      </c>
      <c r="E3648" s="17" t="inlineStr">
        <is>
          <t>errors.test.ts</t>
        </is>
      </c>
      <c r="F3648" s="17" t="inlineStr">
        <is>
          <t>từ điển lỗi</t>
        </is>
      </c>
      <c r="G3648" s="17" t="inlineStr">
        <is>
          <t>publish bị chặn thì liệt kê đủ vướng mắc, vì "chưa xuất bản được" không nói được gì</t>
        </is>
      </c>
      <c r="H3648" s="17" t="inlineStr">
        <is>
          <t>từ điển lỗi publish bị chặn thì liệt kê đủ vướng mắc, vì "chưa xuất bản được" không nói được gì</t>
        </is>
      </c>
      <c r="I3648" s="16" t="inlineStr">
        <is>
          <t>Đạt</t>
        </is>
      </c>
      <c r="J3648" s="16" t="n">
        <v>0</v>
      </c>
    </row>
    <row r="3649">
      <c r="A3649" s="16" t="n">
        <v>3645</v>
      </c>
      <c r="B3649" s="16" t="inlineStr">
        <is>
          <t>Frontend</t>
        </is>
      </c>
      <c r="C3649" s="17" t="inlineStr">
        <is>
          <t>ui</t>
        </is>
      </c>
      <c r="D3649" s="16" t="inlineStr">
        <is>
          <t>Unit</t>
        </is>
      </c>
      <c r="E3649" s="17" t="inlineStr">
        <is>
          <t>errors.test.ts</t>
        </is>
      </c>
      <c r="F3649" s="17" t="inlineStr">
        <is>
          <t>từ điển lỗi</t>
        </is>
      </c>
      <c r="G3649" s="17" t="inlineStr">
        <is>
          <t>vướng mắc lạ hiện nguyên tên thay vì biến mất khỏi checklist</t>
        </is>
      </c>
      <c r="H3649" s="17" t="inlineStr">
        <is>
          <t>từ điển lỗi vướng mắc lạ hiện nguyên tên thay vì biến mất khỏi checklist</t>
        </is>
      </c>
      <c r="I3649" s="16" t="inlineStr">
        <is>
          <t>Đạt</t>
        </is>
      </c>
      <c r="J3649" s="16" t="n">
        <v>0.001</v>
      </c>
    </row>
    <row r="3650">
      <c r="A3650" s="16" t="n">
        <v>3646</v>
      </c>
      <c r="B3650" s="16" t="inlineStr">
        <is>
          <t>Frontend</t>
        </is>
      </c>
      <c r="C3650" s="17" t="inlineStr">
        <is>
          <t>ui</t>
        </is>
      </c>
      <c r="D3650" s="16" t="inlineStr">
        <is>
          <t>Unit</t>
        </is>
      </c>
      <c r="E3650" s="17" t="inlineStr">
        <is>
          <t>event-card-skeleton.test.tsx</t>
        </is>
      </c>
      <c r="F3650" s="17" t="inlineStr">
        <is>
          <t>EventCardSkeleton</t>
        </is>
      </c>
      <c r="G3650" s="17" t="inlineStr">
        <is>
          <t>dùng đúng bộ lớp CSS của thẻ thật</t>
        </is>
      </c>
      <c r="H3650" s="17" t="inlineStr">
        <is>
          <t>EventCardSkeleton dùng đúng bộ lớp CSS của thẻ thật</t>
        </is>
      </c>
      <c r="I3650" s="16" t="inlineStr">
        <is>
          <t>Đạt</t>
        </is>
      </c>
      <c r="J3650" s="16" t="n">
        <v>0.081</v>
      </c>
    </row>
    <row r="3651">
      <c r="A3651" s="16" t="n">
        <v>3647</v>
      </c>
      <c r="B3651" s="16" t="inlineStr">
        <is>
          <t>Frontend</t>
        </is>
      </c>
      <c r="C3651" s="17" t="inlineStr">
        <is>
          <t>ui</t>
        </is>
      </c>
      <c r="D3651" s="16" t="inlineStr">
        <is>
          <t>Unit</t>
        </is>
      </c>
      <c r="E3651" s="17" t="inlineStr">
        <is>
          <t>event-card-skeleton.test.tsx</t>
        </is>
      </c>
      <c r="F3651" s="17" t="inlineStr">
        <is>
          <t>EventCardSkeleton</t>
        </is>
      </c>
      <c r="G3651" s="17" t="inlineStr">
        <is>
          <t>chừa đúng ba dòng chữ như thẻ thật</t>
        </is>
      </c>
      <c r="H3651" s="17" t="inlineStr">
        <is>
          <t>EventCardSkeleton chừa đúng ba dòng chữ như thẻ thật</t>
        </is>
      </c>
      <c r="I3651" s="16" t="inlineStr">
        <is>
          <t>Đạt</t>
        </is>
      </c>
      <c r="J3651" s="16" t="n">
        <v>0.005</v>
      </c>
    </row>
    <row r="3652">
      <c r="A3652" s="16" t="n">
        <v>3648</v>
      </c>
      <c r="B3652" s="16" t="inlineStr">
        <is>
          <t>Frontend</t>
        </is>
      </c>
      <c r="C3652" s="17" t="inlineStr">
        <is>
          <t>ui</t>
        </is>
      </c>
      <c r="D3652" s="16" t="inlineStr">
        <is>
          <t>Unit</t>
        </is>
      </c>
      <c r="E3652" s="17" t="inlineStr">
        <is>
          <t>event-card-skeleton.test.tsx</t>
        </is>
      </c>
      <c r="F3652" s="17" t="inlineStr">
        <is>
          <t>EventCardSkeleton</t>
        </is>
      </c>
      <c r="G3652" s="17" t="inlineStr">
        <is>
          <t>không có liên kết — chưa có gì để bấm vào</t>
        </is>
      </c>
      <c r="H3652" s="17" t="inlineStr">
        <is>
          <t>EventCardSkeleton không có liên kết — chưa có gì để bấm vào</t>
        </is>
      </c>
      <c r="I3652" s="16" t="inlineStr">
        <is>
          <t>Đạt</t>
        </is>
      </c>
      <c r="J3652" s="16" t="n">
        <v>0.005</v>
      </c>
    </row>
    <row r="3653">
      <c r="A3653" s="16" t="n">
        <v>3649</v>
      </c>
      <c r="B3653" s="16" t="inlineStr">
        <is>
          <t>Frontend</t>
        </is>
      </c>
      <c r="C3653" s="17" t="inlineStr">
        <is>
          <t>ui</t>
        </is>
      </c>
      <c r="D3653" s="16" t="inlineStr">
        <is>
          <t>Unit</t>
        </is>
      </c>
      <c r="E3653" s="17" t="inlineStr">
        <is>
          <t>event-card-skeleton.test.tsx</t>
        </is>
      </c>
      <c r="F3653" s="17" t="inlineStr">
        <is>
          <t>EventCardSkeleton</t>
        </is>
      </c>
      <c r="G3653" s="17" t="inlineStr">
        <is>
          <t>các khối xám bị ẩn khỏi trình đọc màn hình</t>
        </is>
      </c>
      <c r="H3653" s="17" t="inlineStr">
        <is>
          <t>EventCardSkeleton các khối xám bị ẩn khỏi trình đọc màn hình</t>
        </is>
      </c>
      <c r="I3653" s="16" t="inlineStr">
        <is>
          <t>Đạt</t>
        </is>
      </c>
      <c r="J3653" s="16" t="n">
        <v>0.005</v>
      </c>
    </row>
    <row r="3654">
      <c r="A3654" s="16" t="n">
        <v>3650</v>
      </c>
      <c r="B3654" s="16" t="inlineStr">
        <is>
          <t>Frontend</t>
        </is>
      </c>
      <c r="C3654" s="17" t="inlineStr">
        <is>
          <t>ui</t>
        </is>
      </c>
      <c r="D3654" s="16" t="inlineStr">
        <is>
          <t>Unit</t>
        </is>
      </c>
      <c r="E3654" s="17" t="inlineStr">
        <is>
          <t>format.test.ts</t>
        </is>
      </c>
      <c r="F3654" s="17" t="inlineStr">
        <is>
          <t>định dạng</t>
        </is>
      </c>
      <c r="G3654" s="17" t="inlineStr">
        <is>
          <t>tiền là số nguyên đồng, không phần thập phân</t>
        </is>
      </c>
      <c r="H3654" s="17" t="inlineStr">
        <is>
          <t>định dạng tiền là số nguyên đồng, không phần thập phân</t>
        </is>
      </c>
      <c r="I3654" s="16" t="inlineStr">
        <is>
          <t>Đạt</t>
        </is>
      </c>
      <c r="J3654" s="16" t="n">
        <v>0.003</v>
      </c>
    </row>
    <row r="3655">
      <c r="A3655" s="16" t="n">
        <v>3651</v>
      </c>
      <c r="B3655" s="16" t="inlineStr">
        <is>
          <t>Frontend</t>
        </is>
      </c>
      <c r="C3655" s="17" t="inlineStr">
        <is>
          <t>ui</t>
        </is>
      </c>
      <c r="D3655" s="16" t="inlineStr">
        <is>
          <t>Unit</t>
        </is>
      </c>
      <c r="E3655" s="17" t="inlineStr">
        <is>
          <t>format.test.ts</t>
        </is>
      </c>
      <c r="F3655" s="17" t="inlineStr">
        <is>
          <t>định dạng</t>
        </is>
      </c>
      <c r="G3655" s="17" t="inlineStr">
        <is>
          <t>mm:ss dưới một giờ, h:mm:ss từ một giờ trở lên</t>
        </is>
      </c>
      <c r="H3655" s="17" t="inlineStr">
        <is>
          <t>định dạng mm:ss dưới một giờ, h:mm:ss từ một giờ trở lên</t>
        </is>
      </c>
      <c r="I3655" s="16" t="inlineStr">
        <is>
          <t>Đạt</t>
        </is>
      </c>
      <c r="J3655" s="16" t="n">
        <v>0.001</v>
      </c>
    </row>
    <row r="3656">
      <c r="A3656" s="16" t="n">
        <v>3652</v>
      </c>
      <c r="B3656" s="16" t="inlineStr">
        <is>
          <t>Frontend</t>
        </is>
      </c>
      <c r="C3656" s="17" t="inlineStr">
        <is>
          <t>ui</t>
        </is>
      </c>
      <c r="D3656" s="16" t="inlineStr">
        <is>
          <t>Unit</t>
        </is>
      </c>
      <c r="E3656" s="17" t="inlineStr">
        <is>
          <t>format.test.ts</t>
        </is>
      </c>
      <c r="F3656" s="17" t="inlineStr">
        <is>
          <t>định dạng</t>
        </is>
      </c>
      <c r="G3656" s="17" t="inlineStr">
        <is>
          <t>không đếm ngược xuống số âm</t>
        </is>
      </c>
      <c r="H3656" s="17" t="inlineStr">
        <is>
          <t>định dạng không đếm ngược xuống số âm</t>
        </is>
      </c>
      <c r="I3656" s="16" t="inlineStr">
        <is>
          <t>Đạt</t>
        </is>
      </c>
      <c r="J3656" s="16" t="n">
        <v>0</v>
      </c>
    </row>
    <row r="3657">
      <c r="A3657" s="16" t="n">
        <v>3653</v>
      </c>
      <c r="B3657" s="16" t="inlineStr">
        <is>
          <t>Frontend</t>
        </is>
      </c>
      <c r="C3657" s="17" t="inlineStr">
        <is>
          <t>ui</t>
        </is>
      </c>
      <c r="D3657" s="16" t="inlineStr">
        <is>
          <t>Unit</t>
        </is>
      </c>
      <c r="E3657" s="17" t="inlineStr">
        <is>
          <t>format.test.ts</t>
        </is>
      </c>
      <c r="F3657" s="17" t="inlineStr">
        <is>
          <t>định dạng</t>
        </is>
      </c>
      <c r="G3657" s="17" t="inlineStr">
        <is>
          <t>giờ hiện theo Asia/Ho_Chi_Minh bất kể múi giờ máy khách</t>
        </is>
      </c>
      <c r="H3657" s="17" t="inlineStr">
        <is>
          <t>định dạng giờ hiện theo Asia/Ho_Chi_Minh bất kể múi giờ máy khách</t>
        </is>
      </c>
      <c r="I3657" s="16" t="inlineStr">
        <is>
          <t>Đạt</t>
        </is>
      </c>
      <c r="J3657" s="16" t="n">
        <v>0.001</v>
      </c>
    </row>
    <row r="3658">
      <c r="A3658" s="16" t="n">
        <v>3654</v>
      </c>
      <c r="B3658" s="16" t="inlineStr">
        <is>
          <t>Frontend</t>
        </is>
      </c>
      <c r="C3658" s="17" t="inlineStr">
        <is>
          <t>ui</t>
        </is>
      </c>
      <c r="D3658" s="16" t="inlineStr">
        <is>
          <t>Unit</t>
        </is>
      </c>
      <c r="E3658" s="17" t="inlineStr">
        <is>
          <t>format.test.ts</t>
        </is>
      </c>
      <c r="F3658" s="17" t="inlineStr">
        <is>
          <t>định dạng</t>
        </is>
      </c>
      <c r="G3658" s="17" t="inlineStr">
        <is>
          <t>ngày đủ hai chữ số và bốn chữ số năm, để các thẻ cạnh nhau không lệch hàng</t>
        </is>
      </c>
      <c r="H3658" s="17" t="inlineStr">
        <is>
          <t>định dạng ngày đủ hai chữ số và bốn chữ số năm, để các thẻ cạnh nhau không lệch hàng</t>
        </is>
      </c>
      <c r="I3658" s="16" t="inlineStr">
        <is>
          <t>Đạt</t>
        </is>
      </c>
      <c r="J3658" s="16" t="n">
        <v>0</v>
      </c>
    </row>
    <row r="3659">
      <c r="A3659" s="16" t="n">
        <v>3655</v>
      </c>
      <c r="B3659" s="16" t="inlineStr">
        <is>
          <t>Frontend</t>
        </is>
      </c>
      <c r="C3659" s="17" t="inlineStr">
        <is>
          <t>ui</t>
        </is>
      </c>
      <c r="D3659" s="16" t="inlineStr">
        <is>
          <t>Unit</t>
        </is>
      </c>
      <c r="E3659" s="17" t="inlineStr">
        <is>
          <t>format.test.ts</t>
        </is>
      </c>
      <c r="F3659" s="17" t="inlineStr">
        <is>
          <t>định dạng</t>
        </is>
      </c>
      <c r="G3659" s="17" t="inlineStr">
        <is>
          <t>dạng dài có thứ trong tuần, và thứ cũng tính theo giờ Việt Nam</t>
        </is>
      </c>
      <c r="H3659" s="17" t="inlineStr">
        <is>
          <t>định dạng dạng dài có thứ trong tuần, và thứ cũng tính theo giờ Việt Nam</t>
        </is>
      </c>
      <c r="I3659" s="16" t="inlineStr">
        <is>
          <t>Đạt</t>
        </is>
      </c>
      <c r="J3659" s="16" t="n">
        <v>0</v>
      </c>
    </row>
    <row r="3660">
      <c r="A3660" s="16" t="n">
        <v>3656</v>
      </c>
      <c r="B3660" s="16" t="inlineStr">
        <is>
          <t>Frontend</t>
        </is>
      </c>
      <c r="C3660" s="17" t="inlineStr">
        <is>
          <t>ui</t>
        </is>
      </c>
      <c r="D3660" s="16" t="inlineStr">
        <is>
          <t>Unit</t>
        </is>
      </c>
      <c r="E3660" s="17" t="inlineStr">
        <is>
          <t>format.test.ts</t>
        </is>
      </c>
      <c r="F3660" s="17" t="inlineStr">
        <is>
          <t>định dạng</t>
        </is>
      </c>
      <c r="G3660" s="17" t="inlineStr">
        <is>
          <t>ô datetime-local đọc theo giờ Việt Nam, không theo giờ máy</t>
        </is>
      </c>
      <c r="H3660" s="17" t="inlineStr">
        <is>
          <t>định dạng ô datetime-local đọc theo giờ Việt Nam, không theo giờ máy</t>
        </is>
      </c>
      <c r="I3660" s="16" t="inlineStr">
        <is>
          <t>Đạt</t>
        </is>
      </c>
      <c r="J3660" s="16" t="n">
        <v>0.001</v>
      </c>
    </row>
    <row r="3661">
      <c r="A3661" s="16" t="n">
        <v>3657</v>
      </c>
      <c r="B3661" s="16" t="inlineStr">
        <is>
          <t>Frontend</t>
        </is>
      </c>
      <c r="C3661" s="17" t="inlineStr">
        <is>
          <t>ui</t>
        </is>
      </c>
      <c r="D3661" s="16" t="inlineStr">
        <is>
          <t>Unit</t>
        </is>
      </c>
      <c r="E3661" s="17" t="inlineStr">
        <is>
          <t>format.test.ts</t>
        </is>
      </c>
      <c r="F3661" s="17" t="inlineStr">
        <is>
          <t>định dạng</t>
        </is>
      </c>
      <c r="G3661" s="17" t="inlineStr">
        <is>
          <t>ô rỗng hoặc giá trị rác không dựng ra mốc thời gian giả</t>
        </is>
      </c>
      <c r="H3661" s="17" t="inlineStr">
        <is>
          <t>định dạng ô rỗng hoặc giá trị rác không dựng ra mốc thời gian giả</t>
        </is>
      </c>
      <c r="I3661" s="16" t="inlineStr">
        <is>
          <t>Đạt</t>
        </is>
      </c>
      <c r="J3661" s="16" t="n">
        <v>0</v>
      </c>
    </row>
    <row r="3662">
      <c r="A3662" s="16" t="n">
        <v>3658</v>
      </c>
      <c r="B3662" s="16" t="inlineStr">
        <is>
          <t>Frontend</t>
        </is>
      </c>
      <c r="C3662" s="17" t="inlineStr">
        <is>
          <t>ui</t>
        </is>
      </c>
      <c r="D3662" s="16" t="inlineStr">
        <is>
          <t>Unit</t>
        </is>
      </c>
      <c r="E3662" s="17" t="inlineStr">
        <is>
          <t>helpers-extra.test.ts</t>
        </is>
      </c>
      <c r="F3662" s="17" t="inlineStr">
        <is>
          <t>format — phần chưa được phủ</t>
        </is>
      </c>
      <c r="G3662" s="17" t="inlineStr">
        <is>
          <t>formatVnd làm tròn về đồng và giữ dấu âm (hoàn tiền)</t>
        </is>
      </c>
      <c r="H3662" s="17" t="inlineStr">
        <is>
          <t>format — phần chưa được phủ formatVnd làm tròn về đồng và giữ dấu âm (hoàn tiền)</t>
        </is>
      </c>
      <c r="I3662" s="16" t="inlineStr">
        <is>
          <t>Đạt</t>
        </is>
      </c>
      <c r="J3662" s="16" t="n">
        <v>0.003</v>
      </c>
    </row>
    <row r="3663">
      <c r="A3663" s="16" t="n">
        <v>3659</v>
      </c>
      <c r="B3663" s="16" t="inlineStr">
        <is>
          <t>Frontend</t>
        </is>
      </c>
      <c r="C3663" s="17" t="inlineStr">
        <is>
          <t>ui</t>
        </is>
      </c>
      <c r="D3663" s="16" t="inlineStr">
        <is>
          <t>Unit</t>
        </is>
      </c>
      <c r="E3663" s="17" t="inlineStr">
        <is>
          <t>helpers-extra.test.ts</t>
        </is>
      </c>
      <c r="F3663" s="17" t="inlineStr">
        <is>
          <t>format — phần chưa được phủ</t>
        </is>
      </c>
      <c r="G3663" s="17" t="inlineStr">
        <is>
          <t>formatNumber dùng dấu chấm phân tách hàng nghìn kiểu Việt Nam</t>
        </is>
      </c>
      <c r="H3663" s="17" t="inlineStr">
        <is>
          <t>format — phần chưa được phủ formatNumber dùng dấu chấm phân tách hàng nghìn kiểu Việt Nam</t>
        </is>
      </c>
      <c r="I3663" s="16" t="inlineStr">
        <is>
          <t>Đạt</t>
        </is>
      </c>
      <c r="J3663" s="16" t="n">
        <v>0.001</v>
      </c>
    </row>
    <row r="3664">
      <c r="A3664" s="16" t="n">
        <v>3660</v>
      </c>
      <c r="B3664" s="16" t="inlineStr">
        <is>
          <t>Frontend</t>
        </is>
      </c>
      <c r="C3664" s="17" t="inlineStr">
        <is>
          <t>ui</t>
        </is>
      </c>
      <c r="D3664" s="16" t="inlineStr">
        <is>
          <t>Unit</t>
        </is>
      </c>
      <c r="E3664" s="17" t="inlineStr">
        <is>
          <t>helpers-extra.test.ts</t>
        </is>
      </c>
      <c r="F3664" s="17" t="inlineStr">
        <is>
          <t>format — phần chưa được phủ</t>
        </is>
      </c>
      <c r="G3664" s="17" t="inlineStr">
        <is>
          <t>formatTime theo giờ Việt Nam, 24 giờ, không AM/PM</t>
        </is>
      </c>
      <c r="H3664" s="17" t="inlineStr">
        <is>
          <t>format — phần chưa được phủ formatTime theo giờ Việt Nam, 24 giờ, không AM/PM</t>
        </is>
      </c>
      <c r="I3664" s="16" t="inlineStr">
        <is>
          <t>Đạt</t>
        </is>
      </c>
      <c r="J3664" s="16" t="n">
        <v>0</v>
      </c>
    </row>
    <row r="3665">
      <c r="A3665" s="16" t="n">
        <v>3661</v>
      </c>
      <c r="B3665" s="16" t="inlineStr">
        <is>
          <t>Frontend</t>
        </is>
      </c>
      <c r="C3665" s="17" t="inlineStr">
        <is>
          <t>ui</t>
        </is>
      </c>
      <c r="D3665" s="16" t="inlineStr">
        <is>
          <t>Unit</t>
        </is>
      </c>
      <c r="E3665" s="17" t="inlineStr">
        <is>
          <t>helpers-extra.test.ts</t>
        </is>
      </c>
      <c r="F3665" s="17" t="inlineStr">
        <is>
          <t>format — phần chưa được phủ</t>
        </is>
      </c>
      <c r="G3665" s="17" t="inlineStr">
        <is>
          <t>formatDateTime đổi cả NGÀY khi qua nửa đêm giờ Việt Nam</t>
        </is>
      </c>
      <c r="H3665" s="17" t="inlineStr">
        <is>
          <t>format — phần chưa được phủ formatDateTime đổi cả NGÀY khi qua nửa đêm giờ Việt Nam</t>
        </is>
      </c>
      <c r="I3665" s="16" t="inlineStr">
        <is>
          <t>Đạt</t>
        </is>
      </c>
      <c r="J3665" s="16" t="n">
        <v>0</v>
      </c>
    </row>
    <row r="3666">
      <c r="A3666" s="16" t="n">
        <v>3662</v>
      </c>
      <c r="B3666" s="16" t="inlineStr">
        <is>
          <t>Frontend</t>
        </is>
      </c>
      <c r="C3666" s="17" t="inlineStr">
        <is>
          <t>ui</t>
        </is>
      </c>
      <c r="D3666" s="16" t="inlineStr">
        <is>
          <t>Unit</t>
        </is>
      </c>
      <c r="E3666" s="17" t="inlineStr">
        <is>
          <t>helpers-extra.test.ts</t>
        </is>
      </c>
      <c r="F3666" s="17" t="inlineStr">
        <is>
          <t>format — phần chưa được phủ</t>
        </is>
      </c>
      <c r="G3666" s="17" t="inlineStr">
        <is>
          <t>nhận cả số mili-giây và đối tượng Date</t>
        </is>
      </c>
      <c r="H3666" s="17" t="inlineStr">
        <is>
          <t>format — phần chưa được phủ nhận cả số mili-giây và đối tượng Date</t>
        </is>
      </c>
      <c r="I3666" s="16" t="inlineStr">
        <is>
          <t>Đạt</t>
        </is>
      </c>
      <c r="J3666" s="16" t="n">
        <v>0.001</v>
      </c>
    </row>
    <row r="3667">
      <c r="A3667" s="16" t="n">
        <v>3663</v>
      </c>
      <c r="B3667" s="16" t="inlineStr">
        <is>
          <t>Frontend</t>
        </is>
      </c>
      <c r="C3667" s="17" t="inlineStr">
        <is>
          <t>ui</t>
        </is>
      </c>
      <c r="D3667" s="16" t="inlineStr">
        <is>
          <t>Unit</t>
        </is>
      </c>
      <c r="E3667" s="17" t="inlineStr">
        <is>
          <t>helpers-extra.test.ts</t>
        </is>
      </c>
      <c r="F3667" s="17" t="inlineStr">
        <is>
          <t>csv — tải file</t>
        </is>
      </c>
      <c r="G3667" s="17" t="inlineStr">
        <is>
          <t>downloadCsv gắn BOM UTF-8 ở đầu, đặt tên file và thu hồi URL ngay</t>
        </is>
      </c>
      <c r="H3667" s="17" t="inlineStr">
        <is>
          <t>csv — tải file downloadCsv gắn BOM UTF-8 ở đầu, đặt tên file và thu hồi URL ngay</t>
        </is>
      </c>
      <c r="I3667" s="16" t="inlineStr">
        <is>
          <t>Đạt</t>
        </is>
      </c>
      <c r="J3667" s="16" t="n">
        <v>0.011</v>
      </c>
    </row>
    <row r="3668">
      <c r="A3668" s="16" t="n">
        <v>3664</v>
      </c>
      <c r="B3668" s="16" t="inlineStr">
        <is>
          <t>Frontend</t>
        </is>
      </c>
      <c r="C3668" s="17" t="inlineStr">
        <is>
          <t>ui</t>
        </is>
      </c>
      <c r="D3668" s="16" t="inlineStr">
        <is>
          <t>Unit</t>
        </is>
      </c>
      <c r="E3668" s="17" t="inlineStr">
        <is>
          <t>helpers-extra.test.ts</t>
        </is>
      </c>
      <c r="F3668" s="17" t="inlineStr">
        <is>
          <t>csv — tải file</t>
        </is>
      </c>
      <c r="G3668" s="17" t="inlineStr">
        <is>
          <t>csvFilename bỏ dấu tiếng Việt, ký tự cấm của Windows và rơi về "bao-cao" khi rỗng</t>
        </is>
      </c>
      <c r="H3668" s="17" t="inlineStr">
        <is>
          <t>csv — tải file csvFilename bỏ dấu tiếng Việt, ký tự cấm của Windows và rơi về "bao-cao" khi rỗng</t>
        </is>
      </c>
      <c r="I3668" s="16" t="inlineStr">
        <is>
          <t>Đạt</t>
        </is>
      </c>
      <c r="J3668" s="16" t="n">
        <v>0.001</v>
      </c>
    </row>
    <row r="3669">
      <c r="A3669" s="16" t="n">
        <v>3665</v>
      </c>
      <c r="B3669" s="16" t="inlineStr">
        <is>
          <t>Frontend</t>
        </is>
      </c>
      <c r="C3669" s="17" t="inlineStr">
        <is>
          <t>ui</t>
        </is>
      </c>
      <c r="D3669" s="16" t="inlineStr">
        <is>
          <t>Unit</t>
        </is>
      </c>
      <c r="E3669" s="17" t="inlineStr">
        <is>
          <t>helpers-extra.test.ts</t>
        </is>
      </c>
      <c r="F3669" s="17" t="inlineStr">
        <is>
          <t>csv — tải file</t>
        </is>
      </c>
      <c r="G3669" s="17" t="inlineStr">
        <is>
          <t>chặn công thức sau ký tự điều khiển ở đầu ô: "\t=HYPERLINK(\"http://x\",\"bấm\")"</t>
        </is>
      </c>
      <c r="H3669" s="17" t="inlineStr">
        <is>
          <t>csv — tải file chặn công thức sau ký tự điều khiển ở đầu ô: "\t=HYPERLINK(\"http://x\",\"bấm\")"</t>
        </is>
      </c>
      <c r="I3669" s="16" t="inlineStr">
        <is>
          <t>Đạt</t>
        </is>
      </c>
      <c r="J3669" s="16" t="n">
        <v>0.001</v>
      </c>
    </row>
    <row r="3670">
      <c r="A3670" s="16" t="n">
        <v>3666</v>
      </c>
      <c r="B3670" s="16" t="inlineStr">
        <is>
          <t>Frontend</t>
        </is>
      </c>
      <c r="C3670" s="17" t="inlineStr">
        <is>
          <t>ui</t>
        </is>
      </c>
      <c r="D3670" s="16" t="inlineStr">
        <is>
          <t>Unit</t>
        </is>
      </c>
      <c r="E3670" s="17" t="inlineStr">
        <is>
          <t>helpers-extra.test.ts</t>
        </is>
      </c>
      <c r="F3670" s="17" t="inlineStr">
        <is>
          <t>csv — tải file</t>
        </is>
      </c>
      <c r="G3670" s="17" t="inlineStr">
        <is>
          <t>chặn công thức sau ký tự điều khiển ở đầu ô: "\r=1+1"</t>
        </is>
      </c>
      <c r="H3670" s="17" t="inlineStr">
        <is>
          <t>csv — tải file chặn công thức sau ký tự điều khiển ở đầu ô: "\r=1+1"</t>
        </is>
      </c>
      <c r="I3670" s="16" t="inlineStr">
        <is>
          <t>Đạt</t>
        </is>
      </c>
      <c r="J3670" s="16" t="n">
        <v>0</v>
      </c>
    </row>
    <row r="3671">
      <c r="A3671" s="16" t="n">
        <v>3667</v>
      </c>
      <c r="B3671" s="16" t="inlineStr">
        <is>
          <t>Frontend</t>
        </is>
      </c>
      <c r="C3671" s="17" t="inlineStr">
        <is>
          <t>ui</t>
        </is>
      </c>
      <c r="D3671" s="16" t="inlineStr">
        <is>
          <t>Unit</t>
        </is>
      </c>
      <c r="E3671" s="17" t="inlineStr">
        <is>
          <t>helpers-extra.test.ts</t>
        </is>
      </c>
      <c r="F3671" s="17" t="inlineStr">
        <is>
          <t>csv — tải file</t>
        </is>
      </c>
      <c r="G3671" s="17" t="inlineStr">
        <is>
          <t>tiêu đề khối và đầu cột cũng qua chốt chặn công thức</t>
        </is>
      </c>
      <c r="H3671" s="17" t="inlineStr">
        <is>
          <t>csv — tải file tiêu đề khối và đầu cột cũng qua chốt chặn công thức</t>
        </is>
      </c>
      <c r="I3671" s="16" t="inlineStr">
        <is>
          <t>Đạt</t>
        </is>
      </c>
      <c r="J3671" s="16" t="n">
        <v>0</v>
      </c>
    </row>
    <row r="3672">
      <c r="A3672" s="16" t="n">
        <v>3668</v>
      </c>
      <c r="B3672" s="16" t="inlineStr">
        <is>
          <t>Frontend</t>
        </is>
      </c>
      <c r="C3672" s="17" t="inlineStr">
        <is>
          <t>ui</t>
        </is>
      </c>
      <c r="D3672" s="16" t="inlineStr">
        <is>
          <t>Unit</t>
        </is>
      </c>
      <c r="E3672" s="17" t="inlineStr">
        <is>
          <t>helpers-extra.test.ts</t>
        </is>
      </c>
      <c r="F3672" s="17" t="inlineStr">
        <is>
          <t>errors — meta dạng chuỗi</t>
        </is>
      </c>
      <c r="G3672" s="17" t="inlineStr">
        <is>
          <t>trần mua đến dạng chuỗi số vẫn được chèn vào câu</t>
        </is>
      </c>
      <c r="H3672" s="17" t="inlineStr">
        <is>
          <t>errors — meta dạng chuỗi trần mua đến dạng chuỗi số vẫn được chèn vào câu</t>
        </is>
      </c>
      <c r="I3672" s="16" t="inlineStr">
        <is>
          <t>Đạt</t>
        </is>
      </c>
      <c r="J3672" s="16" t="n">
        <v>0.001</v>
      </c>
    </row>
    <row r="3673">
      <c r="A3673" s="16" t="n">
        <v>3669</v>
      </c>
      <c r="B3673" s="16" t="inlineStr">
        <is>
          <t>Frontend</t>
        </is>
      </c>
      <c r="C3673" s="17" t="inlineStr">
        <is>
          <t>ui</t>
        </is>
      </c>
      <c r="D3673" s="16" t="inlineStr">
        <is>
          <t>Unit</t>
        </is>
      </c>
      <c r="E3673" s="17" t="inlineStr">
        <is>
          <t>helpers-extra.test.ts</t>
        </is>
      </c>
      <c r="F3673" s="17" t="inlineStr">
        <is>
          <t>errors — meta dạng chuỗi</t>
        </is>
      </c>
      <c r="G3673" s="17" t="inlineStr">
        <is>
          <t>chuỗi rỗng hoặc không phải số không thành "(tối đa  vé)" hay "NaN"</t>
        </is>
      </c>
      <c r="H3673" s="17" t="inlineStr">
        <is>
          <t>errors — meta dạng chuỗi chuỗi rỗng hoặc không phải số không thành "(tối đa  vé)" hay "NaN"</t>
        </is>
      </c>
      <c r="I3673" s="16" t="inlineStr">
        <is>
          <t>Đạt</t>
        </is>
      </c>
      <c r="J3673" s="16" t="n">
        <v>0.001</v>
      </c>
    </row>
    <row r="3674">
      <c r="A3674" s="16" t="n">
        <v>3670</v>
      </c>
      <c r="B3674" s="16" t="inlineStr">
        <is>
          <t>Frontend</t>
        </is>
      </c>
      <c r="C3674" s="17" t="inlineStr">
        <is>
          <t>ui</t>
        </is>
      </c>
      <c r="D3674" s="16" t="inlineStr">
        <is>
          <t>Unit</t>
        </is>
      </c>
      <c r="E3674" s="17" t="inlineStr">
        <is>
          <t>helpers-extra.test.ts</t>
        </is>
      </c>
      <c r="F3674" s="17" t="inlineStr">
        <is>
          <t>errors — meta dạng chuỗi</t>
        </is>
      </c>
      <c r="G3674" s="17" t="inlineStr">
        <is>
          <t>isKnownErrorCode từ chối null, rỗng và mã lạ</t>
        </is>
      </c>
      <c r="H3674" s="17" t="inlineStr">
        <is>
          <t>errors — meta dạng chuỗi isKnownErrorCode từ chối null, rỗng và mã lạ</t>
        </is>
      </c>
      <c r="I3674" s="16" t="inlineStr">
        <is>
          <t>Đạt</t>
        </is>
      </c>
      <c r="J3674" s="16" t="n">
        <v>0</v>
      </c>
    </row>
    <row r="3675">
      <c r="A3675" s="16" t="n">
        <v>3671</v>
      </c>
      <c r="B3675" s="16" t="inlineStr">
        <is>
          <t>Frontend</t>
        </is>
      </c>
      <c r="C3675" s="17" t="inlineStr">
        <is>
          <t>ui</t>
        </is>
      </c>
      <c r="D3675" s="16" t="inlineStr">
        <is>
          <t>Unit</t>
        </is>
      </c>
      <c r="E3675" s="17" t="inlineStr">
        <is>
          <t>helpers-extra.test.ts</t>
        </is>
      </c>
      <c r="F3675" s="17" t="inlineStr">
        <is>
          <t>nhãn hiển thị</t>
        </is>
      </c>
      <c r="G3675" s="17" t="inlineStr">
        <is>
          <t>audit: hành động lạ hiện nguyên mã, màu theo tính chất</t>
        </is>
      </c>
      <c r="H3675" s="17" t="inlineStr">
        <is>
          <t>nhãn hiển thị audit: hành động lạ hiện nguyên mã, màu theo tính chất</t>
        </is>
      </c>
      <c r="I3675" s="16" t="inlineStr">
        <is>
          <t>Đạt</t>
        </is>
      </c>
      <c r="J3675" s="16" t="n">
        <v>0</v>
      </c>
    </row>
    <row r="3676">
      <c r="A3676" s="16" t="n">
        <v>3672</v>
      </c>
      <c r="B3676" s="16" t="inlineStr">
        <is>
          <t>Frontend</t>
        </is>
      </c>
      <c r="C3676" s="17" t="inlineStr">
        <is>
          <t>ui</t>
        </is>
      </c>
      <c r="D3676" s="16" t="inlineStr">
        <is>
          <t>Unit</t>
        </is>
      </c>
      <c r="E3676" s="17" t="inlineStr">
        <is>
          <t>helpers-extra.test.ts</t>
        </is>
      </c>
      <c r="F3676" s="17" t="inlineStr">
        <is>
          <t>nhãn hiển thị</t>
        </is>
      </c>
      <c r="G3676" s="17" t="inlineStr">
        <is>
          <t>audit: bộ lọc của tổ chức KHÔNG có hành động cấp tài khoản (USER_*)</t>
        </is>
      </c>
      <c r="H3676" s="17" t="inlineStr">
        <is>
          <t>nhãn hiển thị audit: bộ lọc của tổ chức KHÔNG có hành động cấp tài khoản (USER_*)</t>
        </is>
      </c>
      <c r="I3676" s="16" t="inlineStr">
        <is>
          <t>Đạt</t>
        </is>
      </c>
      <c r="J3676" s="16" t="n">
        <v>0.001</v>
      </c>
    </row>
    <row r="3677">
      <c r="A3677" s="16" t="n">
        <v>3673</v>
      </c>
      <c r="B3677" s="16" t="inlineStr">
        <is>
          <t>Frontend</t>
        </is>
      </c>
      <c r="C3677" s="17" t="inlineStr">
        <is>
          <t>ui</t>
        </is>
      </c>
      <c r="D3677" s="16" t="inlineStr">
        <is>
          <t>Unit</t>
        </is>
      </c>
      <c r="E3677" s="17" t="inlineStr">
        <is>
          <t>helpers-extra.test.ts</t>
        </is>
      </c>
      <c r="F3677" s="17" t="inlineStr">
        <is>
          <t>nhãn hiển thị</t>
        </is>
      </c>
      <c r="G3677" s="17" t="inlineStr">
        <is>
          <t>vai trò và thể loại: mã lạ hiện nguyên, mã quen dịch sang tiếng Việt</t>
        </is>
      </c>
      <c r="H3677" s="17" t="inlineStr">
        <is>
          <t>nhãn hiển thị vai trò và thể loại: mã lạ hiện nguyên, mã quen dịch sang tiếng Việt</t>
        </is>
      </c>
      <c r="I3677" s="16" t="inlineStr">
        <is>
          <t>Đạt</t>
        </is>
      </c>
      <c r="J3677" s="16" t="n">
        <v>0.001</v>
      </c>
    </row>
    <row r="3678">
      <c r="A3678" s="16" t="n">
        <v>3674</v>
      </c>
      <c r="B3678" s="16" t="inlineStr">
        <is>
          <t>Frontend</t>
        </is>
      </c>
      <c r="C3678" s="17" t="inlineStr">
        <is>
          <t>ui</t>
        </is>
      </c>
      <c r="D3678" s="16" t="inlineStr">
        <is>
          <t>Unit</t>
        </is>
      </c>
      <c r="E3678" s="17" t="inlineStr">
        <is>
          <t>overlays.test.tsx</t>
        </is>
      </c>
      <c r="F3678" s="17" t="inlineStr">
        <is>
          <t>Countdown</t>
        </is>
      </c>
      <c r="G3678" s="17" t="inlineStr">
        <is>
          <t>đi từ bình thường → cảnh báo → hết giờ, và gọi onExpire đúng một lần</t>
        </is>
      </c>
      <c r="H3678" s="17" t="inlineStr">
        <is>
          <t>Countdown đi từ bình thường → cảnh báo → hết giờ, và gọi onExpire đúng một lần</t>
        </is>
      </c>
      <c r="I3678" s="16" t="inlineStr">
        <is>
          <t>Đạt</t>
        </is>
      </c>
      <c r="J3678" s="16" t="n">
        <v>0.157</v>
      </c>
    </row>
    <row r="3679">
      <c r="A3679" s="16" t="n">
        <v>3675</v>
      </c>
      <c r="B3679" s="16" t="inlineStr">
        <is>
          <t>Frontend</t>
        </is>
      </c>
      <c r="C3679" s="17" t="inlineStr">
        <is>
          <t>ui</t>
        </is>
      </c>
      <c r="D3679" s="16" t="inlineStr">
        <is>
          <t>Unit</t>
        </is>
      </c>
      <c r="E3679" s="17" t="inlineStr">
        <is>
          <t>overlays.test.tsx</t>
        </is>
      </c>
      <c r="F3679" s="17" t="inlineStr">
        <is>
          <t>Countdown</t>
        </is>
      </c>
      <c r="G3679" s="17" t="inlineStr">
        <is>
          <t>không đọc lại từng giây cho trình đọc màn hình</t>
        </is>
      </c>
      <c r="H3679" s="17" t="inlineStr">
        <is>
          <t>Countdown không đọc lại từng giây cho trình đọc màn hình</t>
        </is>
      </c>
      <c r="I3679" s="16" t="inlineStr">
        <is>
          <t>Đạt</t>
        </is>
      </c>
      <c r="J3679" s="16" t="n">
        <v>0.035</v>
      </c>
    </row>
    <row r="3680">
      <c r="A3680" s="16" t="n">
        <v>3676</v>
      </c>
      <c r="B3680" s="16" t="inlineStr">
        <is>
          <t>Frontend</t>
        </is>
      </c>
      <c r="C3680" s="17" t="inlineStr">
        <is>
          <t>ui</t>
        </is>
      </c>
      <c r="D3680" s="16" t="inlineStr">
        <is>
          <t>Unit</t>
        </is>
      </c>
      <c r="E3680" s="17" t="inlineStr">
        <is>
          <t>overlays.test.tsx</t>
        </is>
      </c>
      <c r="F3680" s="17" t="inlineStr">
        <is>
          <t>Modal / Drawer</t>
        </is>
      </c>
      <c r="G3680" s="17" t="inlineStr">
        <is>
          <t>Esc (sự kiện cancel) đóng modal thường</t>
        </is>
      </c>
      <c r="H3680" s="17" t="inlineStr">
        <is>
          <t>Modal / Drawer Esc (sự kiện cancel) đóng modal thường</t>
        </is>
      </c>
      <c r="I3680" s="16" t="inlineStr">
        <is>
          <t>Đạt</t>
        </is>
      </c>
      <c r="J3680" s="16" t="n">
        <v>0.029</v>
      </c>
    </row>
    <row r="3681">
      <c r="A3681" s="16" t="n">
        <v>3677</v>
      </c>
      <c r="B3681" s="16" t="inlineStr">
        <is>
          <t>Frontend</t>
        </is>
      </c>
      <c r="C3681" s="17" t="inlineStr">
        <is>
          <t>ui</t>
        </is>
      </c>
      <c r="D3681" s="16" t="inlineStr">
        <is>
          <t>Unit</t>
        </is>
      </c>
      <c r="E3681" s="17" t="inlineStr">
        <is>
          <t>overlays.test.tsx</t>
        </is>
      </c>
      <c r="F3681" s="17" t="inlineStr">
        <is>
          <t>Modal / Drawer</t>
        </is>
      </c>
      <c r="G3681" s="17" t="inlineStr">
        <is>
          <t>modal hệ quả nặng (dismissible=false): Esc và bấm nền đều không đóng, không có nút ×</t>
        </is>
      </c>
      <c r="H3681" s="17" t="inlineStr">
        <is>
          <t>Modal / Drawer modal hệ quả nặng (dismissible=false): Esc và bấm nền đều không đóng, không có nút ×</t>
        </is>
      </c>
      <c r="I3681" s="16" t="inlineStr">
        <is>
          <t>Đạt</t>
        </is>
      </c>
      <c r="J3681" s="16" t="n">
        <v>0.014</v>
      </c>
    </row>
    <row r="3682">
      <c r="A3682" s="16" t="n">
        <v>3678</v>
      </c>
      <c r="B3682" s="16" t="inlineStr">
        <is>
          <t>Frontend</t>
        </is>
      </c>
      <c r="C3682" s="17" t="inlineStr">
        <is>
          <t>ui</t>
        </is>
      </c>
      <c r="D3682" s="16" t="inlineStr">
        <is>
          <t>Unit</t>
        </is>
      </c>
      <c r="E3682" s="17" t="inlineStr">
        <is>
          <t>overlays.test.tsx</t>
        </is>
      </c>
      <c r="F3682" s="17" t="inlineStr">
        <is>
          <t>Modal / Drawer</t>
        </is>
      </c>
      <c r="G3682" s="17" t="inlineStr">
        <is>
          <t>bấm nền đóng, bấm vào nội dung bên trong thì không</t>
        </is>
      </c>
      <c r="H3682" s="17" t="inlineStr">
        <is>
          <t>Modal / Drawer bấm nền đóng, bấm vào nội dung bên trong thì không</t>
        </is>
      </c>
      <c r="I3682" s="16" t="inlineStr">
        <is>
          <t>Đạt</t>
        </is>
      </c>
      <c r="J3682" s="16" t="n">
        <v>0.015</v>
      </c>
    </row>
    <row r="3683">
      <c r="A3683" s="16" t="n">
        <v>3679</v>
      </c>
      <c r="B3683" s="16" t="inlineStr">
        <is>
          <t>Frontend</t>
        </is>
      </c>
      <c r="C3683" s="17" t="inlineStr">
        <is>
          <t>ui</t>
        </is>
      </c>
      <c r="D3683" s="16" t="inlineStr">
        <is>
          <t>Unit</t>
        </is>
      </c>
      <c r="E3683" s="17" t="inlineStr">
        <is>
          <t>overlays.test.tsx</t>
        </is>
      </c>
      <c r="F3683" s="17" t="inlineStr">
        <is>
          <t>Modal / Drawer</t>
        </is>
      </c>
      <c r="G3683" s="17" t="inlineStr">
        <is>
          <t>tiêu đề gắn với dialog qua aria-labelledby; nút × gọi onClose</t>
        </is>
      </c>
      <c r="H3683" s="17" t="inlineStr">
        <is>
          <t>Modal / Drawer tiêu đề gắn với dialog qua aria-labelledby; nút × gọi onClose</t>
        </is>
      </c>
      <c r="I3683" s="16" t="inlineStr">
        <is>
          <t>Đạt</t>
        </is>
      </c>
      <c r="J3683" s="16" t="n">
        <v>0.134</v>
      </c>
    </row>
    <row r="3684">
      <c r="A3684" s="16" t="n">
        <v>3680</v>
      </c>
      <c r="B3684" s="16" t="inlineStr">
        <is>
          <t>Frontend</t>
        </is>
      </c>
      <c r="C3684" s="17" t="inlineStr">
        <is>
          <t>ui</t>
        </is>
      </c>
      <c r="D3684" s="16" t="inlineStr">
        <is>
          <t>Unit</t>
        </is>
      </c>
      <c r="E3684" s="17" t="inlineStr">
        <is>
          <t>overlays.test.tsx</t>
        </is>
      </c>
      <c r="F3684" s="17" t="inlineStr">
        <is>
          <t>Modal / Drawer</t>
        </is>
      </c>
      <c r="G3684" s="17" t="inlineStr">
        <is>
          <t>open=false thì dialog đóng lại</t>
        </is>
      </c>
      <c r="H3684" s="17" t="inlineStr">
        <is>
          <t>Modal / Drawer open=false thì dialog đóng lại</t>
        </is>
      </c>
      <c r="I3684" s="16" t="inlineStr">
        <is>
          <t>Đạt</t>
        </is>
      </c>
      <c r="J3684" s="16" t="n">
        <v>0.008</v>
      </c>
    </row>
    <row r="3685">
      <c r="A3685" s="16" t="n">
        <v>3681</v>
      </c>
      <c r="B3685" s="16" t="inlineStr">
        <is>
          <t>Frontend</t>
        </is>
      </c>
      <c r="C3685" s="17" t="inlineStr">
        <is>
          <t>ui</t>
        </is>
      </c>
      <c r="D3685" s="16" t="inlineStr">
        <is>
          <t>Unit</t>
        </is>
      </c>
      <c r="E3685" s="17" t="inlineStr">
        <is>
          <t>overlays.test.tsx</t>
        </is>
      </c>
      <c r="F3685" s="17" t="inlineStr">
        <is>
          <t>Toast</t>
        </is>
      </c>
      <c r="G3685" s="17" t="inlineStr">
        <is>
          <t>tự đóng sau 5 giây mặc định; duration=0 thì ở lại tới khi người dùng bấm</t>
        </is>
      </c>
      <c r="H3685" s="17" t="inlineStr">
        <is>
          <t>Toast tự đóng sau 5 giây mặc định; duration=0 thì ở lại tới khi người dùng bấm</t>
        </is>
      </c>
      <c r="I3685" s="16" t="inlineStr">
        <is>
          <t>Đạt</t>
        </is>
      </c>
      <c r="J3685" s="16" t="n">
        <v>0.035</v>
      </c>
    </row>
    <row r="3686">
      <c r="A3686" s="16" t="n">
        <v>3682</v>
      </c>
      <c r="B3686" s="16" t="inlineStr">
        <is>
          <t>Frontend</t>
        </is>
      </c>
      <c r="C3686" s="17" t="inlineStr">
        <is>
          <t>ui</t>
        </is>
      </c>
      <c r="D3686" s="16" t="inlineStr">
        <is>
          <t>Unit</t>
        </is>
      </c>
      <c r="E3686" s="17" t="inlineStr">
        <is>
          <t>overlays.test.tsx</t>
        </is>
      </c>
      <c r="F3686" s="17" t="inlineStr">
        <is>
          <t>Toast</t>
        </is>
      </c>
      <c r="G3686" s="17" t="inlineStr">
        <is>
          <t>lỗi dùng role=alert + assertive; mã đã biết hiện ở dòng phụ, mã lạ thì không</t>
        </is>
      </c>
      <c r="H3686" s="17" t="inlineStr">
        <is>
          <t>Toast lỗi dùng role=alert + assertive; mã đã biết hiện ở dòng phụ, mã lạ thì không</t>
        </is>
      </c>
      <c r="I3686" s="16" t="inlineStr">
        <is>
          <t>Đạt</t>
        </is>
      </c>
      <c r="J3686" s="16" t="n">
        <v>0.018</v>
      </c>
    </row>
    <row r="3687">
      <c r="A3687" s="16" t="n">
        <v>3683</v>
      </c>
      <c r="B3687" s="16" t="inlineStr">
        <is>
          <t>Frontend</t>
        </is>
      </c>
      <c r="C3687" s="17" t="inlineStr">
        <is>
          <t>ui</t>
        </is>
      </c>
      <c r="D3687" s="16" t="inlineStr">
        <is>
          <t>Unit</t>
        </is>
      </c>
      <c r="E3687" s="17" t="inlineStr">
        <is>
          <t>overlays.test.tsx</t>
        </is>
      </c>
      <c r="F3687" s="17" t="inlineStr">
        <is>
          <t>Toast</t>
        </is>
      </c>
      <c r="G3687" s="17" t="inlineStr">
        <is>
          <t>nút hành động chạy callback rồi đóng thông báo</t>
        </is>
      </c>
      <c r="H3687" s="17" t="inlineStr">
        <is>
          <t>Toast nút hành động chạy callback rồi đóng thông báo</t>
        </is>
      </c>
      <c r="I3687" s="16" t="inlineStr">
        <is>
          <t>Đạt</t>
        </is>
      </c>
      <c r="J3687" s="16" t="n">
        <v>0.029</v>
      </c>
    </row>
    <row r="3688">
      <c r="A3688" s="16" t="n">
        <v>3684</v>
      </c>
      <c r="B3688" s="16" t="inlineStr">
        <is>
          <t>Frontend</t>
        </is>
      </c>
      <c r="C3688" s="17" t="inlineStr">
        <is>
          <t>ui</t>
        </is>
      </c>
      <c r="D3688" s="16" t="inlineStr">
        <is>
          <t>Unit</t>
        </is>
      </c>
      <c r="E3688" s="17" t="inlineStr">
        <is>
          <t>overlays.test.tsx</t>
        </is>
      </c>
      <c r="F3688" s="17" t="inlineStr">
        <is>
          <t>Toast</t>
        </is>
      </c>
      <c r="G3688" s="17" t="inlineStr">
        <is>
          <t>nội dung thông báo là chữ, không phải HTML</t>
        </is>
      </c>
      <c r="H3688" s="17" t="inlineStr">
        <is>
          <t>Toast nội dung thông báo là chữ, không phải HTML</t>
        </is>
      </c>
      <c r="I3688" s="16" t="inlineStr">
        <is>
          <t>Đạt</t>
        </is>
      </c>
      <c r="J3688" s="16" t="n">
        <v>0.011</v>
      </c>
    </row>
    <row r="3689">
      <c r="A3689" s="16" t="n">
        <v>3685</v>
      </c>
      <c r="B3689" s="16" t="inlineStr">
        <is>
          <t>Frontend</t>
        </is>
      </c>
      <c r="C3689" s="17" t="inlineStr">
        <is>
          <t>ui</t>
        </is>
      </c>
      <c r="D3689" s="16" t="inlineStr">
        <is>
          <t>Unit</t>
        </is>
      </c>
      <c r="E3689" s="17" t="inlineStr">
        <is>
          <t>overlays.test.tsx</t>
        </is>
      </c>
      <c r="F3689" s="17" t="inlineStr">
        <is>
          <t>Toast</t>
        </is>
      </c>
      <c r="G3689" s="17" t="inlineStr">
        <is>
          <t>useToast ngoài provider ném lỗi rõ ràng</t>
        </is>
      </c>
      <c r="H3689" s="17" t="inlineStr">
        <is>
          <t>Toast useToast ngoài provider ném lỗi rõ ràng</t>
        </is>
      </c>
      <c r="I3689" s="16" t="inlineStr">
        <is>
          <t>Đạt</t>
        </is>
      </c>
      <c r="J3689" s="16" t="n">
        <v>0.012</v>
      </c>
    </row>
    <row r="3690">
      <c r="A3690" s="16" t="n">
        <v>3686</v>
      </c>
      <c r="B3690" s="16" t="inlineStr">
        <is>
          <t>Frontend</t>
        </is>
      </c>
      <c r="C3690" s="17" t="inlineStr">
        <is>
          <t>ui</t>
        </is>
      </c>
      <c r="D3690" s="16" t="inlineStr">
        <is>
          <t>Unit</t>
        </is>
      </c>
      <c r="E3690" s="17" t="inlineStr">
        <is>
          <t>overlays.test.tsx</t>
        </is>
      </c>
      <c r="F3690" s="17" t="inlineStr">
        <is>
          <t>MoneyText</t>
        </is>
      </c>
      <c r="G3690" s="17" t="inlineStr">
        <is>
          <t>đọc thành "đồng" cho trình đọc màn hình, nhãn tuỳ chỉnh thắng</t>
        </is>
      </c>
      <c r="H3690" s="17" t="inlineStr">
        <is>
          <t>MoneyText đọc thành "đồng" cho trình đọc màn hình, nhãn tuỳ chỉnh thắng</t>
        </is>
      </c>
      <c r="I3690" s="16" t="inlineStr">
        <is>
          <t>Đạt</t>
        </is>
      </c>
      <c r="J3690" s="16" t="n">
        <v>0.007</v>
      </c>
    </row>
    <row r="3691">
      <c r="A3691" s="16" t="n">
        <v>3687</v>
      </c>
      <c r="B3691" s="16" t="inlineStr">
        <is>
          <t>Frontend</t>
        </is>
      </c>
      <c r="C3691" s="17" t="inlineStr">
        <is>
          <t>ui</t>
        </is>
      </c>
      <c r="D3691" s="16" t="inlineStr">
        <is>
          <t>Unit</t>
        </is>
      </c>
      <c r="E3691" s="17" t="inlineStr">
        <is>
          <t>overlays.test.tsx</t>
        </is>
      </c>
      <c r="F3691" s="17" t="inlineStr">
        <is>
          <t>useDebouncedValue</t>
        </is>
      </c>
      <c r="G3691" s="17" t="inlineStr">
        <is>
          <t>trả giá trị đầu ngay, chỉ lần gõ cuối cùng sống tới hết nhịp</t>
        </is>
      </c>
      <c r="H3691" s="17" t="inlineStr">
        <is>
          <t>useDebouncedValue trả giá trị đầu ngay, chỉ lần gõ cuối cùng sống tới hết nhịp</t>
        </is>
      </c>
      <c r="I3691" s="16" t="inlineStr">
        <is>
          <t>Đạt</t>
        </is>
      </c>
      <c r="J3691" s="16" t="n">
        <v>0.004</v>
      </c>
    </row>
    <row r="3692">
      <c r="A3692" s="16" t="n">
        <v>3688</v>
      </c>
      <c r="B3692" s="16" t="inlineStr">
        <is>
          <t>Frontend</t>
        </is>
      </c>
      <c r="C3692" s="17" t="inlineStr">
        <is>
          <t>ui</t>
        </is>
      </c>
      <c r="D3692" s="16" t="inlineStr">
        <is>
          <t>Unit</t>
        </is>
      </c>
      <c r="E3692" s="17" t="inlineStr">
        <is>
          <t>overlays.test.tsx</t>
        </is>
      </c>
      <c r="F3692" s="17" t="inlineStr">
        <is>
          <t>TicketPoster — chuỗi do người dùng đặt</t>
        </is>
      </c>
      <c r="G3692" s="17" t="inlineStr">
        <is>
          <t>tên sự kiện, tên người giữ vé chứa thẻ HTML được vẽ thành CHỮ, không thành phần tử</t>
        </is>
      </c>
      <c r="H3692" s="17" t="inlineStr">
        <is>
          <t>TicketPoster — chuỗi do người dùng đặt tên sự kiện, tên người giữ vé chứa thẻ HTML được vẽ thành CHỮ, không thành phần tử</t>
        </is>
      </c>
      <c r="I3692" s="16" t="inlineStr">
        <is>
          <t>Đạt</t>
        </is>
      </c>
      <c r="J3692" s="16" t="n">
        <v>0.019</v>
      </c>
    </row>
    <row r="3693">
      <c r="A3693" s="16" t="n">
        <v>3689</v>
      </c>
      <c r="B3693" s="16" t="inlineStr">
        <is>
          <t>Frontend</t>
        </is>
      </c>
      <c r="C3693" s="17" t="inlineStr">
        <is>
          <t>ui</t>
        </is>
      </c>
      <c r="D3693" s="16" t="inlineStr">
        <is>
          <t>Unit</t>
        </is>
      </c>
      <c r="E3693" s="17" t="inlineStr">
        <is>
          <t>poster-image.test.tsx</t>
        </is>
      </c>
      <c r="F3693" s="17" t="inlineStr">
        <is>
          <t>PosterImage</t>
        </is>
      </c>
      <c r="G3693" s="17" t="inlineStr">
        <is>
          <t>không dựng gì khi chưa có ảnh</t>
        </is>
      </c>
      <c r="H3693" s="17" t="inlineStr">
        <is>
          <t>PosterImage không dựng gì khi chưa có ảnh</t>
        </is>
      </c>
      <c r="I3693" s="16" t="inlineStr">
        <is>
          <t>Đạt</t>
        </is>
      </c>
      <c r="J3693" s="16" t="n">
        <v>0.024</v>
      </c>
    </row>
    <row r="3694">
      <c r="A3694" s="16" t="n">
        <v>3690</v>
      </c>
      <c r="B3694" s="16" t="inlineStr">
        <is>
          <t>Frontend</t>
        </is>
      </c>
      <c r="C3694" s="17" t="inlineStr">
        <is>
          <t>ui</t>
        </is>
      </c>
      <c r="D3694" s="16" t="inlineStr">
        <is>
          <t>Unit</t>
        </is>
      </c>
      <c r="E3694" s="17" t="inlineStr">
        <is>
          <t>poster-image.test.tsx</t>
        </is>
      </c>
      <c r="F3694" s="17" t="inlineStr">
        <is>
          <t>PosterImage</t>
        </is>
      </c>
      <c r="G3694" s="17" t="inlineStr">
        <is>
          <t>chuỗi rỗng cũng là chưa có ảnh</t>
        </is>
      </c>
      <c r="H3694" s="17" t="inlineStr">
        <is>
          <t>PosterImage chuỗi rỗng cũng là chưa có ảnh</t>
        </is>
      </c>
      <c r="I3694" s="16" t="inlineStr">
        <is>
          <t>Đạt</t>
        </is>
      </c>
      <c r="J3694" s="16" t="n">
        <v>0.003</v>
      </c>
    </row>
    <row r="3695">
      <c r="A3695" s="16" t="n">
        <v>3691</v>
      </c>
      <c r="B3695" s="16" t="inlineStr">
        <is>
          <t>Frontend</t>
        </is>
      </c>
      <c r="C3695" s="17" t="inlineStr">
        <is>
          <t>ui</t>
        </is>
      </c>
      <c r="D3695" s="16" t="inlineStr">
        <is>
          <t>Unit</t>
        </is>
      </c>
      <c r="E3695" s="17" t="inlineStr">
        <is>
          <t>poster-image.test.tsx</t>
        </is>
      </c>
      <c r="F3695" s="17" t="inlineStr">
        <is>
          <t>PosterImage</t>
        </is>
      </c>
      <c r="G3695" s="17" t="inlineStr">
        <is>
          <t>ảnh hỏng thì tự gỡ mình đi, nhường chỗ cho dải màu</t>
        </is>
      </c>
      <c r="H3695" s="17" t="inlineStr">
        <is>
          <t>PosterImage ảnh hỏng thì tự gỡ mình đi, nhường chỗ cho dải màu</t>
        </is>
      </c>
      <c r="I3695" s="16" t="inlineStr">
        <is>
          <t>Đạt</t>
        </is>
      </c>
      <c r="J3695" s="16" t="n">
        <v>0.015</v>
      </c>
    </row>
    <row r="3696">
      <c r="A3696" s="16" t="n">
        <v>3692</v>
      </c>
      <c r="B3696" s="16" t="inlineStr">
        <is>
          <t>Frontend</t>
        </is>
      </c>
      <c r="C3696" s="17" t="inlineStr">
        <is>
          <t>ui</t>
        </is>
      </c>
      <c r="D3696" s="16" t="inlineStr">
        <is>
          <t>Unit</t>
        </is>
      </c>
      <c r="E3696" s="17" t="inlineStr">
        <is>
          <t>poster-image.test.tsx</t>
        </is>
      </c>
      <c r="F3696" s="17" t="inlineStr">
        <is>
          <t>PosterImage</t>
        </is>
      </c>
      <c r="G3696" s="17" t="inlineStr">
        <is>
          <t>chỉ hiện ra sau khi tải xong</t>
        </is>
      </c>
      <c r="H3696" s="17" t="inlineStr">
        <is>
          <t>PosterImage chỉ hiện ra sau khi tải xong</t>
        </is>
      </c>
      <c r="I3696" s="16" t="inlineStr">
        <is>
          <t>Đạt</t>
        </is>
      </c>
      <c r="J3696" s="16" t="n">
        <v>0.008999999999999999</v>
      </c>
    </row>
    <row r="3697">
      <c r="A3697" s="16" t="n">
        <v>3693</v>
      </c>
      <c r="B3697" s="16" t="inlineStr">
        <is>
          <t>Frontend</t>
        </is>
      </c>
      <c r="C3697" s="17" t="inlineStr">
        <is>
          <t>ui</t>
        </is>
      </c>
      <c r="D3697" s="16" t="inlineStr">
        <is>
          <t>Unit</t>
        </is>
      </c>
      <c r="E3697" s="17" t="inlineStr">
        <is>
          <t>poster-image.test.tsx</t>
        </is>
      </c>
      <c r="F3697" s="17" t="inlineStr">
        <is>
          <t>PosterImage</t>
        </is>
      </c>
      <c r="G3697" s="17" t="inlineStr">
        <is>
          <t>ảnh trang trí bị ẩn khỏi trình đọc màn hình</t>
        </is>
      </c>
      <c r="H3697" s="17" t="inlineStr">
        <is>
          <t>PosterImage ảnh trang trí bị ẩn khỏi trình đọc màn hình</t>
        </is>
      </c>
      <c r="I3697" s="16" t="inlineStr">
        <is>
          <t>Đạt</t>
        </is>
      </c>
      <c r="J3697" s="16" t="n">
        <v>0.013</v>
      </c>
    </row>
    <row r="3698">
      <c r="A3698" s="16" t="n">
        <v>3694</v>
      </c>
      <c r="B3698" s="16" t="inlineStr">
        <is>
          <t>Frontend</t>
        </is>
      </c>
      <c r="C3698" s="17" t="inlineStr">
        <is>
          <t>ui</t>
        </is>
      </c>
      <c r="D3698" s="16" t="inlineStr">
        <is>
          <t>Unit</t>
        </is>
      </c>
      <c r="E3698" s="17" t="inlineStr">
        <is>
          <t>poster-image.test.tsx</t>
        </is>
      </c>
      <c r="F3698" s="17" t="inlineStr">
        <is>
          <t>PosterImage</t>
        </is>
      </c>
      <c r="G3698" s="17" t="inlineStr">
        <is>
          <t>ảnh nội dung giữ nguyên mô tả</t>
        </is>
      </c>
      <c r="H3698" s="17" t="inlineStr">
        <is>
          <t>PosterImage ảnh nội dung giữ nguyên mô tả</t>
        </is>
      </c>
      <c r="I3698" s="16" t="inlineStr">
        <is>
          <t>Đạt</t>
        </is>
      </c>
      <c r="J3698" s="16" t="n">
        <v>0.003</v>
      </c>
    </row>
    <row r="3699">
      <c r="A3699" s="16" t="n">
        <v>3695</v>
      </c>
      <c r="B3699" s="16" t="inlineStr">
        <is>
          <t>Frontend</t>
        </is>
      </c>
      <c r="C3699" s="17" t="inlineStr">
        <is>
          <t>ui</t>
        </is>
      </c>
      <c r="D3699" s="16" t="inlineStr">
        <is>
          <t>Unit</t>
        </is>
      </c>
      <c r="E3699" s="17" t="inlineStr">
        <is>
          <t>qr-panel.test.tsx</t>
        </is>
      </c>
      <c r="F3699" s="17" t="inlineStr">
        <is>
          <t>QrPanel</t>
        </is>
      </c>
      <c r="G3699" s="17" t="inlineStr">
        <is>
          <t>không đụng vào mã bên trong — vẫn đúng từng ô như mã trần</t>
        </is>
      </c>
      <c r="H3699" s="17" t="inlineStr">
        <is>
          <t>QrPanel không đụng vào mã bên trong — vẫn đúng từng ô như mã trần</t>
        </is>
      </c>
      <c r="I3699" s="16" t="inlineStr">
        <is>
          <t>Đạt</t>
        </is>
      </c>
      <c r="J3699" s="16" t="n">
        <v>0.092</v>
      </c>
    </row>
    <row r="3700">
      <c r="A3700" s="16" t="n">
        <v>3696</v>
      </c>
      <c r="B3700" s="16" t="inlineStr">
        <is>
          <t>Frontend</t>
        </is>
      </c>
      <c r="C3700" s="17" t="inlineStr">
        <is>
          <t>ui</t>
        </is>
      </c>
      <c r="D3700" s="16" t="inlineStr">
        <is>
          <t>Unit</t>
        </is>
      </c>
      <c r="E3700" s="17" t="inlineStr">
        <is>
          <t>qr-panel.test.tsx</t>
        </is>
      </c>
      <c r="F3700" s="17" t="inlineStr">
        <is>
          <t>QrPanel</t>
        </is>
      </c>
      <c r="G3700" s="17" t="inlineStr">
        <is>
          <t>mã nằm trên tấm nền trắng, không nằm trên nền tối của trang</t>
        </is>
      </c>
      <c r="H3700" s="17" t="inlineStr">
        <is>
          <t>QrPanel mã nằm trên tấm nền trắng, không nằm trên nền tối của trang</t>
        </is>
      </c>
      <c r="I3700" s="16" t="inlineStr">
        <is>
          <t>Đạt</t>
        </is>
      </c>
      <c r="J3700" s="16" t="n">
        <v>0.01</v>
      </c>
    </row>
    <row r="3701">
      <c r="A3701" s="16" t="n">
        <v>3697</v>
      </c>
      <c r="B3701" s="16" t="inlineStr">
        <is>
          <t>Frontend</t>
        </is>
      </c>
      <c r="C3701" s="17" t="inlineStr">
        <is>
          <t>ui</t>
        </is>
      </c>
      <c r="D3701" s="16" t="inlineStr">
        <is>
          <t>Unit</t>
        </is>
      </c>
      <c r="E3701" s="17" t="inlineStr">
        <is>
          <t>qr-panel.test.tsx</t>
        </is>
      </c>
      <c r="F3701" s="17" t="inlineStr">
        <is>
          <t>QrPanel</t>
        </is>
      </c>
      <c r="G3701" s="17" t="inlineStr">
        <is>
          <t>bốn dấu góc bị ẩn khỏi trình đọc màn hình</t>
        </is>
      </c>
      <c r="H3701" s="17" t="inlineStr">
        <is>
          <t>QrPanel bốn dấu góc bị ẩn khỏi trình đọc màn hình</t>
        </is>
      </c>
      <c r="I3701" s="16" t="inlineStr">
        <is>
          <t>Đạt</t>
        </is>
      </c>
      <c r="J3701" s="16" t="n">
        <v>0.011</v>
      </c>
    </row>
    <row r="3702">
      <c r="A3702" s="16" t="n">
        <v>3698</v>
      </c>
      <c r="B3702" s="16" t="inlineStr">
        <is>
          <t>Frontend</t>
        </is>
      </c>
      <c r="C3702" s="17" t="inlineStr">
        <is>
          <t>ui</t>
        </is>
      </c>
      <c r="D3702" s="16" t="inlineStr">
        <is>
          <t>Unit</t>
        </is>
      </c>
      <c r="E3702" s="17" t="inlineStr">
        <is>
          <t>qr-panel.test.tsx</t>
        </is>
      </c>
      <c r="F3702" s="17" t="inlineStr">
        <is>
          <t>QrPanel</t>
        </is>
      </c>
      <c r="G3702" s="17" t="inlineStr">
        <is>
          <t>mã vé và mã chuyển khoản phân biệt được bằng lớp CSS</t>
        </is>
      </c>
      <c r="H3702" s="17" t="inlineStr">
        <is>
          <t>QrPanel mã vé và mã chuyển khoản phân biệt được bằng lớp CSS</t>
        </is>
      </c>
      <c r="I3702" s="16" t="inlineStr">
        <is>
          <t>Đạt</t>
        </is>
      </c>
      <c r="J3702" s="16" t="n">
        <v>0.036</v>
      </c>
    </row>
    <row r="3703">
      <c r="A3703" s="16" t="n">
        <v>3699</v>
      </c>
      <c r="B3703" s="16" t="inlineStr">
        <is>
          <t>Frontend</t>
        </is>
      </c>
      <c r="C3703" s="17" t="inlineStr">
        <is>
          <t>ui</t>
        </is>
      </c>
      <c r="D3703" s="16" t="inlineStr">
        <is>
          <t>Unit</t>
        </is>
      </c>
      <c r="E3703" s="17" t="inlineStr">
        <is>
          <t>qr-panel.test.tsx</t>
        </is>
      </c>
      <c r="F3703" s="17" t="inlineStr">
        <is>
          <t>QrPanel</t>
        </is>
      </c>
      <c r="G3703" s="17" t="inlineStr">
        <is>
          <t>nhãn trợ năng vẫn là nhãn của mã, không phải tiêu đề khung</t>
        </is>
      </c>
      <c r="H3703" s="17" t="inlineStr">
        <is>
          <t>QrPanel nhãn trợ năng vẫn là nhãn của mã, không phải tiêu đề khung</t>
        </is>
      </c>
      <c r="I3703" s="16" t="inlineStr">
        <is>
          <t>Đạt</t>
        </is>
      </c>
      <c r="J3703" s="16" t="n">
        <v>0.014</v>
      </c>
    </row>
    <row r="3704">
      <c r="A3704" s="16" t="n">
        <v>3700</v>
      </c>
      <c r="B3704" s="16" t="inlineStr">
        <is>
          <t>Frontend</t>
        </is>
      </c>
      <c r="C3704" s="17" t="inlineStr">
        <is>
          <t>ui</t>
        </is>
      </c>
      <c r="D3704" s="16" t="inlineStr">
        <is>
          <t>Unit</t>
        </is>
      </c>
      <c r="E3704" s="17" t="inlineStr">
        <is>
          <t>qr-panel.test.tsx</t>
        </is>
      </c>
      <c r="F3704" s="17" t="inlineStr">
        <is>
          <t>QrPanel</t>
        </is>
      </c>
      <c r="G3704" s="17" t="inlineStr">
        <is>
          <t>không có chú thích thì không dựng ô chú thích rỗng</t>
        </is>
      </c>
      <c r="H3704" s="17" t="inlineStr">
        <is>
          <t>QrPanel không có chú thích thì không dựng ô chú thích rỗng</t>
        </is>
      </c>
      <c r="I3704" s="16" t="inlineStr">
        <is>
          <t>Đạt</t>
        </is>
      </c>
      <c r="J3704" s="16" t="n">
        <v>0.008999999999999999</v>
      </c>
    </row>
    <row r="3705">
      <c r="A3705" s="16" t="n">
        <v>3701</v>
      </c>
      <c r="B3705" s="16" t="inlineStr">
        <is>
          <t>Frontend</t>
        </is>
      </c>
      <c r="C3705" s="17" t="inlineStr">
        <is>
          <t>ui</t>
        </is>
      </c>
      <c r="D3705" s="16" t="inlineStr">
        <is>
          <t>Unit</t>
        </is>
      </c>
      <c r="E3705" s="17" t="inlineStr">
        <is>
          <t>quick-filters.test.ts</t>
        </is>
      </c>
      <c r="F3705" s="17" t="inlineStr">
        <is>
          <t>timeRange</t>
        </is>
      </c>
      <c r="G3705" s="17" t="inlineStr">
        <is>
          <t>không lọc với giá trị "all" hoặc giá trị lạ</t>
        </is>
      </c>
      <c r="H3705" s="17" t="inlineStr">
        <is>
          <t>timeRange không lọc với giá trị "all" hoặc giá trị lạ</t>
        </is>
      </c>
      <c r="I3705" s="16" t="inlineStr">
        <is>
          <t>Đạt</t>
        </is>
      </c>
      <c r="J3705" s="16" t="n">
        <v>0.105</v>
      </c>
    </row>
    <row r="3706">
      <c r="A3706" s="16" t="n">
        <v>3702</v>
      </c>
      <c r="B3706" s="16" t="inlineStr">
        <is>
          <t>Frontend</t>
        </is>
      </c>
      <c r="C3706" s="17" t="inlineStr">
        <is>
          <t>ui</t>
        </is>
      </c>
      <c r="D3706" s="16" t="inlineStr">
        <is>
          <t>Unit</t>
        </is>
      </c>
      <c r="E3706" s="17" t="inlineStr">
        <is>
          <t>quick-filters.test.ts</t>
        </is>
      </c>
      <c r="F3706" s="17" t="inlineStr">
        <is>
          <t>timeRange</t>
        </is>
      </c>
      <c r="G3706" s="17" t="inlineStr">
        <is>
          <t>"hôm nay" bám theo ngày ở Việt Nam, không theo ngày UTC</t>
        </is>
      </c>
      <c r="H3706" s="17" t="inlineStr">
        <is>
          <t>timeRange "hôm nay" bám theo ngày ở Việt Nam, không theo ngày UTC</t>
        </is>
      </c>
      <c r="I3706" s="16" t="inlineStr">
        <is>
          <t>Đạt</t>
        </is>
      </c>
      <c r="J3706" s="16" t="n">
        <v>0.001</v>
      </c>
    </row>
    <row r="3707">
      <c r="A3707" s="16" t="n">
        <v>3703</v>
      </c>
      <c r="B3707" s="16" t="inlineStr">
        <is>
          <t>Frontend</t>
        </is>
      </c>
      <c r="C3707" s="17" t="inlineStr">
        <is>
          <t>ui</t>
        </is>
      </c>
      <c r="D3707" s="16" t="inlineStr">
        <is>
          <t>Unit</t>
        </is>
      </c>
      <c r="E3707" s="17" t="inlineStr">
        <is>
          <t>quick-filters.test.ts</t>
        </is>
      </c>
      <c r="F3707" s="17" t="inlineStr">
        <is>
          <t>timeRange</t>
        </is>
      </c>
      <c r="G3707" s="17" t="inlineStr">
        <is>
          <t>"cuối tuần này" là thứ Bảy và Chủ nhật kế tiếp</t>
        </is>
      </c>
      <c r="H3707" s="17" t="inlineStr">
        <is>
          <t>timeRange "cuối tuần này" là thứ Bảy và Chủ nhật kế tiếp</t>
        </is>
      </c>
      <c r="I3707" s="16" t="inlineStr">
        <is>
          <t>Đạt</t>
        </is>
      </c>
      <c r="J3707" s="16" t="n">
        <v>0.001</v>
      </c>
    </row>
    <row r="3708">
      <c r="A3708" s="16" t="n">
        <v>3704</v>
      </c>
      <c r="B3708" s="16" t="inlineStr">
        <is>
          <t>Frontend</t>
        </is>
      </c>
      <c r="C3708" s="17" t="inlineStr">
        <is>
          <t>ui</t>
        </is>
      </c>
      <c r="D3708" s="16" t="inlineStr">
        <is>
          <t>Unit</t>
        </is>
      </c>
      <c r="E3708" s="17" t="inlineStr">
        <is>
          <t>quick-filters.test.ts</t>
        </is>
      </c>
      <c r="F3708" s="17" t="inlineStr">
        <is>
          <t>timeRange</t>
        </is>
      </c>
      <c r="G3708" s="17" t="inlineStr">
        <is>
          <t>hỏi vào đúng thứ Bảy thì cuối tuần bắt đầu từ hôm nay, không phải tuần sau</t>
        </is>
      </c>
      <c r="H3708" s="17" t="inlineStr">
        <is>
          <t>timeRange hỏi vào đúng thứ Bảy thì cuối tuần bắt đầu từ hôm nay, không phải tuần sau</t>
        </is>
      </c>
      <c r="I3708" s="16" t="inlineStr">
        <is>
          <t>Đạt</t>
        </is>
      </c>
      <c r="J3708" s="16" t="n">
        <v>0.001</v>
      </c>
    </row>
    <row r="3709">
      <c r="A3709" s="16" t="n">
        <v>3705</v>
      </c>
      <c r="B3709" s="16" t="inlineStr">
        <is>
          <t>Frontend</t>
        </is>
      </c>
      <c r="C3709" s="17" t="inlineStr">
        <is>
          <t>ui</t>
        </is>
      </c>
      <c r="D3709" s="16" t="inlineStr">
        <is>
          <t>Unit</t>
        </is>
      </c>
      <c r="E3709" s="17" t="inlineStr">
        <is>
          <t>quick-filters.test.ts</t>
        </is>
      </c>
      <c r="F3709" s="17" t="inlineStr">
        <is>
          <t>timeRange</t>
        </is>
      </c>
      <c r="G3709" s="17" t="inlineStr">
        <is>
          <t>"tháng này" không lùi về quá khứ</t>
        </is>
      </c>
      <c r="H3709" s="17" t="inlineStr">
        <is>
          <t>timeRange "tháng này" không lùi về quá khứ</t>
        </is>
      </c>
      <c r="I3709" s="16" t="inlineStr">
        <is>
          <t>Đạt</t>
        </is>
      </c>
      <c r="J3709" s="16" t="n">
        <v>0.001</v>
      </c>
    </row>
    <row r="3710">
      <c r="A3710" s="16" t="n">
        <v>3706</v>
      </c>
      <c r="B3710" s="16" t="inlineStr">
        <is>
          <t>Frontend</t>
        </is>
      </c>
      <c r="C3710" s="17" t="inlineStr">
        <is>
          <t>ui</t>
        </is>
      </c>
      <c r="D3710" s="16" t="inlineStr">
        <is>
          <t>Unit</t>
        </is>
      </c>
      <c r="E3710" s="17" t="inlineStr">
        <is>
          <t>quick-filters.test.ts</t>
        </is>
      </c>
      <c r="F3710" s="17" t="inlineStr">
        <is>
          <t>timeRange</t>
        </is>
      </c>
      <c r="G3710" s="17" t="inlineStr">
        <is>
          <t>tháng 12 nhảy sang năm sau</t>
        </is>
      </c>
      <c r="H3710" s="17" t="inlineStr">
        <is>
          <t>timeRange tháng 12 nhảy sang năm sau</t>
        </is>
      </c>
      <c r="I3710" s="16" t="inlineStr">
        <is>
          <t>Đạt</t>
        </is>
      </c>
      <c r="J3710" s="16" t="n">
        <v>0.001</v>
      </c>
    </row>
    <row r="3711">
      <c r="A3711" s="16" t="n">
        <v>3707</v>
      </c>
      <c r="B3711" s="16" t="inlineStr">
        <is>
          <t>Frontend</t>
        </is>
      </c>
      <c r="C3711" s="17" t="inlineStr">
        <is>
          <t>ui</t>
        </is>
      </c>
      <c r="D3711" s="16" t="inlineStr">
        <is>
          <t>Unit</t>
        </is>
      </c>
      <c r="E3711" s="17" t="inlineStr">
        <is>
          <t>quick-filters.test.ts</t>
        </is>
      </c>
      <c r="F3711" s="17" t="inlineStr">
        <is>
          <t>priceRange</t>
        </is>
      </c>
      <c r="G3711" s="17" t="inlineStr">
        <is>
          <t>các khoảng không chồng lên nhau</t>
        </is>
      </c>
      <c r="H3711" s="17" t="inlineStr">
        <is>
          <t>priceRange các khoảng không chồng lên nhau</t>
        </is>
      </c>
      <c r="I3711" s="16" t="inlineStr">
        <is>
          <t>Đạt</t>
        </is>
      </c>
      <c r="J3711" s="16" t="n">
        <v>0</v>
      </c>
    </row>
    <row r="3712">
      <c r="A3712" s="16" t="n">
        <v>3708</v>
      </c>
      <c r="B3712" s="16" t="inlineStr">
        <is>
          <t>Frontend</t>
        </is>
      </c>
      <c r="C3712" s="17" t="inlineStr">
        <is>
          <t>ui</t>
        </is>
      </c>
      <c r="D3712" s="16" t="inlineStr">
        <is>
          <t>Unit</t>
        </is>
      </c>
      <c r="E3712" s="17" t="inlineStr">
        <is>
          <t>quick-filters.test.ts</t>
        </is>
      </c>
      <c r="F3712" s="17" t="inlineStr">
        <is>
          <t>priceRange</t>
        </is>
      </c>
      <c r="G3712" s="17" t="inlineStr">
        <is>
          <t>"miễn phí" chỉ nhận đúng giá 0</t>
        </is>
      </c>
      <c r="H3712" s="17" t="inlineStr">
        <is>
          <t>priceRange "miễn phí" chỉ nhận đúng giá 0</t>
        </is>
      </c>
      <c r="I3712" s="16" t="inlineStr">
        <is>
          <t>Đạt</t>
        </is>
      </c>
      <c r="J3712" s="16" t="n">
        <v>0</v>
      </c>
    </row>
    <row r="3713">
      <c r="A3713" s="16" t="n">
        <v>3709</v>
      </c>
      <c r="B3713" s="16" t="inlineStr">
        <is>
          <t>Frontend</t>
        </is>
      </c>
      <c r="C3713" s="17" t="inlineStr">
        <is>
          <t>ui</t>
        </is>
      </c>
      <c r="D3713" s="16" t="inlineStr">
        <is>
          <t>Unit</t>
        </is>
      </c>
      <c r="E3713" s="17" t="inlineStr">
        <is>
          <t>quick-filters.test.ts</t>
        </is>
      </c>
      <c r="F3713" s="17" t="inlineStr">
        <is>
          <t>quickFilterParams</t>
        </is>
      </c>
      <c r="G3713" s="17" t="inlineStr">
        <is>
          <t>không gửi tham số nào khi không lọc gì</t>
        </is>
      </c>
      <c r="H3713" s="17" t="inlineStr">
        <is>
          <t>quickFilterParams không gửi tham số nào khi không lọc gì</t>
        </is>
      </c>
      <c r="I3713" s="16" t="inlineStr">
        <is>
          <t>Đạt</t>
        </is>
      </c>
      <c r="J3713" s="16" t="n">
        <v>0.002</v>
      </c>
    </row>
    <row r="3714">
      <c r="A3714" s="16" t="n">
        <v>3710</v>
      </c>
      <c r="B3714" s="16" t="inlineStr">
        <is>
          <t>Frontend</t>
        </is>
      </c>
      <c r="C3714" s="17" t="inlineStr">
        <is>
          <t>ui</t>
        </is>
      </c>
      <c r="D3714" s="16" t="inlineStr">
        <is>
          <t>Unit</t>
        </is>
      </c>
      <c r="E3714" s="17" t="inlineStr">
        <is>
          <t>quick-filters.test.ts</t>
        </is>
      </c>
      <c r="F3714" s="17" t="inlineStr">
        <is>
          <t>quickFilterParams</t>
        </is>
      </c>
      <c r="G3714" s="17" t="inlineStr">
        <is>
          <t>bộ lọc thời gian thành khoảng ISO nửa mở</t>
        </is>
      </c>
      <c r="H3714" s="17" t="inlineStr">
        <is>
          <t>quickFilterParams bộ lọc thời gian thành khoảng ISO nửa mở</t>
        </is>
      </c>
      <c r="I3714" s="16" t="inlineStr">
        <is>
          <t>Đạt</t>
        </is>
      </c>
      <c r="J3714" s="16" t="n">
        <v>0.001</v>
      </c>
    </row>
    <row r="3715">
      <c r="A3715" s="16" t="n">
        <v>3711</v>
      </c>
      <c r="B3715" s="16" t="inlineStr">
        <is>
          <t>Frontend</t>
        </is>
      </c>
      <c r="C3715" s="17" t="inlineStr">
        <is>
          <t>ui</t>
        </is>
      </c>
      <c r="D3715" s="16" t="inlineStr">
        <is>
          <t>Unit</t>
        </is>
      </c>
      <c r="E3715" s="17" t="inlineStr">
        <is>
          <t>quick-filters.test.ts</t>
        </is>
      </c>
      <c r="F3715" s="17" t="inlineStr">
        <is>
          <t>quickFilterParams</t>
        </is>
      </c>
      <c r="G3715" s="17" t="inlineStr">
        <is>
          <t>bộ lọc giá gửi cả hai cận, cận trên không lấy mốc</t>
        </is>
      </c>
      <c r="H3715" s="17" t="inlineStr">
        <is>
          <t>quickFilterParams bộ lọc giá gửi cả hai cận, cận trên không lấy mốc</t>
        </is>
      </c>
      <c r="I3715" s="16" t="inlineStr">
        <is>
          <t>Đạt</t>
        </is>
      </c>
      <c r="J3715" s="16" t="n">
        <v>0.001</v>
      </c>
    </row>
    <row r="3716">
      <c r="A3716" s="16" t="n">
        <v>3712</v>
      </c>
      <c r="B3716" s="16" t="inlineStr">
        <is>
          <t>Frontend</t>
        </is>
      </c>
      <c r="C3716" s="17" t="inlineStr">
        <is>
          <t>ui</t>
        </is>
      </c>
      <c r="D3716" s="16" t="inlineStr">
        <is>
          <t>Unit</t>
        </is>
      </c>
      <c r="E3716" s="17" t="inlineStr">
        <is>
          <t>quick-filters.test.ts</t>
        </is>
      </c>
      <c r="F3716" s="17" t="inlineStr">
        <is>
          <t>quickFilterParams</t>
        </is>
      </c>
      <c r="G3716" s="17" t="inlineStr">
        <is>
          <t>"trên 1 triệu" KHÔNG gửi cận trên</t>
        </is>
      </c>
      <c r="H3716" s="17" t="inlineStr">
        <is>
          <t>quickFilterParams "trên 1 triệu" KHÔNG gửi cận trên</t>
        </is>
      </c>
      <c r="I3716" s="16" t="inlineStr">
        <is>
          <t>Đạt</t>
        </is>
      </c>
      <c r="J3716" s="16" t="n">
        <v>0.002</v>
      </c>
    </row>
    <row r="3717">
      <c r="A3717" s="16" t="n">
        <v>3713</v>
      </c>
      <c r="B3717" s="16" t="inlineStr">
        <is>
          <t>Frontend</t>
        </is>
      </c>
      <c r="C3717" s="17" t="inlineStr">
        <is>
          <t>ui</t>
        </is>
      </c>
      <c r="D3717" s="16" t="inlineStr">
        <is>
          <t>Unit</t>
        </is>
      </c>
      <c r="E3717" s="17" t="inlineStr">
        <is>
          <t>quick-filters.test.ts</t>
        </is>
      </c>
      <c r="F3717" s="17" t="inlineStr">
        <is>
          <t>quickFilterParams</t>
        </is>
      </c>
      <c r="G3717" s="17" t="inlineStr">
        <is>
          <t>"miễn phí" vẫn gửi minPrice = 0</t>
        </is>
      </c>
      <c r="H3717" s="17" t="inlineStr">
        <is>
          <t>quickFilterParams "miễn phí" vẫn gửi minPrice = 0</t>
        </is>
      </c>
      <c r="I3717" s="16" t="inlineStr">
        <is>
          <t>Đạt</t>
        </is>
      </c>
      <c r="J3717" s="16" t="n">
        <v>0.001</v>
      </c>
    </row>
    <row r="3718">
      <c r="A3718" s="16" t="n">
        <v>3714</v>
      </c>
      <c r="B3718" s="16" t="inlineStr">
        <is>
          <t>Frontend</t>
        </is>
      </c>
      <c r="C3718" s="17" t="inlineStr">
        <is>
          <t>ui</t>
        </is>
      </c>
      <c r="D3718" s="16" t="inlineStr">
        <is>
          <t>Unit</t>
        </is>
      </c>
      <c r="E3718" s="17" t="inlineStr">
        <is>
          <t>quick-filters.test.ts</t>
        </is>
      </c>
      <c r="F3718" s="17" t="inlineStr">
        <is>
          <t>quickFilterParams</t>
        </is>
      </c>
      <c r="G3718" s="17" t="inlineStr">
        <is>
          <t>hai bộ lọc cùng bật thì gửi cả bốn tham số</t>
        </is>
      </c>
      <c r="H3718" s="17" t="inlineStr">
        <is>
          <t>quickFilterParams hai bộ lọc cùng bật thì gửi cả bốn tham số</t>
        </is>
      </c>
      <c r="I3718" s="16" t="inlineStr">
        <is>
          <t>Đạt</t>
        </is>
      </c>
      <c r="J3718" s="16" t="n">
        <v>0.001</v>
      </c>
    </row>
    <row r="3719">
      <c r="A3719" s="16" t="n">
        <v>3715</v>
      </c>
      <c r="B3719" s="16" t="inlineStr">
        <is>
          <t>Frontend</t>
        </is>
      </c>
      <c r="C3719" s="17" t="inlineStr">
        <is>
          <t>ui</t>
        </is>
      </c>
      <c r="D3719" s="16" t="inlineStr">
        <is>
          <t>Unit</t>
        </is>
      </c>
      <c r="E3719" s="17" t="inlineStr">
        <is>
          <t>quick-filters.test.ts</t>
        </is>
      </c>
      <c r="F3719" s="17" t="inlineStr">
        <is>
          <t>vnDayRange</t>
        </is>
      </c>
      <c r="G3719" s="17" t="inlineStr">
        <is>
          <t>"hôm nay" bám theo ngày ở Việt Nam, không theo ngày UTC</t>
        </is>
      </c>
      <c r="H3719" s="17" t="inlineStr">
        <is>
          <t>vnDayRange "hôm nay" bám theo ngày ở Việt Nam, không theo ngày UTC</t>
        </is>
      </c>
      <c r="I3719" s="16" t="inlineStr">
        <is>
          <t>Đạt</t>
        </is>
      </c>
      <c r="J3719" s="16" t="n">
        <v>0.001</v>
      </c>
    </row>
    <row r="3720">
      <c r="A3720" s="16" t="n">
        <v>3716</v>
      </c>
      <c r="B3720" s="16" t="inlineStr">
        <is>
          <t>Frontend</t>
        </is>
      </c>
      <c r="C3720" s="17" t="inlineStr">
        <is>
          <t>ui</t>
        </is>
      </c>
      <c r="D3720" s="16" t="inlineStr">
        <is>
          <t>Unit</t>
        </is>
      </c>
      <c r="E3720" s="17" t="inlineStr">
        <is>
          <t>quick-filters.test.ts</t>
        </is>
      </c>
      <c r="F3720" s="17" t="inlineStr">
        <is>
          <t>vnDayRange</t>
        </is>
      </c>
      <c r="G3720" s="17" t="inlineStr">
        <is>
          <t>cận trên là nửa đêm SẮP TỚI, không phải bây giờ</t>
        </is>
      </c>
      <c r="H3720" s="17" t="inlineStr">
        <is>
          <t>vnDayRange cận trên là nửa đêm SẮP TỚI, không phải bây giờ</t>
        </is>
      </c>
      <c r="I3720" s="16" t="inlineStr">
        <is>
          <t>Đạt</t>
        </is>
      </c>
      <c r="J3720" s="16" t="n">
        <v>0</v>
      </c>
    </row>
    <row r="3721">
      <c r="A3721" s="16" t="n">
        <v>3717</v>
      </c>
      <c r="B3721" s="16" t="inlineStr">
        <is>
          <t>Frontend</t>
        </is>
      </c>
      <c r="C3721" s="17" t="inlineStr">
        <is>
          <t>ui</t>
        </is>
      </c>
      <c r="D3721" s="16" t="inlineStr">
        <is>
          <t>Unit</t>
        </is>
      </c>
      <c r="E3721" s="17" t="inlineStr">
        <is>
          <t>quick-filters.test.ts</t>
        </is>
      </c>
      <c r="F3721" s="17" t="inlineStr">
        <is>
          <t>vnDayRange</t>
        </is>
      </c>
      <c r="G3721" s="17" t="inlineStr">
        <is>
          <t>đếm lùi gồm cả hôm nay</t>
        </is>
      </c>
      <c r="H3721" s="17" t="inlineStr">
        <is>
          <t>vnDayRange đếm lùi gồm cả hôm nay</t>
        </is>
      </c>
      <c r="I3721" s="16" t="inlineStr">
        <is>
          <t>Đạt</t>
        </is>
      </c>
      <c r="J3721" s="16" t="n">
        <v>0</v>
      </c>
    </row>
    <row r="3722">
      <c r="A3722" s="16" t="n">
        <v>3718</v>
      </c>
      <c r="B3722" s="16" t="inlineStr">
        <is>
          <t>Frontend</t>
        </is>
      </c>
      <c r="C3722" s="17" t="inlineStr">
        <is>
          <t>ui</t>
        </is>
      </c>
      <c r="D3722" s="16" t="inlineStr">
        <is>
          <t>Unit</t>
        </is>
      </c>
      <c r="E3722" s="17" t="inlineStr">
        <is>
          <t>search.test.ts</t>
        </is>
      </c>
      <c r="F3722" s="17" t="inlineStr">
        <is>
          <t>foldText</t>
        </is>
      </c>
      <c r="G3722" s="17" t="inlineStr">
        <is>
          <t>bỏ dấu và hạ chữ thường</t>
        </is>
      </c>
      <c r="H3722" s="17" t="inlineStr">
        <is>
          <t>foldText bỏ dấu và hạ chữ thường</t>
        </is>
      </c>
      <c r="I3722" s="16" t="inlineStr">
        <is>
          <t>Đạt</t>
        </is>
      </c>
      <c r="J3722" s="16" t="n">
        <v>0.001</v>
      </c>
    </row>
    <row r="3723">
      <c r="A3723" s="16" t="n">
        <v>3719</v>
      </c>
      <c r="B3723" s="16" t="inlineStr">
        <is>
          <t>Frontend</t>
        </is>
      </c>
      <c r="C3723" s="17" t="inlineStr">
        <is>
          <t>ui</t>
        </is>
      </c>
      <c r="D3723" s="16" t="inlineStr">
        <is>
          <t>Unit</t>
        </is>
      </c>
      <c r="E3723" s="17" t="inlineStr">
        <is>
          <t>search.test.ts</t>
        </is>
      </c>
      <c r="F3723" s="17" t="inlineStr">
        <is>
          <t>foldText</t>
        </is>
      </c>
      <c r="G3723" s="17" t="inlineStr">
        <is>
          <t>đổi đ thành d — NFD không tách được chữ cái này</t>
        </is>
      </c>
      <c r="H3723" s="17" t="inlineStr">
        <is>
          <t>foldText đổi đ thành d — NFD không tách được chữ cái này</t>
        </is>
      </c>
      <c r="I3723" s="16" t="inlineStr">
        <is>
          <t>Đạt</t>
        </is>
      </c>
      <c r="J3723" s="16" t="n">
        <v>0</v>
      </c>
    </row>
    <row r="3724">
      <c r="A3724" s="16" t="n">
        <v>3720</v>
      </c>
      <c r="B3724" s="16" t="inlineStr">
        <is>
          <t>Frontend</t>
        </is>
      </c>
      <c r="C3724" s="17" t="inlineStr">
        <is>
          <t>ui</t>
        </is>
      </c>
      <c r="D3724" s="16" t="inlineStr">
        <is>
          <t>Unit</t>
        </is>
      </c>
      <c r="E3724" s="17" t="inlineStr">
        <is>
          <t>search.test.ts</t>
        </is>
      </c>
      <c r="F3724" s="17" t="inlineStr">
        <is>
          <t>matchesText</t>
        </is>
      </c>
      <c r="G3724" s="17" t="inlineStr">
        <is>
          <t>khớp khi gõ không dấu</t>
        </is>
      </c>
      <c r="H3724" s="17" t="inlineStr">
        <is>
          <t>matchesText khớp khi gõ không dấu</t>
        </is>
      </c>
      <c r="I3724" s="16" t="inlineStr">
        <is>
          <t>Đạt</t>
        </is>
      </c>
      <c r="J3724" s="16" t="n">
        <v>0</v>
      </c>
    </row>
    <row r="3725">
      <c r="A3725" s="16" t="n">
        <v>3721</v>
      </c>
      <c r="B3725" s="16" t="inlineStr">
        <is>
          <t>Frontend</t>
        </is>
      </c>
      <c r="C3725" s="17" t="inlineStr">
        <is>
          <t>ui</t>
        </is>
      </c>
      <c r="D3725" s="16" t="inlineStr">
        <is>
          <t>Unit</t>
        </is>
      </c>
      <c r="E3725" s="17" t="inlineStr">
        <is>
          <t>search.test.ts</t>
        </is>
      </c>
      <c r="F3725" s="17" t="inlineStr">
        <is>
          <t>matchesText</t>
        </is>
      </c>
      <c r="G3725" s="17" t="inlineStr">
        <is>
          <t>chuỗi tìm rỗng thì khớp mọi dòng — không lọc gì cả</t>
        </is>
      </c>
      <c r="H3725" s="17" t="inlineStr">
        <is>
          <t>matchesText chuỗi tìm rỗng thì khớp mọi dòng — không lọc gì cả</t>
        </is>
      </c>
      <c r="I3725" s="16" t="inlineStr">
        <is>
          <t>Đạt</t>
        </is>
      </c>
      <c r="J3725" s="16" t="n">
        <v>0</v>
      </c>
    </row>
    <row r="3726">
      <c r="A3726" s="16" t="n">
        <v>3722</v>
      </c>
      <c r="B3726" s="16" t="inlineStr">
        <is>
          <t>Frontend</t>
        </is>
      </c>
      <c r="C3726" s="17" t="inlineStr">
        <is>
          <t>ui</t>
        </is>
      </c>
      <c r="D3726" s="16" t="inlineStr">
        <is>
          <t>Unit</t>
        </is>
      </c>
      <c r="E3726" s="17" t="inlineStr">
        <is>
          <t>search.test.ts</t>
        </is>
      </c>
      <c r="F3726" s="17" t="inlineStr">
        <is>
          <t>matchesText</t>
        </is>
      </c>
      <c r="G3726" s="17" t="inlineStr">
        <is>
          <t>trường thiếu không khớp mọi từ khoá</t>
        </is>
      </c>
      <c r="H3726" s="17" t="inlineStr">
        <is>
          <t>matchesText trường thiếu không khớp mọi từ khoá</t>
        </is>
      </c>
      <c r="I3726" s="16" t="inlineStr">
        <is>
          <t>Đạt</t>
        </is>
      </c>
      <c r="J3726" s="16" t="n">
        <v>0</v>
      </c>
    </row>
    <row r="3727">
      <c r="A3727" s="16" t="n">
        <v>3723</v>
      </c>
      <c r="B3727" s="16" t="inlineStr">
        <is>
          <t>Frontend</t>
        </is>
      </c>
      <c r="C3727" s="17" t="inlineStr">
        <is>
          <t>ui</t>
        </is>
      </c>
      <c r="D3727" s="16" t="inlineStr">
        <is>
          <t>Unit</t>
        </is>
      </c>
      <c r="E3727" s="17" t="inlineStr">
        <is>
          <t>search.test.ts</t>
        </is>
      </c>
      <c r="F3727" s="17" t="inlineStr">
        <is>
          <t>matchesText</t>
        </is>
      </c>
      <c r="G3727" s="17" t="inlineStr">
        <is>
          <t>không khớp thì trả false</t>
        </is>
      </c>
      <c r="H3727" s="17" t="inlineStr">
        <is>
          <t>matchesText không khớp thì trả false</t>
        </is>
      </c>
      <c r="I3727" s="16" t="inlineStr">
        <is>
          <t>Đạt</t>
        </is>
      </c>
      <c r="J3727" s="16" t="n">
        <v>0</v>
      </c>
    </row>
    <row r="3728">
      <c r="A3728" s="16" t="n">
        <v>3724</v>
      </c>
      <c r="B3728" s="16" t="inlineStr">
        <is>
          <t>Frontend</t>
        </is>
      </c>
      <c r="C3728" s="17" t="inlineStr">
        <is>
          <t>ui</t>
        </is>
      </c>
      <c r="D3728" s="16" t="inlineStr">
        <is>
          <t>Unit</t>
        </is>
      </c>
      <c r="E3728" s="17" t="inlineStr">
        <is>
          <t>seat-map.test.tsx</t>
        </is>
      </c>
      <c r="F3728" s="17" t="inlineStr">
        <is>
          <t>SeatMapCanvas</t>
        </is>
      </c>
      <c r="G3728" s="17" t="inlineStr">
        <is>
          <t>chưa chọn khu thì không vẽ một ghế nào</t>
        </is>
      </c>
      <c r="H3728" s="17" t="inlineStr">
        <is>
          <t>SeatMapCanvas chưa chọn khu thì không vẽ một ghế nào</t>
        </is>
      </c>
      <c r="I3728" s="16" t="inlineStr">
        <is>
          <t>Đạt</t>
        </is>
      </c>
      <c r="J3728" s="16" t="n">
        <v>0.051</v>
      </c>
    </row>
    <row r="3729">
      <c r="A3729" s="16" t="n">
        <v>3725</v>
      </c>
      <c r="B3729" s="16" t="inlineStr">
        <is>
          <t>Frontend</t>
        </is>
      </c>
      <c r="C3729" s="17" t="inlineStr">
        <is>
          <t>ui</t>
        </is>
      </c>
      <c r="D3729" s="16" t="inlineStr">
        <is>
          <t>Unit</t>
        </is>
      </c>
      <c r="E3729" s="17" t="inlineStr">
        <is>
          <t>seat-map.test.tsx</t>
        </is>
      </c>
      <c r="F3729" s="17" t="inlineStr">
        <is>
          <t>SeatMapCanvas</t>
        </is>
      </c>
      <c r="G3729" s="17" t="inlineStr">
        <is>
          <t>bấm vào khu mới mở ra ghế của riêng khu đó</t>
        </is>
      </c>
      <c r="H3729" s="17" t="inlineStr">
        <is>
          <t>SeatMapCanvas bấm vào khu mới mở ra ghế của riêng khu đó</t>
        </is>
      </c>
      <c r="I3729" s="16" t="inlineStr">
        <is>
          <t>Đạt</t>
        </is>
      </c>
      <c r="J3729" s="16" t="n">
        <v>0.3</v>
      </c>
    </row>
    <row r="3730">
      <c r="A3730" s="16" t="n">
        <v>3726</v>
      </c>
      <c r="B3730" s="16" t="inlineStr">
        <is>
          <t>Frontend</t>
        </is>
      </c>
      <c r="C3730" s="17" t="inlineStr">
        <is>
          <t>ui</t>
        </is>
      </c>
      <c r="D3730" s="16" t="inlineStr">
        <is>
          <t>Unit</t>
        </is>
      </c>
      <c r="E3730" s="17" t="inlineStr">
        <is>
          <t>seat-map.test.tsx</t>
        </is>
      </c>
      <c r="F3730" s="17" t="inlineStr">
        <is>
          <t>SeatMapCanvas</t>
        </is>
      </c>
      <c r="G3730" s="17" t="inlineStr">
        <is>
          <t>khu đứng không mở ra ghế — vé đứng không có chỗ đánh số</t>
        </is>
      </c>
      <c r="H3730" s="17" t="inlineStr">
        <is>
          <t>SeatMapCanvas khu đứng không mở ra ghế — vé đứng không có chỗ đánh số</t>
        </is>
      </c>
      <c r="I3730" s="16" t="inlineStr">
        <is>
          <t>Đạt</t>
        </is>
      </c>
      <c r="J3730" s="16" t="n">
        <v>0.079</v>
      </c>
    </row>
    <row r="3731">
      <c r="A3731" s="16" t="n">
        <v>3727</v>
      </c>
      <c r="B3731" s="16" t="inlineStr">
        <is>
          <t>Frontend</t>
        </is>
      </c>
      <c r="C3731" s="17" t="inlineStr">
        <is>
          <t>ui</t>
        </is>
      </c>
      <c r="D3731" s="16" t="inlineStr">
        <is>
          <t>Unit</t>
        </is>
      </c>
      <c r="E3731" s="17" t="inlineStr">
        <is>
          <t>seat-map.test.tsx</t>
        </is>
      </c>
      <c r="F3731" s="17" t="inlineStr">
        <is>
          <t>SeatMapCanvas</t>
        </is>
      </c>
      <c r="G3731" s="17" t="inlineStr">
        <is>
          <t>bấm một ghế báo đúng mã chỗ, qua handler dùng chung ở gốc svg</t>
        </is>
      </c>
      <c r="H3731" s="17" t="inlineStr">
        <is>
          <t>SeatMapCanvas bấm một ghế báo đúng mã chỗ, qua handler dùng chung ở gốc svg</t>
        </is>
      </c>
      <c r="I3731" s="16" t="inlineStr">
        <is>
          <t>Đạt</t>
        </is>
      </c>
      <c r="J3731" s="16" t="n">
        <v>0.108</v>
      </c>
    </row>
    <row r="3732">
      <c r="A3732" s="16" t="n">
        <v>3728</v>
      </c>
      <c r="B3732" s="16" t="inlineStr">
        <is>
          <t>Frontend</t>
        </is>
      </c>
      <c r="C3732" s="17" t="inlineStr">
        <is>
          <t>ui</t>
        </is>
      </c>
      <c r="D3732" s="16" t="inlineStr">
        <is>
          <t>Unit</t>
        </is>
      </c>
      <c r="E3732" s="17" t="inlineStr">
        <is>
          <t>seat-map.test.tsx</t>
        </is>
      </c>
      <c r="F3732" s="17" t="inlineStr">
        <is>
          <t>SeatMapCanvas</t>
        </is>
      </c>
      <c r="G3732" s="17" t="inlineStr">
        <is>
          <t>sơ đồ là MỘT điểm dừng Tab, không phải một điểm cho mỗi ghế</t>
        </is>
      </c>
      <c r="H3732" s="17" t="inlineStr">
        <is>
          <t>SeatMapCanvas sơ đồ là MỘT điểm dừng Tab, không phải một điểm cho mỗi ghế</t>
        </is>
      </c>
      <c r="I3732" s="16" t="inlineStr">
        <is>
          <t>Đạt</t>
        </is>
      </c>
      <c r="J3732" s="16" t="n">
        <v>0.029</v>
      </c>
    </row>
    <row r="3733">
      <c r="A3733" s="16" t="n">
        <v>3729</v>
      </c>
      <c r="B3733" s="16" t="inlineStr">
        <is>
          <t>Frontend</t>
        </is>
      </c>
      <c r="C3733" s="17" t="inlineStr">
        <is>
          <t>ui</t>
        </is>
      </c>
      <c r="D3733" s="16" t="inlineStr">
        <is>
          <t>Unit</t>
        </is>
      </c>
      <c r="E3733" s="17" t="inlineStr">
        <is>
          <t>seat-map.test.tsx</t>
        </is>
      </c>
      <c r="F3733" s="17" t="inlineStr">
        <is>
          <t>SeatMapCanvas</t>
        </is>
      </c>
      <c r="G3733" s="17" t="inlineStr">
        <is>
          <t>mũi tên rồi Enter mở được một khu mà không cần chuột</t>
        </is>
      </c>
      <c r="H3733" s="17" t="inlineStr">
        <is>
          <t>SeatMapCanvas mũi tên rồi Enter mở được một khu mà không cần chuột</t>
        </is>
      </c>
      <c r="I3733" s="16" t="inlineStr">
        <is>
          <t>Đạt</t>
        </is>
      </c>
      <c r="J3733" s="16" t="n">
        <v>0.1</v>
      </c>
    </row>
    <row r="3734">
      <c r="A3734" s="16" t="n">
        <v>3730</v>
      </c>
      <c r="B3734" s="16" t="inlineStr">
        <is>
          <t>Frontend</t>
        </is>
      </c>
      <c r="C3734" s="17" t="inlineStr">
        <is>
          <t>ui</t>
        </is>
      </c>
      <c r="D3734" s="16" t="inlineStr">
        <is>
          <t>Unit</t>
        </is>
      </c>
      <c r="E3734" s="17" t="inlineStr">
        <is>
          <t>seat-map.test.tsx</t>
        </is>
      </c>
      <c r="F3734" s="17" t="inlineStr">
        <is>
          <t>SeatMapCanvas</t>
        </is>
      </c>
      <c r="G3734" s="17" t="inlineStr">
        <is>
          <t>trong một khu, Enter chọn ghế con trỏ đang đứng</t>
        </is>
      </c>
      <c r="H3734" s="17" t="inlineStr">
        <is>
          <t>SeatMapCanvas trong một khu, Enter chọn ghế con trỏ đang đứng</t>
        </is>
      </c>
      <c r="I3734" s="16" t="inlineStr">
        <is>
          <t>Đạt</t>
        </is>
      </c>
      <c r="J3734" s="16" t="n">
        <v>0.167</v>
      </c>
    </row>
    <row r="3735">
      <c r="A3735" s="16" t="n">
        <v>3731</v>
      </c>
      <c r="B3735" s="16" t="inlineStr">
        <is>
          <t>Frontend</t>
        </is>
      </c>
      <c r="C3735" s="17" t="inlineStr">
        <is>
          <t>ui</t>
        </is>
      </c>
      <c r="D3735" s="16" t="inlineStr">
        <is>
          <t>Unit</t>
        </is>
      </c>
      <c r="E3735" s="17" t="inlineStr">
        <is>
          <t>seat-map.test.tsx</t>
        </is>
      </c>
      <c r="F3735" s="17" t="inlineStr">
        <is>
          <t>SeatMapCanvas</t>
        </is>
      </c>
      <c r="G3735" s="17" t="inlineStr">
        <is>
          <t>Escape quay về toàn cảnh</t>
        </is>
      </c>
      <c r="H3735" s="17" t="inlineStr">
        <is>
          <t>SeatMapCanvas Escape quay về toàn cảnh</t>
        </is>
      </c>
      <c r="I3735" s="16" t="inlineStr">
        <is>
          <t>Đạt</t>
        </is>
      </c>
      <c r="J3735" s="16" t="n">
        <v>0.107</v>
      </c>
    </row>
    <row r="3736">
      <c r="A3736" s="16" t="n">
        <v>3732</v>
      </c>
      <c r="B3736" s="16" t="inlineStr">
        <is>
          <t>Frontend</t>
        </is>
      </c>
      <c r="C3736" s="17" t="inlineStr">
        <is>
          <t>ui</t>
        </is>
      </c>
      <c r="D3736" s="16" t="inlineStr">
        <is>
          <t>Unit</t>
        </is>
      </c>
      <c r="E3736" s="17" t="inlineStr">
        <is>
          <t>seat-map.test.tsx</t>
        </is>
      </c>
      <c r="F3736" s="17" t="inlineStr">
        <is>
          <t>SeatMapCanvas</t>
        </is>
      </c>
      <c r="G3736" s="17" t="inlineStr">
        <is>
          <t>con trỏ được đọc ra qua vùng aria-live — &lt;title&gt; của SVG chỉ đọc khi trỏ chuột</t>
        </is>
      </c>
      <c r="H3736" s="17" t="inlineStr">
        <is>
          <t>SeatMapCanvas con trỏ được đọc ra qua vùng aria-live — &lt;title&gt; của SVG chỉ đọc khi trỏ chuột</t>
        </is>
      </c>
      <c r="I3736" s="16" t="inlineStr">
        <is>
          <t>Đạt</t>
        </is>
      </c>
      <c r="J3736" s="16" t="n">
        <v>0.046</v>
      </c>
    </row>
    <row r="3737">
      <c r="A3737" s="16" t="n">
        <v>3733</v>
      </c>
      <c r="B3737" s="16" t="inlineStr">
        <is>
          <t>Frontend</t>
        </is>
      </c>
      <c r="C3737" s="17" t="inlineStr">
        <is>
          <t>ui</t>
        </is>
      </c>
      <c r="D3737" s="16" t="inlineStr">
        <is>
          <t>Unit</t>
        </is>
      </c>
      <c r="E3737" s="17" t="inlineStr">
        <is>
          <t>seat-map.test.tsx</t>
        </is>
      </c>
      <c r="F3737" s="17" t="inlineStr">
        <is>
          <t>SeatMapCanvas</t>
        </is>
      </c>
      <c r="G3737" s="17" t="inlineStr">
        <is>
          <t>ghế đã chọn có dấu tích, không chỉ khác màu</t>
        </is>
      </c>
      <c r="H3737" s="17" t="inlineStr">
        <is>
          <t>SeatMapCanvas ghế đã chọn có dấu tích, không chỉ khác màu</t>
        </is>
      </c>
      <c r="I3737" s="16" t="inlineStr">
        <is>
          <t>Đạt</t>
        </is>
      </c>
      <c r="J3737" s="16" t="n">
        <v>0.08</v>
      </c>
    </row>
    <row r="3738">
      <c r="A3738" s="16" t="n">
        <v>3734</v>
      </c>
      <c r="B3738" s="16" t="inlineStr">
        <is>
          <t>Frontend</t>
        </is>
      </c>
      <c r="C3738" s="17" t="inlineStr">
        <is>
          <t>ui</t>
        </is>
      </c>
      <c r="D3738" s="16" t="inlineStr">
        <is>
          <t>Unit</t>
        </is>
      </c>
      <c r="E3738" s="17" t="inlineStr">
        <is>
          <t>seat-map.test.tsx</t>
        </is>
      </c>
      <c r="F3738" s="17" t="inlineStr">
        <is>
          <t>SeatMapCanvas</t>
        </is>
      </c>
      <c r="G3738" s="17" t="inlineStr">
        <is>
          <t>nhãn khu nói số chỗ còn trống, để chọn khu trước khi phóng to</t>
        </is>
      </c>
      <c r="H3738" s="17" t="inlineStr">
        <is>
          <t>SeatMapCanvas nhãn khu nói số chỗ còn trống, để chọn khu trước khi phóng to</t>
        </is>
      </c>
      <c r="I3738" s="16" t="inlineStr">
        <is>
          <t>Đạt</t>
        </is>
      </c>
      <c r="J3738" s="16" t="n">
        <v>0.007</v>
      </c>
    </row>
    <row r="3739">
      <c r="A3739" s="16" t="n">
        <v>3735</v>
      </c>
      <c r="B3739" s="16" t="inlineStr">
        <is>
          <t>Frontend</t>
        </is>
      </c>
      <c r="C3739" s="17" t="inlineStr">
        <is>
          <t>ui</t>
        </is>
      </c>
      <c r="D3739" s="16" t="inlineStr">
        <is>
          <t>Unit</t>
        </is>
      </c>
      <c r="E3739" s="17" t="inlineStr">
        <is>
          <t>seat-map.test.tsx</t>
        </is>
      </c>
      <c r="F3739" s="17" t="inlineStr">
        <is>
          <t>SeatMapCanvas</t>
        </is>
      </c>
      <c r="G3739" s="17" t="inlineStr">
        <is>
          <t>ghế không có trong tồn kho vẫn vẽ được — màn xem trước của ban tổ chức chưa có tồn kho nào</t>
        </is>
      </c>
      <c r="H3739" s="17" t="inlineStr">
        <is>
          <t>SeatMapCanvas ghế không có trong tồn kho vẫn vẽ được — màn xem trước của ban tổ chức chưa có tồn kho nào</t>
        </is>
      </c>
      <c r="I3739" s="16" t="inlineStr">
        <is>
          <t>Đạt</t>
        </is>
      </c>
      <c r="J3739" s="16" t="n">
        <v>0.039</v>
      </c>
    </row>
    <row r="3740">
      <c r="A3740" s="16" t="n">
        <v>3736</v>
      </c>
      <c r="B3740" s="16" t="inlineStr">
        <is>
          <t>Frontend</t>
        </is>
      </c>
      <c r="C3740" s="17" t="inlineStr">
        <is>
          <t>ui</t>
        </is>
      </c>
      <c r="D3740" s="16" t="inlineStr">
        <is>
          <t>Unit</t>
        </is>
      </c>
      <c r="E3740" s="17" t="inlineStr">
        <is>
          <t>signin.test.tsx</t>
        </is>
      </c>
      <c r="F3740" s="17" t="inlineStr">
        <is>
          <t>SignInScreen — quên mật khẩu</t>
        </is>
      </c>
      <c r="G3740" s="17" t="inlineStr">
        <is>
          <t>hiện liên kết dẫn sang Keycloak khi có href</t>
        </is>
      </c>
      <c r="H3740" s="17" t="inlineStr">
        <is>
          <t>SignInScreen — quên mật khẩu hiện liên kết dẫn sang Keycloak khi có href</t>
        </is>
      </c>
      <c r="I3740" s="16" t="inlineStr">
        <is>
          <t>Đạt</t>
        </is>
      </c>
      <c r="J3740" s="16" t="n">
        <v>0.121</v>
      </c>
    </row>
    <row r="3741">
      <c r="A3741" s="16" t="n">
        <v>3737</v>
      </c>
      <c r="B3741" s="16" t="inlineStr">
        <is>
          <t>Frontend</t>
        </is>
      </c>
      <c r="C3741" s="17" t="inlineStr">
        <is>
          <t>ui</t>
        </is>
      </c>
      <c r="D3741" s="16" t="inlineStr">
        <is>
          <t>Unit</t>
        </is>
      </c>
      <c r="E3741" s="17" t="inlineStr">
        <is>
          <t>signin.test.tsx</t>
        </is>
      </c>
      <c r="F3741" s="17" t="inlineStr">
        <is>
          <t>SignInScreen — quên mật khẩu</t>
        </is>
      </c>
      <c r="G3741" s="17" t="inlineStr">
        <is>
          <t>không hiện gì khi thiếu cấu hình</t>
        </is>
      </c>
      <c r="H3741" s="17" t="inlineStr">
        <is>
          <t>SignInScreen — quên mật khẩu không hiện gì khi thiếu cấu hình</t>
        </is>
      </c>
      <c r="I3741" s="16" t="inlineStr">
        <is>
          <t>Đạt</t>
        </is>
      </c>
      <c r="J3741" s="16" t="n">
        <v>0.008</v>
      </c>
    </row>
    <row r="3742">
      <c r="A3742" s="16" t="n">
        <v>3738</v>
      </c>
      <c r="B3742" s="16" t="inlineStr">
        <is>
          <t>Frontend</t>
        </is>
      </c>
      <c r="C3742" s="17" t="inlineStr">
        <is>
          <t>ui</t>
        </is>
      </c>
      <c r="D3742" s="16" t="inlineStr">
        <is>
          <t>Unit</t>
        </is>
      </c>
      <c r="E3742" s="17" t="inlineStr">
        <is>
          <t>signin.test.tsx</t>
        </is>
      </c>
      <c r="F3742" s="17" t="inlineStr">
        <is>
          <t>SignInScreen — quên mật khẩu</t>
        </is>
      </c>
      <c r="G3742" s="17" t="inlineStr">
        <is>
          <t>vẫn không có ô mật khẩu nào trên màn hình này</t>
        </is>
      </c>
      <c r="H3742" s="17" t="inlineStr">
        <is>
          <t>SignInScreen — quên mật khẩu vẫn không có ô mật khẩu nào trên màn hình này</t>
        </is>
      </c>
      <c r="I3742" s="16" t="inlineStr">
        <is>
          <t>Đạt</t>
        </is>
      </c>
      <c r="J3742" s="16" t="n">
        <v>0.005</v>
      </c>
    </row>
    <row r="3743">
      <c r="A3743" s="16" t="n">
        <v>3739</v>
      </c>
      <c r="B3743" s="16" t="inlineStr">
        <is>
          <t>Frontend</t>
        </is>
      </c>
      <c r="C3743" s="17" t="inlineStr">
        <is>
          <t>ui</t>
        </is>
      </c>
      <c r="D3743" s="16" t="inlineStr">
        <is>
          <t>Unit</t>
        </is>
      </c>
      <c r="E3743" s="17" t="inlineStr">
        <is>
          <t>ticket-poster.test.tsx</t>
        </is>
      </c>
      <c r="F3743" s="17" t="inlineStr">
        <is>
          <t>TicketPoster</t>
        </is>
      </c>
      <c r="G3743" s="17" t="inlineStr">
        <is>
          <t>không có ảnh bìa thì vé vẫn ra, chỉ không có dải tranh</t>
        </is>
      </c>
      <c r="H3743" s="17" t="inlineStr">
        <is>
          <t>TicketPoster không có ảnh bìa thì vé vẫn ra, chỉ không có dải tranh</t>
        </is>
      </c>
      <c r="I3743" s="16" t="inlineStr">
        <is>
          <t>Đạt</t>
        </is>
      </c>
      <c r="J3743" s="16" t="n">
        <v>0.065</v>
      </c>
    </row>
    <row r="3744">
      <c r="A3744" s="16" t="n">
        <v>3740</v>
      </c>
      <c r="B3744" s="16" t="inlineStr">
        <is>
          <t>Frontend</t>
        </is>
      </c>
      <c r="C3744" s="17" t="inlineStr">
        <is>
          <t>ui</t>
        </is>
      </c>
      <c r="D3744" s="16" t="inlineStr">
        <is>
          <t>Unit</t>
        </is>
      </c>
      <c r="E3744" s="17" t="inlineStr">
        <is>
          <t>ticket-poster.test.tsx</t>
        </is>
      </c>
      <c r="F3744" s="17" t="inlineStr">
        <is>
          <t>TicketPoster</t>
        </is>
      </c>
      <c r="G3744" s="17" t="inlineStr">
        <is>
          <t>đế trắng dưới mã QR luôn có — máy quét cần tương phản đúng chiều</t>
        </is>
      </c>
      <c r="H3744" s="17" t="inlineStr">
        <is>
          <t>TicketPoster đế trắng dưới mã QR luôn có — máy quét cần tương phản đúng chiều</t>
        </is>
      </c>
      <c r="I3744" s="16" t="inlineStr">
        <is>
          <t>Đạt</t>
        </is>
      </c>
      <c r="J3744" s="16" t="n">
        <v>0.039</v>
      </c>
    </row>
    <row r="3745">
      <c r="A3745" s="16" t="n">
        <v>3741</v>
      </c>
      <c r="B3745" s="16" t="inlineStr">
        <is>
          <t>Frontend</t>
        </is>
      </c>
      <c r="C3745" s="17" t="inlineStr">
        <is>
          <t>ui</t>
        </is>
      </c>
      <c r="D3745" s="16" t="inlineStr">
        <is>
          <t>Unit</t>
        </is>
      </c>
      <c r="E3745" s="17" t="inlineStr">
        <is>
          <t>ticket-poster.test.tsx</t>
        </is>
      </c>
      <c r="F3745" s="17" t="inlineStr">
        <is>
          <t>TicketPoster</t>
        </is>
      </c>
      <c r="G3745" s="17" t="inlineStr">
        <is>
          <t>ảnh bìa được NHÚNG thành data URI, không để nguyên URL ngoài</t>
        </is>
      </c>
      <c r="H3745" s="17" t="inlineStr">
        <is>
          <t>TicketPoster ảnh bìa được NHÚNG thành data URI, không để nguyên URL ngoài</t>
        </is>
      </c>
      <c r="I3745" s="16" t="inlineStr">
        <is>
          <t>Đạt</t>
        </is>
      </c>
      <c r="J3745" s="16" t="n">
        <v>0.07000000000000001</v>
      </c>
    </row>
    <row r="3746">
      <c r="A3746" s="16" t="n">
        <v>3742</v>
      </c>
      <c r="B3746" s="16" t="inlineStr">
        <is>
          <t>Frontend</t>
        </is>
      </c>
      <c r="C3746" s="17" t="inlineStr">
        <is>
          <t>ui</t>
        </is>
      </c>
      <c r="D3746" s="16" t="inlineStr">
        <is>
          <t>Unit</t>
        </is>
      </c>
      <c r="E3746" s="17" t="inlineStr">
        <is>
          <t>ticket-poster.test.tsx</t>
        </is>
      </c>
      <c r="F3746" s="17" t="inlineStr">
        <is>
          <t>TicketPoster</t>
        </is>
      </c>
      <c r="G3746" s="17" t="inlineStr">
        <is>
          <t>kho ảnh chặn CORS thì vé vẫn tải được, chỉ mất dải tranh</t>
        </is>
      </c>
      <c r="H3746" s="17" t="inlineStr">
        <is>
          <t>TicketPoster kho ảnh chặn CORS thì vé vẫn tải được, chỉ mất dải tranh</t>
        </is>
      </c>
      <c r="I3746" s="16" t="inlineStr">
        <is>
          <t>Đạt</t>
        </is>
      </c>
      <c r="J3746" s="16" t="n">
        <v>0.043</v>
      </c>
    </row>
    <row r="3747">
      <c r="A3747" s="16" t="n">
        <v>3743</v>
      </c>
      <c r="B3747" s="16" t="inlineStr">
        <is>
          <t>Frontend</t>
        </is>
      </c>
      <c r="C3747" s="17" t="inlineStr">
        <is>
          <t>ui</t>
        </is>
      </c>
      <c r="D3747" s="16" t="inlineStr">
        <is>
          <t>Unit</t>
        </is>
      </c>
      <c r="E3747" s="17" t="inlineStr">
        <is>
          <t>ticket-poster.test.tsx</t>
        </is>
      </c>
      <c r="F3747" s="17" t="inlineStr">
        <is>
          <t>TicketPoster</t>
        </is>
      </c>
      <c r="G3747" s="17" t="inlineStr">
        <is>
          <t>ảnh trả về lỗi HTTP cũng không làm vé vỡ</t>
        </is>
      </c>
      <c r="H3747" s="17" t="inlineStr">
        <is>
          <t>TicketPoster ảnh trả về lỗi HTTP cũng không làm vé vỡ</t>
        </is>
      </c>
      <c r="I3747" s="16" t="inlineStr">
        <is>
          <t>Đạt</t>
        </is>
      </c>
      <c r="J3747" s="16" t="n">
        <v>0.014</v>
      </c>
    </row>
    <row r="3748">
      <c r="A3748" s="16" t="n">
        <v>3744</v>
      </c>
      <c r="B3748" s="16" t="inlineStr">
        <is>
          <t>Frontend</t>
        </is>
      </c>
      <c r="C3748" s="17" t="inlineStr">
        <is>
          <t>ui</t>
        </is>
      </c>
      <c r="D3748" s="16" t="inlineStr">
        <is>
          <t>Unit</t>
        </is>
      </c>
      <c r="E3748" s="17" t="inlineStr">
        <is>
          <t>useCountdown.test.ts</t>
        </is>
      </c>
      <c r="F3748" s="17" t="inlineStr">
        <is>
          <t>useCountdown</t>
        </is>
      </c>
      <c r="G3748" s="17" t="inlineStr">
        <is>
          <t>đếm ngược tới mốc tuyệt đối</t>
        </is>
      </c>
      <c r="H3748" s="17" t="inlineStr">
        <is>
          <t>useCountdown đếm ngược tới mốc tuyệt đối</t>
        </is>
      </c>
      <c r="I3748" s="16" t="inlineStr">
        <is>
          <t>Đạt</t>
        </is>
      </c>
      <c r="J3748" s="16" t="n">
        <v>0.027</v>
      </c>
    </row>
    <row r="3749">
      <c r="A3749" s="16" t="n">
        <v>3745</v>
      </c>
      <c r="B3749" s="16" t="inlineStr">
        <is>
          <t>Frontend</t>
        </is>
      </c>
      <c r="C3749" s="17" t="inlineStr">
        <is>
          <t>ui</t>
        </is>
      </c>
      <c r="D3749" s="16" t="inlineStr">
        <is>
          <t>Unit</t>
        </is>
      </c>
      <c r="E3749" s="17" t="inlineStr">
        <is>
          <t>useCountdown.test.ts</t>
        </is>
      </c>
      <c r="F3749" s="17" t="inlineStr">
        <is>
          <t>useCountdown</t>
        </is>
      </c>
      <c r="G3749" s="17" t="inlineStr">
        <is>
          <t>tính lại từ giờ hiện tại, nên tab chạy nền không làm đồng hồ đứng</t>
        </is>
      </c>
      <c r="H3749" s="17" t="inlineStr">
        <is>
          <t>useCountdown tính lại từ giờ hiện tại, nên tab chạy nền không làm đồng hồ đứng</t>
        </is>
      </c>
      <c r="I3749" s="16" t="inlineStr">
        <is>
          <t>Đạt</t>
        </is>
      </c>
      <c r="J3749" s="16" t="n">
        <v>0.004</v>
      </c>
    </row>
    <row r="3750">
      <c r="A3750" s="16" t="n">
        <v>3746</v>
      </c>
      <c r="B3750" s="16" t="inlineStr">
        <is>
          <t>Frontend</t>
        </is>
      </c>
      <c r="C3750" s="17" t="inlineStr">
        <is>
          <t>ui</t>
        </is>
      </c>
      <c r="D3750" s="16" t="inlineStr">
        <is>
          <t>Unit</t>
        </is>
      </c>
      <c r="E3750" s="17" t="inlineStr">
        <is>
          <t>useCountdown.test.ts</t>
        </is>
      </c>
      <c r="F3750" s="17" t="inlineStr">
        <is>
          <t>useCountdown</t>
        </is>
      </c>
      <c r="G3750" s="17" t="inlineStr">
        <is>
          <t>bù lệch đồng hồ máy khách theo giờ server</t>
        </is>
      </c>
      <c r="H3750" s="17" t="inlineStr">
        <is>
          <t>useCountdown bù lệch đồng hồ máy khách theo giờ server</t>
        </is>
      </c>
      <c r="I3750" s="16" t="inlineStr">
        <is>
          <t>Đạt</t>
        </is>
      </c>
      <c r="J3750" s="16" t="n">
        <v>0.003</v>
      </c>
    </row>
    <row r="3751">
      <c r="A3751" s="16" t="n">
        <v>3747</v>
      </c>
      <c r="B3751" s="16" t="inlineStr">
        <is>
          <t>Frontend</t>
        </is>
      </c>
      <c r="C3751" s="17" t="inlineStr">
        <is>
          <t>ui</t>
        </is>
      </c>
      <c r="D3751" s="16" t="inlineStr">
        <is>
          <t>Unit</t>
        </is>
      </c>
      <c r="E3751" s="17" t="inlineStr">
        <is>
          <t>useCountdown.test.ts</t>
        </is>
      </c>
      <c r="F3751" s="17" t="inlineStr">
        <is>
          <t>useCountdown</t>
        </is>
      </c>
      <c r="G3751" s="17" t="inlineStr">
        <is>
          <t>gọi onExpire đúng một lần khi hết giờ</t>
        </is>
      </c>
      <c r="H3751" s="17" t="inlineStr">
        <is>
          <t>useCountdown gọi onExpire đúng một lần khi hết giờ</t>
        </is>
      </c>
      <c r="I3751" s="16" t="inlineStr">
        <is>
          <t>Đạt</t>
        </is>
      </c>
      <c r="J3751" s="16" t="n">
        <v>0.004</v>
      </c>
    </row>
    <row r="3752">
      <c r="A3752" s="16" t="n">
        <v>3748</v>
      </c>
      <c r="B3752" s="16" t="inlineStr">
        <is>
          <t>Frontend</t>
        </is>
      </c>
      <c r="C3752" s="17" t="inlineStr">
        <is>
          <t>ui</t>
        </is>
      </c>
      <c r="D3752" s="16" t="inlineStr">
        <is>
          <t>Unit</t>
        </is>
      </c>
      <c r="E3752" s="17" t="inlineStr">
        <is>
          <t>useCountdown.test.ts</t>
        </is>
      </c>
      <c r="F3752" s="17" t="inlineStr">
        <is>
          <t>useCountdown</t>
        </is>
      </c>
      <c r="G3752" s="17" t="inlineStr">
        <is>
          <t>không có deadline thì không coi là đã hết hạn</t>
        </is>
      </c>
      <c r="H3752" s="17" t="inlineStr">
        <is>
          <t>useCountdown không có deadline thì không coi là đã hết hạn</t>
        </is>
      </c>
      <c r="I3752" s="16" t="inlineStr">
        <is>
          <t>Đạt</t>
        </is>
      </c>
      <c r="J3752" s="16" t="n">
        <v>0.003</v>
      </c>
    </row>
    <row r="3753">
      <c r="A3753" s="16" t="n">
        <v>3749</v>
      </c>
      <c r="B3753" s="16" t="inlineStr">
        <is>
          <t>Frontend</t>
        </is>
      </c>
      <c r="C3753" s="17" t="inlineStr">
        <is>
          <t>ui</t>
        </is>
      </c>
      <c r="D3753" s="16" t="inlineStr">
        <is>
          <t>Unit</t>
        </is>
      </c>
      <c r="E3753" s="17" t="inlineStr">
        <is>
          <t>zone-groups.test.ts</t>
        </is>
      </c>
      <c r="F3753" s="17" t="inlineStr">
        <is>
          <t>groupZonesByPrice</t>
        </is>
      </c>
      <c r="G3753" s="17" t="inlineStr">
        <is>
          <t>gom theo giá và xếp đắt nhất lên đầu</t>
        </is>
      </c>
      <c r="H3753" s="17" t="inlineStr">
        <is>
          <t>groupZonesByPrice gom theo giá và xếp đắt nhất lên đầu</t>
        </is>
      </c>
      <c r="I3753" s="16" t="inlineStr">
        <is>
          <t>Đạt</t>
        </is>
      </c>
      <c r="J3753" s="16" t="n">
        <v>0.003</v>
      </c>
    </row>
    <row r="3754">
      <c r="A3754" s="16" t="n">
        <v>3750</v>
      </c>
      <c r="B3754" s="16" t="inlineStr">
        <is>
          <t>Frontend</t>
        </is>
      </c>
      <c r="C3754" s="17" t="inlineStr">
        <is>
          <t>ui</t>
        </is>
      </c>
      <c r="D3754" s="16" t="inlineStr">
        <is>
          <t>Unit</t>
        </is>
      </c>
      <c r="E3754" s="17" t="inlineStr">
        <is>
          <t>zone-groups.test.ts</t>
        </is>
      </c>
      <c r="F3754" s="17" t="inlineStr">
        <is>
          <t>groupZonesByPrice</t>
        </is>
      </c>
      <c r="G3754" s="17" t="inlineStr">
        <is>
          <t>hai khu khác tên nhưng cùng giá vẫn là MỘT hạng vé</t>
        </is>
      </c>
      <c r="H3754" s="17" t="inlineStr">
        <is>
          <t>groupZonesByPrice hai khu khác tên nhưng cùng giá vẫn là MỘT hạng vé</t>
        </is>
      </c>
      <c r="I3754" s="16" t="inlineStr">
        <is>
          <t>Đạt</t>
        </is>
      </c>
      <c r="J3754" s="16" t="n">
        <v>0.001</v>
      </c>
    </row>
    <row r="3755">
      <c r="A3755" s="16" t="n">
        <v>3751</v>
      </c>
      <c r="B3755" s="16" t="inlineStr">
        <is>
          <t>Frontend</t>
        </is>
      </c>
      <c r="C3755" s="17" t="inlineStr">
        <is>
          <t>ui</t>
        </is>
      </c>
      <c r="D3755" s="16" t="inlineStr">
        <is>
          <t>Unit</t>
        </is>
      </c>
      <c r="E3755" s="17" t="inlineStr">
        <is>
          <t>zone-groups.test.ts</t>
        </is>
      </c>
      <c r="F3755" s="17" t="inlineStr">
        <is>
          <t>groupZonesByPrice</t>
        </is>
      </c>
      <c r="G3755" s="17" t="inlineStr">
        <is>
          <t>cộng số chỗ còn trống của cả nhóm</t>
        </is>
      </c>
      <c r="H3755" s="17" t="inlineStr">
        <is>
          <t>groupZonesByPrice cộng số chỗ còn trống của cả nhóm</t>
        </is>
      </c>
      <c r="I3755" s="16" t="inlineStr">
        <is>
          <t>Đạt</t>
        </is>
      </c>
      <c r="J3755" s="16" t="n">
        <v>0</v>
      </c>
    </row>
    <row r="3756">
      <c r="A3756" s="16" t="n">
        <v>3752</v>
      </c>
      <c r="B3756" s="16" t="inlineStr">
        <is>
          <t>Frontend</t>
        </is>
      </c>
      <c r="C3756" s="17" t="inlineStr">
        <is>
          <t>ui</t>
        </is>
      </c>
      <c r="D3756" s="16" t="inlineStr">
        <is>
          <t>Unit</t>
        </is>
      </c>
      <c r="E3756" s="17" t="inlineStr">
        <is>
          <t>zone-groups.test.ts</t>
        </is>
      </c>
      <c r="F3756" s="17" t="inlineStr">
        <is>
          <t>groupZonesByPrice</t>
        </is>
      </c>
      <c r="G3756" s="17" t="inlineStr">
        <is>
          <t>danh sách rỗng ra danh sách rỗng, không ném</t>
        </is>
      </c>
      <c r="H3756" s="17" t="inlineStr">
        <is>
          <t>groupZonesByPrice danh sách rỗng ra danh sách rỗng, không ném</t>
        </is>
      </c>
      <c r="I3756" s="16" t="inlineStr">
        <is>
          <t>Đạt</t>
        </is>
      </c>
      <c r="J3756" s="16" t="n">
        <v>0</v>
      </c>
    </row>
    <row r="3757">
      <c r="A3757" s="16" t="n">
        <v>3753</v>
      </c>
      <c r="B3757" s="16" t="inlineStr">
        <is>
          <t>Frontend</t>
        </is>
      </c>
      <c r="C3757" s="17" t="inlineStr">
        <is>
          <t>ui</t>
        </is>
      </c>
      <c r="D3757" s="16" t="inlineStr">
        <is>
          <t>Unit</t>
        </is>
      </c>
      <c r="E3757" s="17" t="inlineStr">
        <is>
          <t>zone-groups.test.ts</t>
        </is>
      </c>
      <c r="F3757" s="17" t="inlineStr">
        <is>
          <t>zoneFamilyLabel</t>
        </is>
      </c>
      <c r="G3757" s="17" t="inlineStr">
        <is>
          <t>cắt số cuối tên để các khu cùng dãy về chung một họ</t>
        </is>
      </c>
      <c r="H3757" s="17" t="inlineStr">
        <is>
          <t>zoneFamilyLabel cắt số cuối tên để các khu cùng dãy về chung một họ</t>
        </is>
      </c>
      <c r="I3757" s="16" t="inlineStr">
        <is>
          <t>Đạt</t>
        </is>
      </c>
      <c r="J3757" s="16" t="n">
        <v>0</v>
      </c>
    </row>
    <row r="3758">
      <c r="A3758" s="16" t="n">
        <v>3754</v>
      </c>
      <c r="B3758" s="16" t="inlineStr">
        <is>
          <t>Frontend</t>
        </is>
      </c>
      <c r="C3758" s="17" t="inlineStr">
        <is>
          <t>ui</t>
        </is>
      </c>
      <c r="D3758" s="16" t="inlineStr">
        <is>
          <t>Unit</t>
        </is>
      </c>
      <c r="E3758" s="17" t="inlineStr">
        <is>
          <t>zone-groups.test.ts</t>
        </is>
      </c>
      <c r="F3758" s="17" t="inlineStr">
        <is>
          <t>zoneFamilyLabel</t>
        </is>
      </c>
      <c r="G3758" s="17" t="inlineStr">
        <is>
          <t>khu tách đôi 9A/9B vẫn cùng họ với khu số</t>
        </is>
      </c>
      <c r="H3758" s="17" t="inlineStr">
        <is>
          <t>zoneFamilyLabel khu tách đôi 9A/9B vẫn cùng họ với khu số</t>
        </is>
      </c>
      <c r="I3758" s="16" t="inlineStr">
        <is>
          <t>Đạt</t>
        </is>
      </c>
      <c r="J3758" s="16" t="n">
        <v>0</v>
      </c>
    </row>
    <row r="3759">
      <c r="A3759" s="16" t="n">
        <v>3755</v>
      </c>
      <c r="B3759" s="16" t="inlineStr">
        <is>
          <t>Frontend</t>
        </is>
      </c>
      <c r="C3759" s="17" t="inlineStr">
        <is>
          <t>ui</t>
        </is>
      </c>
      <c r="D3759" s="16" t="inlineStr">
        <is>
          <t>Unit</t>
        </is>
      </c>
      <c r="E3759" s="17" t="inlineStr">
        <is>
          <t>zone-groups.test.ts</t>
        </is>
      </c>
      <c r="F3759" s="17" t="inlineStr">
        <is>
          <t>zoneFamilyLabel</t>
        </is>
      </c>
      <c r="G3759" s="17" t="inlineStr">
        <is>
          <t>tên không có số thì giữ nguyên</t>
        </is>
      </c>
      <c r="H3759" s="17" t="inlineStr">
        <is>
          <t>zoneFamilyLabel tên không có số thì giữ nguyên</t>
        </is>
      </c>
      <c r="I3759" s="16" t="inlineStr">
        <is>
          <t>Đạt</t>
        </is>
      </c>
      <c r="J3759" s="16" t="n">
        <v>0</v>
      </c>
    </row>
    <row r="3760">
      <c r="A3760" s="16" t="n">
        <v>3756</v>
      </c>
      <c r="B3760" s="16" t="inlineStr">
        <is>
          <t>Frontend</t>
        </is>
      </c>
      <c r="C3760" s="17" t="inlineStr">
        <is>
          <t>ui</t>
        </is>
      </c>
      <c r="D3760" s="16" t="inlineStr">
        <is>
          <t>Unit</t>
        </is>
      </c>
      <c r="E3760" s="17" t="inlineStr">
        <is>
          <t>zone-groups.test.ts</t>
        </is>
      </c>
      <c r="F3760" s="17" t="inlineStr">
        <is>
          <t>zoneFamilyLabel</t>
        </is>
      </c>
      <c r="G3760" s="17" t="inlineStr">
        <is>
          <t>quá ba họ thì cắt bớt và báo còn nữa</t>
        </is>
      </c>
      <c r="H3760" s="17" t="inlineStr">
        <is>
          <t>zoneFamilyLabel quá ba họ thì cắt bớt và báo còn nữa</t>
        </is>
      </c>
      <c r="I3760" s="16" t="inlineStr">
        <is>
          <t>Đạt</t>
        </is>
      </c>
      <c r="J3760" s="16" t="n">
        <v>0</v>
      </c>
    </row>
    <row r="3761">
      <c r="A3761" s="16" t="n">
        <v>3757</v>
      </c>
      <c r="B3761" s="16" t="inlineStr">
        <is>
          <t>Frontend</t>
        </is>
      </c>
      <c r="C3761" s="17" t="inlineStr">
        <is>
          <t>ui</t>
        </is>
      </c>
      <c r="D3761" s="16" t="inlineStr">
        <is>
          <t>Unit</t>
        </is>
      </c>
      <c r="E3761" s="17" t="inlineStr">
        <is>
          <t>zone-groups.test.ts</t>
        </is>
      </c>
      <c r="F3761" s="17" t="inlineStr">
        <is>
          <t>zoneFamilyLabel</t>
        </is>
      </c>
      <c r="G3761" s="17" t="inlineStr">
        <is>
          <t>tên chỉ có số thì không cắt thành rỗng</t>
        </is>
      </c>
      <c r="H3761" s="17" t="inlineStr">
        <is>
          <t>zoneFamilyLabel tên chỉ có số thì không cắt thành rỗng</t>
        </is>
      </c>
      <c r="I3761" s="16" t="inlineStr">
        <is>
          <t>Đạt</t>
        </is>
      </c>
      <c r="J3761" s="16" t="n">
        <v>0</v>
      </c>
    </row>
    <row r="3762">
      <c r="A3762" s="16" t="n">
        <v>3758</v>
      </c>
      <c r="B3762" s="16" t="inlineStr">
        <is>
          <t>Frontend</t>
        </is>
      </c>
      <c r="C3762" s="17" t="inlineStr">
        <is>
          <t>auth</t>
        </is>
      </c>
      <c r="D3762" s="16" t="inlineStr">
        <is>
          <t>Unit</t>
        </is>
      </c>
      <c r="E3762" s="17" t="inlineStr">
        <is>
          <t>access-token.test.ts</t>
        </is>
      </c>
      <c r="F3762" s="17" t="inlineStr">
        <is>
          <t>ensureAccessToken</t>
        </is>
      </c>
      <c r="G3762" s="17" t="inlineStr">
        <is>
          <t>token còn hạn thì dùng lại, không gọi Keycloak</t>
        </is>
      </c>
      <c r="H3762" s="17" t="inlineStr">
        <is>
          <t>ensureAccessToken token còn hạn thì dùng lại, không gọi Keycloak</t>
        </is>
      </c>
      <c r="I3762" s="16" t="inlineStr">
        <is>
          <t>Đạt</t>
        </is>
      </c>
      <c r="J3762" s="16" t="n">
        <v>0.005</v>
      </c>
    </row>
    <row r="3763">
      <c r="A3763" s="16" t="n">
        <v>3759</v>
      </c>
      <c r="B3763" s="16" t="inlineStr">
        <is>
          <t>Frontend</t>
        </is>
      </c>
      <c r="C3763" s="17" t="inlineStr">
        <is>
          <t>auth</t>
        </is>
      </c>
      <c r="D3763" s="16" t="inlineStr">
        <is>
          <t>Unit</t>
        </is>
      </c>
      <c r="E3763" s="17" t="inlineStr">
        <is>
          <t>access-token.test.ts</t>
        </is>
      </c>
      <c r="F3763" s="17" t="inlineStr">
        <is>
          <t>ensureAccessToken</t>
        </is>
      </c>
      <c r="G3763" s="17" t="inlineStr">
        <is>
          <t>hết hạn thì làm mới, và bản mới nằm ở STORE chứ không ở cookie</t>
        </is>
      </c>
      <c r="H3763" s="17" t="inlineStr">
        <is>
          <t>ensureAccessToken hết hạn thì làm mới, và bản mới nằm ở STORE chứ không ở cookie</t>
        </is>
      </c>
      <c r="I3763" s="16" t="inlineStr">
        <is>
          <t>Đạt</t>
        </is>
      </c>
      <c r="J3763" s="16" t="n">
        <v>0.007</v>
      </c>
    </row>
    <row r="3764">
      <c r="A3764" s="16" t="n">
        <v>3760</v>
      </c>
      <c r="B3764" s="16" t="inlineStr">
        <is>
          <t>Frontend</t>
        </is>
      </c>
      <c r="C3764" s="17" t="inlineStr">
        <is>
          <t>auth</t>
        </is>
      </c>
      <c r="D3764" s="16" t="inlineStr">
        <is>
          <t>Unit</t>
        </is>
      </c>
      <c r="E3764" s="17" t="inlineStr">
        <is>
          <t>access-token.test.ts</t>
        </is>
      </c>
      <c r="F3764" s="17" t="inlineStr">
        <is>
          <t>ensureAccessToken</t>
        </is>
      </c>
      <c r="G3764" s="17" t="inlineStr">
        <is>
          <t>không bao giờ phát ra token đã hết hạn</t>
        </is>
      </c>
      <c r="H3764" s="17" t="inlineStr">
        <is>
          <t>ensureAccessToken không bao giờ phát ra token đã hết hạn</t>
        </is>
      </c>
      <c r="I3764" s="16" t="inlineStr">
        <is>
          <t>Đạt</t>
        </is>
      </c>
      <c r="J3764" s="16" t="n">
        <v>0.002</v>
      </c>
    </row>
    <row r="3765">
      <c r="A3765" s="16" t="n">
        <v>3761</v>
      </c>
      <c r="B3765" s="16" t="inlineStr">
        <is>
          <t>Frontend</t>
        </is>
      </c>
      <c r="C3765" s="17" t="inlineStr">
        <is>
          <t>auth</t>
        </is>
      </c>
      <c r="D3765" s="16" t="inlineStr">
        <is>
          <t>Unit</t>
        </is>
      </c>
      <c r="E3765" s="17" t="inlineStr">
        <is>
          <t>access-token.test.ts</t>
        </is>
      </c>
      <c r="F3765" s="17" t="inlineStr">
        <is>
          <t>ensureAccessToken</t>
        </is>
      </c>
      <c r="G3765" s="17" t="inlineStr">
        <is>
          <t>hai lời gọi song song chỉ đổi token MỘT lần</t>
        </is>
      </c>
      <c r="H3765" s="17" t="inlineStr">
        <is>
          <t>ensureAccessToken hai lời gọi song song chỉ đổi token MỘT lần</t>
        </is>
      </c>
      <c r="I3765" s="16" t="inlineStr">
        <is>
          <t>Đạt</t>
        </is>
      </c>
      <c r="J3765" s="16" t="n">
        <v>0.025</v>
      </c>
    </row>
    <row r="3766">
      <c r="A3766" s="16" t="n">
        <v>3762</v>
      </c>
      <c r="B3766" s="16" t="inlineStr">
        <is>
          <t>Frontend</t>
        </is>
      </c>
      <c r="C3766" s="17" t="inlineStr">
        <is>
          <t>auth</t>
        </is>
      </c>
      <c r="D3766" s="16" t="inlineStr">
        <is>
          <t>Unit</t>
        </is>
      </c>
      <c r="E3766" s="17" t="inlineStr">
        <is>
          <t>access-token.test.ts</t>
        </is>
      </c>
      <c r="F3766" s="17" t="inlineStr">
        <is>
          <t>ensureAccessToken</t>
        </is>
      </c>
      <c r="G3766" s="17" t="inlineStr">
        <is>
          <t>lời gọi đọc store TRƯỚC, chạy tiếp SAU: không được đổi bằng refresh token đã xoay vòng</t>
        </is>
      </c>
      <c r="H3766" s="17" t="inlineStr">
        <is>
          <t>ensureAccessToken lời gọi đọc store TRƯỚC, chạy tiếp SAU: không được đổi bằng refresh token đã xoay vòng</t>
        </is>
      </c>
      <c r="I3766" s="16" t="inlineStr">
        <is>
          <t>Đạt</t>
        </is>
      </c>
      <c r="J3766" s="16" t="n">
        <v>0.004</v>
      </c>
    </row>
    <row r="3767">
      <c r="A3767" s="16" t="n">
        <v>3763</v>
      </c>
      <c r="B3767" s="16" t="inlineStr">
        <is>
          <t>Frontend</t>
        </is>
      </c>
      <c r="C3767" s="17" t="inlineStr">
        <is>
          <t>auth</t>
        </is>
      </c>
      <c r="D3767" s="16" t="inlineStr">
        <is>
          <t>Unit</t>
        </is>
      </c>
      <c r="E3767" s="17" t="inlineStr">
        <is>
          <t>access-token.test.ts</t>
        </is>
      </c>
      <c r="F3767" s="17" t="inlineStr">
        <is>
          <t>ensureAccessToken</t>
        </is>
      </c>
      <c r="G3767" s="17" t="inlineStr">
        <is>
          <t>Keycloak sập: giữ phiên, báo unavailable thay vì đăng xuất</t>
        </is>
      </c>
      <c r="H3767" s="17" t="inlineStr">
        <is>
          <t>ensureAccessToken Keycloak sập: giữ phiên, báo unavailable thay vì đăng xuất</t>
        </is>
      </c>
      <c r="I3767" s="16" t="inlineStr">
        <is>
          <t>Đạt</t>
        </is>
      </c>
      <c r="J3767" s="16" t="n">
        <v>0.002</v>
      </c>
    </row>
    <row r="3768">
      <c r="A3768" s="16" t="n">
        <v>3764</v>
      </c>
      <c r="B3768" s="16" t="inlineStr">
        <is>
          <t>Frontend</t>
        </is>
      </c>
      <c r="C3768" s="17" t="inlineStr">
        <is>
          <t>auth</t>
        </is>
      </c>
      <c r="D3768" s="16" t="inlineStr">
        <is>
          <t>Unit</t>
        </is>
      </c>
      <c r="E3768" s="17" t="inlineStr">
        <is>
          <t>access-token.test.ts</t>
        </is>
      </c>
      <c r="F3768" s="17" t="inlineStr">
        <is>
          <t>ensureAccessToken</t>
        </is>
      </c>
      <c r="G3768" s="17" t="inlineStr">
        <is>
          <t>phiên bị thu hồi (không còn bản ghi ở store) là hết hạn</t>
        </is>
      </c>
      <c r="H3768" s="17" t="inlineStr">
        <is>
          <t>ensureAccessToken phiên bị thu hồi (không còn bản ghi ở store) là hết hạn</t>
        </is>
      </c>
      <c r="I3768" s="16" t="inlineStr">
        <is>
          <t>Đạt</t>
        </is>
      </c>
      <c r="J3768" s="16" t="n">
        <v>0.001</v>
      </c>
    </row>
    <row r="3769">
      <c r="A3769" s="16" t="n">
        <v>3765</v>
      </c>
      <c r="B3769" s="16" t="inlineStr">
        <is>
          <t>Frontend</t>
        </is>
      </c>
      <c r="C3769" s="17" t="inlineStr">
        <is>
          <t>auth</t>
        </is>
      </c>
      <c r="D3769" s="16" t="inlineStr">
        <is>
          <t>Unit</t>
        </is>
      </c>
      <c r="E3769" s="17" t="inlineStr">
        <is>
          <t>access-token.test.ts</t>
        </is>
      </c>
      <c r="F3769" s="17" t="inlineStr">
        <is>
          <t>ensureAccessToken</t>
        </is>
      </c>
      <c r="G3769" s="17" t="inlineStr">
        <is>
          <t>không có tham chiếu nghĩa là chưa đăng nhập</t>
        </is>
      </c>
      <c r="H3769" s="17" t="inlineStr">
        <is>
          <t>ensureAccessToken không có tham chiếu nghĩa là chưa đăng nhập</t>
        </is>
      </c>
      <c r="I3769" s="16" t="inlineStr">
        <is>
          <t>Đạt</t>
        </is>
      </c>
      <c r="J3769" s="16" t="n">
        <v>0</v>
      </c>
    </row>
    <row r="3770">
      <c r="A3770" s="16" t="n">
        <v>3766</v>
      </c>
      <c r="B3770" s="16" t="inlineStr">
        <is>
          <t>Frontend</t>
        </is>
      </c>
      <c r="C3770" s="17" t="inlineStr">
        <is>
          <t>auth</t>
        </is>
      </c>
      <c r="D3770" s="16" t="inlineStr">
        <is>
          <t>Unit</t>
        </is>
      </c>
      <c r="E3770" s="17" t="inlineStr">
        <is>
          <t>client-redirect.test.tsx</t>
        </is>
      </c>
      <c r="F3770" s="17" t="inlineStr">
        <is>
          <t>createSignInRedirect — đường thoát khi gateway trả 401</t>
        </is>
      </c>
      <c r="G3770" s="17" t="inlineStr">
        <is>
          <t>xoá token trong bộ nhớ, báo phiên hết hạn và đưa về /login kèm returnUrl đã mã hoá</t>
        </is>
      </c>
      <c r="H3770" s="17" t="inlineStr">
        <is>
          <t>createSignInRedirect — đường thoát khi gateway trả 401 xoá token trong bộ nhớ, báo phiên hết hạn và đưa về /login kèm returnUrl đã mã hoá</t>
        </is>
      </c>
      <c r="I3770" s="16" t="inlineStr">
        <is>
          <t>Đạt</t>
        </is>
      </c>
      <c r="J3770" s="16" t="n">
        <v>0.013</v>
      </c>
    </row>
    <row r="3771">
      <c r="A3771" s="16" t="n">
        <v>3767</v>
      </c>
      <c r="B3771" s="16" t="inlineStr">
        <is>
          <t>Frontend</t>
        </is>
      </c>
      <c r="C3771" s="17" t="inlineStr">
        <is>
          <t>auth</t>
        </is>
      </c>
      <c r="D3771" s="16" t="inlineStr">
        <is>
          <t>Unit</t>
        </is>
      </c>
      <c r="E3771" s="17" t="inlineStr">
        <is>
          <t>client-redirect.test.tsx</t>
        </is>
      </c>
      <c r="F3771" s="17" t="inlineStr">
        <is>
          <t>createSignInRedirect — đường thoát khi gateway trả 401</t>
        </is>
      </c>
      <c r="G3771" s="17" t="inlineStr">
        <is>
          <t>năm lời gọi song song cùng 401 chỉ tạo MỘT lệnh điều hướng</t>
        </is>
      </c>
      <c r="H3771" s="17" t="inlineStr">
        <is>
          <t>createSignInRedirect — đường thoát khi gateway trả 401 năm lời gọi song song cùng 401 chỉ tạo MỘT lệnh điều hướng</t>
        </is>
      </c>
      <c r="I3771" s="16" t="inlineStr">
        <is>
          <t>Đạt</t>
        </is>
      </c>
      <c r="J3771" s="16" t="n">
        <v>0.001</v>
      </c>
    </row>
    <row r="3772">
      <c r="A3772" s="16" t="n">
        <v>3768</v>
      </c>
      <c r="B3772" s="16" t="inlineStr">
        <is>
          <t>Frontend</t>
        </is>
      </c>
      <c r="C3772" s="17" t="inlineStr">
        <is>
          <t>auth</t>
        </is>
      </c>
      <c r="D3772" s="16" t="inlineStr">
        <is>
          <t>Unit</t>
        </is>
      </c>
      <c r="E3772" s="17" t="inlineStr">
        <is>
          <t>client-redirect.test.tsx</t>
        </is>
      </c>
      <c r="F3772" s="17" t="inlineStr">
        <is>
          <t>createSignInRedirect — đường thoát khi gateway trả 401</t>
        </is>
      </c>
      <c r="G3772" s="17" t="inlineStr">
        <is>
          <t>đang ở trang đăng nhập thì không chuyển hướng — tránh vòng lặp tải lại</t>
        </is>
      </c>
      <c r="H3772" s="17" t="inlineStr">
        <is>
          <t>createSignInRedirect — đường thoát khi gateway trả 401 đang ở trang đăng nhập thì không chuyển hướng — tránh vòng lặp tải lại</t>
        </is>
      </c>
      <c r="I3772" s="16" t="inlineStr">
        <is>
          <t>Đạt</t>
        </is>
      </c>
      <c r="J3772" s="16" t="n">
        <v>0.001</v>
      </c>
    </row>
    <row r="3773">
      <c r="A3773" s="16" t="n">
        <v>3769</v>
      </c>
      <c r="B3773" s="16" t="inlineStr">
        <is>
          <t>Frontend</t>
        </is>
      </c>
      <c r="C3773" s="17" t="inlineStr">
        <is>
          <t>auth</t>
        </is>
      </c>
      <c r="D3773" s="16" t="inlineStr">
        <is>
          <t>Unit</t>
        </is>
      </c>
      <c r="E3773" s="17" t="inlineStr">
        <is>
          <t>client-redirect.test.tsx</t>
        </is>
      </c>
      <c r="F3773" s="17" t="inlineStr">
        <is>
          <t>createSignInRedirect — đường thoát khi gateway trả 401</t>
        </is>
      </c>
      <c r="G3773" s="17" t="inlineStr">
        <is>
          <t>returnUrl do redirect tạo ra đi qua được safeReturnUrl nguyên vẹn</t>
        </is>
      </c>
      <c r="H3773" s="17" t="inlineStr">
        <is>
          <t>createSignInRedirect — đường thoát khi gateway trả 401 returnUrl do redirect tạo ra đi qua được safeReturnUrl nguyên vẹn</t>
        </is>
      </c>
      <c r="I3773" s="16" t="inlineStr">
        <is>
          <t>Đạt</t>
        </is>
      </c>
      <c r="J3773" s="16" t="n">
        <v>0.003</v>
      </c>
    </row>
    <row r="3774">
      <c r="A3774" s="16" t="n">
        <v>3770</v>
      </c>
      <c r="B3774" s="16" t="inlineStr">
        <is>
          <t>Frontend</t>
        </is>
      </c>
      <c r="C3774" s="17" t="inlineStr">
        <is>
          <t>auth</t>
        </is>
      </c>
      <c r="D3774" s="16" t="inlineStr">
        <is>
          <t>Unit</t>
        </is>
      </c>
      <c r="E3774" s="17" t="inlineStr">
        <is>
          <t>client-redirect.test.tsx</t>
        </is>
      </c>
      <c r="F3774" s="17" t="inlineStr">
        <is>
          <t>useSessionState</t>
        </is>
      </c>
      <c r="G3774" s="17" t="inlineStr">
        <is>
          <t>có token thì authenticated; phiên bị đánh dấu hết hạn thì chuyển sang anonymous</t>
        </is>
      </c>
      <c r="H3774" s="17" t="inlineStr">
        <is>
          <t>useSessionState có token thì authenticated; phiên bị đánh dấu hết hạn thì chuyển sang anonymous</t>
        </is>
      </c>
      <c r="I3774" s="16" t="inlineStr">
        <is>
          <t>Đạt</t>
        </is>
      </c>
      <c r="J3774" s="16" t="n">
        <v>0.098</v>
      </c>
    </row>
    <row r="3775">
      <c r="A3775" s="16" t="n">
        <v>3771</v>
      </c>
      <c r="B3775" s="16" t="inlineStr">
        <is>
          <t>Frontend</t>
        </is>
      </c>
      <c r="C3775" s="17" t="inlineStr">
        <is>
          <t>auth</t>
        </is>
      </c>
      <c r="D3775" s="16" t="inlineStr">
        <is>
          <t>Unit</t>
        </is>
      </c>
      <c r="E3775" s="17" t="inlineStr">
        <is>
          <t>client-redirect.test.tsx</t>
        </is>
      </c>
      <c r="F3775" s="17" t="inlineStr">
        <is>
          <t>useSessionState</t>
        </is>
      </c>
      <c r="G3775" s="17" t="inlineStr">
        <is>
          <t>/api/auth/token trả 401 thì anonymous</t>
        </is>
      </c>
      <c r="H3775" s="17" t="inlineStr">
        <is>
          <t>useSessionState /api/auth/token trả 401 thì anonymous</t>
        </is>
      </c>
      <c r="I3775" s="16" t="inlineStr">
        <is>
          <t>Đạt</t>
        </is>
      </c>
      <c r="J3775" s="16" t="n">
        <v>0.07000000000000001</v>
      </c>
    </row>
    <row r="3776">
      <c r="A3776" s="16" t="n">
        <v>3772</v>
      </c>
      <c r="B3776" s="16" t="inlineStr">
        <is>
          <t>Frontend</t>
        </is>
      </c>
      <c r="C3776" s="17" t="inlineStr">
        <is>
          <t>auth</t>
        </is>
      </c>
      <c r="D3776" s="16" t="inlineStr">
        <is>
          <t>Unit</t>
        </is>
      </c>
      <c r="E3776" s="17" t="inlineStr">
        <is>
          <t>client-redirect.test.tsx</t>
        </is>
      </c>
      <c r="F3776" s="17" t="inlineStr">
        <is>
          <t>useSessionState</t>
        </is>
      </c>
      <c r="G3776" s="17" t="inlineStr">
        <is>
          <t>Keycloak trục trặc (503) KHÔNG đăng xuất người đang có token</t>
        </is>
      </c>
      <c r="H3776" s="17" t="inlineStr">
        <is>
          <t>useSessionState Keycloak trục trặc (503) KHÔNG đăng xuất người đang có token</t>
        </is>
      </c>
      <c r="I3776" s="16" t="inlineStr">
        <is>
          <t>Đạt</t>
        </is>
      </c>
      <c r="J3776" s="16" t="n">
        <v>0.001</v>
      </c>
    </row>
    <row r="3777">
      <c r="A3777" s="16" t="n">
        <v>3773</v>
      </c>
      <c r="B3777" s="16" t="inlineStr">
        <is>
          <t>Frontend</t>
        </is>
      </c>
      <c r="C3777" s="17" t="inlineStr">
        <is>
          <t>auth</t>
        </is>
      </c>
      <c r="D3777" s="16" t="inlineStr">
        <is>
          <t>Unit</t>
        </is>
      </c>
      <c r="E3777" s="17" t="inlineStr">
        <is>
          <t>client-redirect.test.tsx</t>
        </is>
      </c>
      <c r="F3777" s="17" t="inlineStr">
        <is>
          <t>safeReturnUrl — các biến thể open redirect khác</t>
        </is>
      </c>
      <c r="G3777" s="17" t="inlineStr">
        <is>
          <t>chặn "\\\\site-gia.example" (hai gạch ngược)</t>
        </is>
      </c>
      <c r="H3777" s="17" t="inlineStr">
        <is>
          <t>safeReturnUrl — các biến thể open redirect khác chặn "\\\\site-gia.example" (hai gạch ngược)</t>
        </is>
      </c>
      <c r="I3777" s="16" t="inlineStr">
        <is>
          <t>Đạt</t>
        </is>
      </c>
      <c r="J3777" s="16" t="n">
        <v>0.001</v>
      </c>
    </row>
    <row r="3778">
      <c r="A3778" s="16" t="n">
        <v>3774</v>
      </c>
      <c r="B3778" s="16" t="inlineStr">
        <is>
          <t>Frontend</t>
        </is>
      </c>
      <c r="C3778" s="17" t="inlineStr">
        <is>
          <t>auth</t>
        </is>
      </c>
      <c r="D3778" s="16" t="inlineStr">
        <is>
          <t>Unit</t>
        </is>
      </c>
      <c r="E3778" s="17" t="inlineStr">
        <is>
          <t>client-redirect.test.tsx</t>
        </is>
      </c>
      <c r="F3778" s="17" t="inlineStr">
        <is>
          <t>safeReturnUrl — các biến thể open redirect khác</t>
        </is>
      </c>
      <c r="G3778" s="17" t="inlineStr">
        <is>
          <t>chặn "/\t/site-gia.example" (tab chen giữa hai gạch — bộ phân tích URL bỏ tab)</t>
        </is>
      </c>
      <c r="H3778" s="17" t="inlineStr">
        <is>
          <t>safeReturnUrl — các biến thể open redirect khác chặn "/\t/site-gia.example" (tab chen giữa hai gạch — bộ phân tích URL bỏ tab)</t>
        </is>
      </c>
      <c r="I3778" s="16" t="inlineStr">
        <is>
          <t>Đạt</t>
        </is>
      </c>
      <c r="J3778" s="16" t="n">
        <v>0.001</v>
      </c>
    </row>
    <row r="3779">
      <c r="A3779" s="16" t="n">
        <v>3775</v>
      </c>
      <c r="B3779" s="16" t="inlineStr">
        <is>
          <t>Frontend</t>
        </is>
      </c>
      <c r="C3779" s="17" t="inlineStr">
        <is>
          <t>auth</t>
        </is>
      </c>
      <c r="D3779" s="16" t="inlineStr">
        <is>
          <t>Unit</t>
        </is>
      </c>
      <c r="E3779" s="17" t="inlineStr">
        <is>
          <t>client-redirect.test.tsx</t>
        </is>
      </c>
      <c r="F3779" s="17" t="inlineStr">
        <is>
          <t>safeReturnUrl — các biến thể open redirect khác</t>
        </is>
      </c>
      <c r="G3779" s="17" t="inlineStr">
        <is>
          <t>chặn "/\n/site-gia.example" (xuống dòng chen giữa hai gạch)</t>
        </is>
      </c>
      <c r="H3779" s="17" t="inlineStr">
        <is>
          <t>safeReturnUrl — các biến thể open redirect khác chặn "/\n/site-gia.example" (xuống dòng chen giữa hai gạch)</t>
        </is>
      </c>
      <c r="I3779" s="16" t="inlineStr">
        <is>
          <t>Đạt</t>
        </is>
      </c>
      <c r="J3779" s="16" t="n">
        <v>0.001</v>
      </c>
    </row>
    <row r="3780">
      <c r="A3780" s="16" t="n">
        <v>3776</v>
      </c>
      <c r="B3780" s="16" t="inlineStr">
        <is>
          <t>Frontend</t>
        </is>
      </c>
      <c r="C3780" s="17" t="inlineStr">
        <is>
          <t>auth</t>
        </is>
      </c>
      <c r="D3780" s="16" t="inlineStr">
        <is>
          <t>Unit</t>
        </is>
      </c>
      <c r="E3780" s="17" t="inlineStr">
        <is>
          <t>client-redirect.test.tsx</t>
        </is>
      </c>
      <c r="F3780" s="17" t="inlineStr">
        <is>
          <t>safeReturnUrl — các biến thể open redirect khác</t>
        </is>
      </c>
      <c r="G3780" s="17" t="inlineStr">
        <is>
          <t>chặn "https:site-gia.example" (scheme khác origin, không có //)</t>
        </is>
      </c>
      <c r="H3780" s="17" t="inlineStr">
        <is>
          <t>safeReturnUrl — các biến thể open redirect khác chặn "https:site-gia.example" (scheme khác origin, không có //)</t>
        </is>
      </c>
      <c r="I3780" s="16" t="inlineStr">
        <is>
          <t>Đạt</t>
        </is>
      </c>
      <c r="J3780" s="16" t="n">
        <v>0.001</v>
      </c>
    </row>
    <row r="3781">
      <c r="A3781" s="16" t="n">
        <v>3777</v>
      </c>
      <c r="B3781" s="16" t="inlineStr">
        <is>
          <t>Frontend</t>
        </is>
      </c>
      <c r="C3781" s="17" t="inlineStr">
        <is>
          <t>auth</t>
        </is>
      </c>
      <c r="D3781" s="16" t="inlineStr">
        <is>
          <t>Unit</t>
        </is>
      </c>
      <c r="E3781" s="17" t="inlineStr">
        <is>
          <t>client-redirect.test.tsx</t>
        </is>
      </c>
      <c r="F3781" s="17" t="inlineStr">
        <is>
          <t>safeReturnUrl — các biến thể open redirect khác</t>
        </is>
      </c>
      <c r="G3781" s="17" t="inlineStr">
        <is>
          <t>chặn "data:text/html,&lt;script&gt;alert(1)&lt;/script&gt;" (data URI)</t>
        </is>
      </c>
      <c r="H3781" s="17" t="inlineStr">
        <is>
          <t>safeReturnUrl — các biến thể open redirect khác chặn "data:text/html,&lt;script&gt;alert(1)&lt;/script&gt;" (data URI)</t>
        </is>
      </c>
      <c r="I3781" s="16" t="inlineStr">
        <is>
          <t>Đạt</t>
        </is>
      </c>
      <c r="J3781" s="16" t="n">
        <v>0.001</v>
      </c>
    </row>
    <row r="3782">
      <c r="A3782" s="16" t="n">
        <v>3778</v>
      </c>
      <c r="B3782" s="16" t="inlineStr">
        <is>
          <t>Frontend</t>
        </is>
      </c>
      <c r="C3782" s="17" t="inlineStr">
        <is>
          <t>auth</t>
        </is>
      </c>
      <c r="D3782" s="16" t="inlineStr">
        <is>
          <t>Unit</t>
        </is>
      </c>
      <c r="E3782" s="17" t="inlineStr">
        <is>
          <t>client-redirect.test.tsx</t>
        </is>
      </c>
      <c r="F3782" s="17" t="inlineStr">
        <is>
          <t>safeReturnUrl — các biến thể open redirect khác</t>
        </is>
      </c>
      <c r="G3782" s="17" t="inlineStr">
        <is>
          <t>chặn " //site-gia.example" (khoảng trắng ở đầu)</t>
        </is>
      </c>
      <c r="H3782" s="17" t="inlineStr">
        <is>
          <t>safeReturnUrl — các biến thể open redirect khác chặn " //site-gia.example" (khoảng trắng ở đầu)</t>
        </is>
      </c>
      <c r="I3782" s="16" t="inlineStr">
        <is>
          <t>Đạt</t>
        </is>
      </c>
      <c r="J3782" s="16" t="n">
        <v>0.001</v>
      </c>
    </row>
    <row r="3783">
      <c r="A3783" s="16" t="n">
        <v>3779</v>
      </c>
      <c r="B3783" s="16" t="inlineStr">
        <is>
          <t>Frontend</t>
        </is>
      </c>
      <c r="C3783" s="17" t="inlineStr">
        <is>
          <t>auth</t>
        </is>
      </c>
      <c r="D3783" s="16" t="inlineStr">
        <is>
          <t>Unit</t>
        </is>
      </c>
      <c r="E3783" s="17" t="inlineStr">
        <is>
          <t>client-redirect.test.tsx</t>
        </is>
      </c>
      <c r="F3783" s="17" t="inlineStr">
        <is>
          <t>safeReturnUrl — các biến thể open redirect khác</t>
        </is>
      </c>
      <c r="G3783" s="17" t="inlineStr">
        <is>
          <t>đường dẫn đã mã hoá phần trăm ở lại trong app (vẫn là một path, không thành host)</t>
        </is>
      </c>
      <c r="H3783" s="17" t="inlineStr">
        <is>
          <t>safeReturnUrl — các biến thể open redirect khác đường dẫn đã mã hoá phần trăm ở lại trong app (vẫn là một path, không thành host)</t>
        </is>
      </c>
      <c r="I3783" s="16" t="inlineStr">
        <is>
          <t>Đạt</t>
        </is>
      </c>
      <c r="J3783" s="16" t="n">
        <v>0.001</v>
      </c>
    </row>
    <row r="3784">
      <c r="A3784" s="16" t="n">
        <v>3780</v>
      </c>
      <c r="B3784" s="16" t="inlineStr">
        <is>
          <t>Frontend</t>
        </is>
      </c>
      <c r="C3784" s="17" t="inlineStr">
        <is>
          <t>auth</t>
        </is>
      </c>
      <c r="D3784" s="16" t="inlineStr">
        <is>
          <t>Unit</t>
        </is>
      </c>
      <c r="E3784" s="17" t="inlineStr">
        <is>
          <t>client-redirect.test.tsx</t>
        </is>
      </c>
      <c r="F3784" s="17" t="inlineStr">
        <is>
          <t>safeReturnUrl — các biến thể open redirect khác</t>
        </is>
      </c>
      <c r="G3784" s="17" t="inlineStr">
        <is>
          <t>chuỗi không phân tích được thì về trang mặc định</t>
        </is>
      </c>
      <c r="H3784" s="17" t="inlineStr">
        <is>
          <t>safeReturnUrl — các biến thể open redirect khác chuỗi không phân tích được thì về trang mặc định</t>
        </is>
      </c>
      <c r="I3784" s="16" t="inlineStr">
        <is>
          <t>Đạt</t>
        </is>
      </c>
      <c r="J3784" s="16" t="n">
        <v>0.001</v>
      </c>
    </row>
    <row r="3785">
      <c r="A3785" s="16" t="n">
        <v>3781</v>
      </c>
      <c r="B3785" s="16" t="inlineStr">
        <is>
          <t>Frontend</t>
        </is>
      </c>
      <c r="C3785" s="17" t="inlineStr">
        <is>
          <t>auth</t>
        </is>
      </c>
      <c r="D3785" s="16" t="inlineStr">
        <is>
          <t>Unit</t>
        </is>
      </c>
      <c r="E3785" s="17" t="inlineStr">
        <is>
          <t>client.test.ts</t>
        </is>
      </c>
      <c r="F3785" s="17" t="inlineStr">
        <is>
          <t>access token phía client</t>
        </is>
      </c>
      <c r="G3785" s="17" t="inlineStr">
        <is>
          <t>lấy token qua /api/auth/token và giữ lại trong memory</t>
        </is>
      </c>
      <c r="H3785" s="17" t="inlineStr">
        <is>
          <t>access token phía client lấy token qua /api/auth/token và giữ lại trong memory</t>
        </is>
      </c>
      <c r="I3785" s="16" t="inlineStr">
        <is>
          <t>Đạt</t>
        </is>
      </c>
      <c r="J3785" s="16" t="n">
        <v>0.008999999999999999</v>
      </c>
    </row>
    <row r="3786">
      <c r="A3786" s="16" t="n">
        <v>3782</v>
      </c>
      <c r="B3786" s="16" t="inlineStr">
        <is>
          <t>Frontend</t>
        </is>
      </c>
      <c r="C3786" s="17" t="inlineStr">
        <is>
          <t>auth</t>
        </is>
      </c>
      <c r="D3786" s="16" t="inlineStr">
        <is>
          <t>Unit</t>
        </is>
      </c>
      <c r="E3786" s="17" t="inlineStr">
        <is>
          <t>client.test.ts</t>
        </is>
      </c>
      <c r="F3786" s="17" t="inlineStr">
        <is>
          <t>access token phía client</t>
        </is>
      </c>
      <c r="G3786" s="17" t="inlineStr">
        <is>
          <t>không bao giờ ghi vào localStorage hay sessionStorage</t>
        </is>
      </c>
      <c r="H3786" s="17" t="inlineStr">
        <is>
          <t>access token phía client không bao giờ ghi vào localStorage hay sessionStorage</t>
        </is>
      </c>
      <c r="I3786" s="16" t="inlineStr">
        <is>
          <t>Đạt</t>
        </is>
      </c>
      <c r="J3786" s="16" t="n">
        <v>0.002</v>
      </c>
    </row>
    <row r="3787">
      <c r="A3787" s="16" t="n">
        <v>3783</v>
      </c>
      <c r="B3787" s="16" t="inlineStr">
        <is>
          <t>Frontend</t>
        </is>
      </c>
      <c r="C3787" s="17" t="inlineStr">
        <is>
          <t>auth</t>
        </is>
      </c>
      <c r="D3787" s="16" t="inlineStr">
        <is>
          <t>Unit</t>
        </is>
      </c>
      <c r="E3787" s="17" t="inlineStr">
        <is>
          <t>client.test.ts</t>
        </is>
      </c>
      <c r="F3787" s="17" t="inlineStr">
        <is>
          <t>access token phía client</t>
        </is>
      </c>
      <c r="G3787" s="17" t="inlineStr">
        <is>
          <t>nhiều nơi cùng hỏi lúc khởi động chỉ tốn một request</t>
        </is>
      </c>
      <c r="H3787" s="17" t="inlineStr">
        <is>
          <t>access token phía client nhiều nơi cùng hỏi lúc khởi động chỉ tốn một request</t>
        </is>
      </c>
      <c r="I3787" s="16" t="inlineStr">
        <is>
          <t>Đạt</t>
        </is>
      </c>
      <c r="J3787" s="16" t="n">
        <v>0.002</v>
      </c>
    </row>
    <row r="3788">
      <c r="A3788" s="16" t="n">
        <v>3784</v>
      </c>
      <c r="B3788" s="16" t="inlineStr">
        <is>
          <t>Frontend</t>
        </is>
      </c>
      <c r="C3788" s="17" t="inlineStr">
        <is>
          <t>auth</t>
        </is>
      </c>
      <c r="D3788" s="16" t="inlineStr">
        <is>
          <t>Unit</t>
        </is>
      </c>
      <c r="E3788" s="17" t="inlineStr">
        <is>
          <t>client.test.ts</t>
        </is>
      </c>
      <c r="F3788" s="17" t="inlineStr">
        <is>
          <t>access token phía client</t>
        </is>
      </c>
      <c r="G3788" s="17" t="inlineStr">
        <is>
          <t>token sắp hết hạn thì hỏi lại, không dùng bản cũ</t>
        </is>
      </c>
      <c r="H3788" s="17" t="inlineStr">
        <is>
          <t>access token phía client token sắp hết hạn thì hỏi lại, không dùng bản cũ</t>
        </is>
      </c>
      <c r="I3788" s="16" t="inlineStr">
        <is>
          <t>Đạt</t>
        </is>
      </c>
      <c r="J3788" s="16" t="n">
        <v>0.001</v>
      </c>
    </row>
    <row r="3789">
      <c r="A3789" s="16" t="n">
        <v>3785</v>
      </c>
      <c r="B3789" s="16" t="inlineStr">
        <is>
          <t>Frontend</t>
        </is>
      </c>
      <c r="C3789" s="17" t="inlineStr">
        <is>
          <t>auth</t>
        </is>
      </c>
      <c r="D3789" s="16" t="inlineStr">
        <is>
          <t>Unit</t>
        </is>
      </c>
      <c r="E3789" s="17" t="inlineStr">
        <is>
          <t>client.test.ts</t>
        </is>
      </c>
      <c r="F3789" s="17" t="inlineStr">
        <is>
          <t>access token phía client</t>
        </is>
      </c>
      <c r="G3789" s="17" t="inlineStr">
        <is>
          <t>401 thì xoá token và báo phiên hết hạn</t>
        </is>
      </c>
      <c r="H3789" s="17" t="inlineStr">
        <is>
          <t>access token phía client 401 thì xoá token và báo phiên hết hạn</t>
        </is>
      </c>
      <c r="I3789" s="16" t="inlineStr">
        <is>
          <t>Đạt</t>
        </is>
      </c>
      <c r="J3789" s="16" t="n">
        <v>0.001</v>
      </c>
    </row>
    <row r="3790">
      <c r="A3790" s="16" t="n">
        <v>3786</v>
      </c>
      <c r="B3790" s="16" t="inlineStr">
        <is>
          <t>Frontend</t>
        </is>
      </c>
      <c r="C3790" s="17" t="inlineStr">
        <is>
          <t>auth</t>
        </is>
      </c>
      <c r="D3790" s="16" t="inlineStr">
        <is>
          <t>Unit</t>
        </is>
      </c>
      <c r="E3790" s="17" t="inlineStr">
        <is>
          <t>client.test.ts</t>
        </is>
      </c>
      <c r="F3790" s="17" t="inlineStr">
        <is>
          <t>access token phía client</t>
        </is>
      </c>
      <c r="G3790" s="17" t="inlineStr">
        <is>
          <t>mất mạng thì giữ token đang có thay vì đá người dùng ra</t>
        </is>
      </c>
      <c r="H3790" s="17" t="inlineStr">
        <is>
          <t>access token phía client mất mạng thì giữ token đang có thay vì đá người dùng ra</t>
        </is>
      </c>
      <c r="I3790" s="16" t="inlineStr">
        <is>
          <t>Đạt</t>
        </is>
      </c>
      <c r="J3790" s="16" t="n">
        <v>0.001</v>
      </c>
    </row>
    <row r="3791">
      <c r="A3791" s="16" t="n">
        <v>3787</v>
      </c>
      <c r="B3791" s="16" t="inlineStr">
        <is>
          <t>Frontend</t>
        </is>
      </c>
      <c r="C3791" s="17" t="inlineStr">
        <is>
          <t>auth</t>
        </is>
      </c>
      <c r="D3791" s="16" t="inlineStr">
        <is>
          <t>Unit</t>
        </is>
      </c>
      <c r="E3791" s="17" t="inlineStr">
        <is>
          <t>cookies.test.ts</t>
        </is>
      </c>
      <c r="F3791" s="17" t="inlineStr">
        <is>
          <t>tên cookie theo app</t>
        </is>
      </c>
      <c r="G3791" s="17" t="inlineStr">
        <is>
          <t>hai app không dùng chung tên nào</t>
        </is>
      </c>
      <c r="H3791" s="17" t="inlineStr">
        <is>
          <t>tên cookie theo app hai app không dùng chung tên nào</t>
        </is>
      </c>
      <c r="I3791" s="16" t="inlineStr">
        <is>
          <t>Đạt</t>
        </is>
      </c>
      <c r="J3791" s="16" t="n">
        <v>0.004</v>
      </c>
    </row>
    <row r="3792">
      <c r="A3792" s="16" t="n">
        <v>3788</v>
      </c>
      <c r="B3792" s="16" t="inlineStr">
        <is>
          <t>Frontend</t>
        </is>
      </c>
      <c r="C3792" s="17" t="inlineStr">
        <is>
          <t>auth</t>
        </is>
      </c>
      <c r="D3792" s="16" t="inlineStr">
        <is>
          <t>Unit</t>
        </is>
      </c>
      <c r="E3792" s="17" t="inlineStr">
        <is>
          <t>cookies.test.ts</t>
        </is>
      </c>
      <c r="F3792" s="17" t="inlineStr">
        <is>
          <t>tên cookie theo app</t>
        </is>
      </c>
      <c r="G3792" s="17" t="inlineStr">
        <is>
          <t>không còn tên mặc định của Auth.js</t>
        </is>
      </c>
      <c r="H3792" s="17" t="inlineStr">
        <is>
          <t>tên cookie theo app không còn tên mặc định của Auth.js</t>
        </is>
      </c>
      <c r="I3792" s="16" t="inlineStr">
        <is>
          <t>Đạt</t>
        </is>
      </c>
      <c r="J3792" s="16" t="n">
        <v>0.001</v>
      </c>
    </row>
    <row r="3793">
      <c r="A3793" s="16" t="n">
        <v>3789</v>
      </c>
      <c r="B3793" s="16" t="inlineStr">
        <is>
          <t>Frontend</t>
        </is>
      </c>
      <c r="C3793" s="17" t="inlineStr">
        <is>
          <t>auth</t>
        </is>
      </c>
      <c r="D3793" s="16" t="inlineStr">
        <is>
          <t>Unit</t>
        </is>
      </c>
      <c r="E3793" s="17" t="inlineStr">
        <is>
          <t>cookies.test.ts</t>
        </is>
      </c>
      <c r="F3793" s="17" t="inlineStr">
        <is>
          <t>tên cookie theo app</t>
        </is>
      </c>
      <c r="G3793" s="17" t="inlineStr">
        <is>
          <t>https giữ nguyên tiền tố bảo mật, và csrf vẫn là __Host- chứ không phải __Secure-</t>
        </is>
      </c>
      <c r="H3793" s="17" t="inlineStr">
        <is>
          <t>tên cookie theo app https giữ nguyên tiền tố bảo mật, và csrf vẫn là __Host- chứ không phải __Secure-</t>
        </is>
      </c>
      <c r="I3793" s="16" t="inlineStr">
        <is>
          <t>Đạt</t>
        </is>
      </c>
      <c r="J3793" s="16" t="n">
        <v>0</v>
      </c>
    </row>
    <row r="3794">
      <c r="A3794" s="16" t="n">
        <v>3790</v>
      </c>
      <c r="B3794" s="16" t="inlineStr">
        <is>
          <t>Frontend</t>
        </is>
      </c>
      <c r="C3794" s="17" t="inlineStr">
        <is>
          <t>auth</t>
        </is>
      </c>
      <c r="D3794" s="16" t="inlineStr">
        <is>
          <t>Unit</t>
        </is>
      </c>
      <c r="E3794" s="17" t="inlineStr">
        <is>
          <t>cookies.test.ts</t>
        </is>
      </c>
      <c r="F3794" s="17" t="inlineStr">
        <is>
          <t>tên cookie theo app</t>
        </is>
      </c>
      <c r="G3794" s="17" t="inlineStr">
        <is>
          <t>tên cookie phiên là thứ Auth.js dùng làm salt, nên phải khớp tuyệt đối</t>
        </is>
      </c>
      <c r="H3794" s="17" t="inlineStr">
        <is>
          <t>tên cookie theo app tên cookie phiên là thứ Auth.js dùng làm salt, nên phải khớp tuyệt đối</t>
        </is>
      </c>
      <c r="I3794" s="16" t="inlineStr">
        <is>
          <t>Đạt</t>
        </is>
      </c>
      <c r="J3794" s="16" t="n">
        <v>0</v>
      </c>
    </row>
    <row r="3795">
      <c r="A3795" s="16" t="n">
        <v>3791</v>
      </c>
      <c r="B3795" s="16" t="inlineStr">
        <is>
          <t>Frontend</t>
        </is>
      </c>
      <c r="C3795" s="17" t="inlineStr">
        <is>
          <t>auth</t>
        </is>
      </c>
      <c r="D3795" s="16" t="inlineStr">
        <is>
          <t>Unit</t>
        </is>
      </c>
      <c r="E3795" s="17" t="inlineStr">
        <is>
          <t>edge.test.ts</t>
        </is>
      </c>
      <c r="F3795" s="17" t="inlineStr">
        <is>
          <t>store của bản Edge</t>
        </is>
      </c>
      <c r="G3795" s="17" t="inlineStr">
        <is>
          <t>chạm vào thì ném lỗi nói rõ lý do, KHÔNG trả null</t>
        </is>
      </c>
      <c r="H3795" s="17" t="inlineStr">
        <is>
          <t>store của bản Edge chạm vào thì ném lỗi nói rõ lý do, KHÔNG trả null</t>
        </is>
      </c>
      <c r="I3795" s="16" t="inlineStr">
        <is>
          <t>Đạt</t>
        </is>
      </c>
      <c r="J3795" s="16" t="n">
        <v>0.002</v>
      </c>
    </row>
    <row r="3796">
      <c r="A3796" s="16" t="n">
        <v>3792</v>
      </c>
      <c r="B3796" s="16" t="inlineStr">
        <is>
          <t>Frontend</t>
        </is>
      </c>
      <c r="C3796" s="17" t="inlineStr">
        <is>
          <t>auth</t>
        </is>
      </c>
      <c r="D3796" s="16" t="inlineStr">
        <is>
          <t>Unit</t>
        </is>
      </c>
      <c r="E3796" s="17" t="inlineStr">
        <is>
          <t>end-session.test.ts</t>
        </is>
      </c>
      <c r="F3796" s="17" t="inlineStr">
        <is>
          <t>endSession</t>
        </is>
      </c>
      <c r="G3796" s="17" t="inlineStr">
        <is>
          <t>gọi đúng logout endpoint của realm</t>
        </is>
      </c>
      <c r="H3796" s="17" t="inlineStr">
        <is>
          <t>endSession gọi đúng logout endpoint của realm</t>
        </is>
      </c>
      <c r="I3796" s="16" t="inlineStr">
        <is>
          <t>Đạt</t>
        </is>
      </c>
      <c r="J3796" s="16" t="n">
        <v>0.005</v>
      </c>
    </row>
    <row r="3797">
      <c r="A3797" s="16" t="n">
        <v>3793</v>
      </c>
      <c r="B3797" s="16" t="inlineStr">
        <is>
          <t>Frontend</t>
        </is>
      </c>
      <c r="C3797" s="17" t="inlineStr">
        <is>
          <t>auth</t>
        </is>
      </c>
      <c r="D3797" s="16" t="inlineStr">
        <is>
          <t>Unit</t>
        </is>
      </c>
      <c r="E3797" s="17" t="inlineStr">
        <is>
          <t>end-session.test.ts</t>
        </is>
      </c>
      <c r="F3797" s="17" t="inlineStr">
        <is>
          <t>endSession</t>
        </is>
      </c>
      <c r="G3797" s="17" t="inlineStr">
        <is>
          <t>gửi refresh token đi — đó là thứ khiến Keycloak kết thúc phiên</t>
        </is>
      </c>
      <c r="H3797" s="17" t="inlineStr">
        <is>
          <t>endSession gửi refresh token đi — đó là thứ khiến Keycloak kết thúc phiên</t>
        </is>
      </c>
      <c r="I3797" s="16" t="inlineStr">
        <is>
          <t>Đạt</t>
        </is>
      </c>
      <c r="J3797" s="16" t="n">
        <v>0.001</v>
      </c>
    </row>
    <row r="3798">
      <c r="A3798" s="16" t="n">
        <v>3794</v>
      </c>
      <c r="B3798" s="16" t="inlineStr">
        <is>
          <t>Frontend</t>
        </is>
      </c>
      <c r="C3798" s="17" t="inlineStr">
        <is>
          <t>auth</t>
        </is>
      </c>
      <c r="D3798" s="16" t="inlineStr">
        <is>
          <t>Unit</t>
        </is>
      </c>
      <c r="E3798" s="17" t="inlineStr">
        <is>
          <t>end-session.test.ts</t>
        </is>
      </c>
      <c r="F3798" s="17" t="inlineStr">
        <is>
          <t>endSession</t>
        </is>
      </c>
      <c r="G3798" s="17" t="inlineStr">
        <is>
          <t>POST chứ không GET</t>
        </is>
      </c>
      <c r="H3798" s="17" t="inlineStr">
        <is>
          <t>endSession POST chứ không GET</t>
        </is>
      </c>
      <c r="I3798" s="16" t="inlineStr">
        <is>
          <t>Đạt</t>
        </is>
      </c>
      <c r="J3798" s="16" t="n">
        <v>0.001</v>
      </c>
    </row>
    <row r="3799">
      <c r="A3799" s="16" t="n">
        <v>3795</v>
      </c>
      <c r="B3799" s="16" t="inlineStr">
        <is>
          <t>Frontend</t>
        </is>
      </c>
      <c r="C3799" s="17" t="inlineStr">
        <is>
          <t>auth</t>
        </is>
      </c>
      <c r="D3799" s="16" t="inlineStr">
        <is>
          <t>Unit</t>
        </is>
      </c>
      <c r="E3799" s="17" t="inlineStr">
        <is>
          <t>end-session.test.ts</t>
        </is>
      </c>
      <c r="F3799" s="17" t="inlineStr">
        <is>
          <t>endSession</t>
        </is>
      </c>
      <c r="G3799" s="17" t="inlineStr">
        <is>
          <t>Keycloak từ chối thì trả false chứ không ném lỗi</t>
        </is>
      </c>
      <c r="H3799" s="17" t="inlineStr">
        <is>
          <t>endSession Keycloak từ chối thì trả false chứ không ném lỗi</t>
        </is>
      </c>
      <c r="I3799" s="16" t="inlineStr">
        <is>
          <t>Đạt</t>
        </is>
      </c>
      <c r="J3799" s="16" t="n">
        <v>0.004</v>
      </c>
    </row>
    <row r="3800">
      <c r="A3800" s="16" t="n">
        <v>3796</v>
      </c>
      <c r="B3800" s="16" t="inlineStr">
        <is>
          <t>Frontend</t>
        </is>
      </c>
      <c r="C3800" s="17" t="inlineStr">
        <is>
          <t>auth</t>
        </is>
      </c>
      <c r="D3800" s="16" t="inlineStr">
        <is>
          <t>Unit</t>
        </is>
      </c>
      <c r="E3800" s="17" t="inlineStr">
        <is>
          <t>keycloak.test.ts</t>
        </is>
      </c>
      <c r="F3800" s="17" t="inlineStr">
        <is>
          <t>refreshAccessToken</t>
        </is>
      </c>
      <c r="G3800" s="17" t="inlineStr">
        <is>
          <t>gọi đúng token endpoint của realm</t>
        </is>
      </c>
      <c r="H3800" s="17" t="inlineStr">
        <is>
          <t>refreshAccessToken gọi đúng token endpoint của realm</t>
        </is>
      </c>
      <c r="I3800" s="16" t="inlineStr">
        <is>
          <t>Đạt</t>
        </is>
      </c>
      <c r="J3800" s="16" t="n">
        <v>0.008999999999999999</v>
      </c>
    </row>
    <row r="3801">
      <c r="A3801" s="16" t="n">
        <v>3797</v>
      </c>
      <c r="B3801" s="16" t="inlineStr">
        <is>
          <t>Frontend</t>
        </is>
      </c>
      <c r="C3801" s="17" t="inlineStr">
        <is>
          <t>auth</t>
        </is>
      </c>
      <c r="D3801" s="16" t="inlineStr">
        <is>
          <t>Unit</t>
        </is>
      </c>
      <c r="E3801" s="17" t="inlineStr">
        <is>
          <t>keycloak.test.ts</t>
        </is>
      </c>
      <c r="F3801" s="17" t="inlineStr">
        <is>
          <t>refreshAccessToken</t>
        </is>
      </c>
      <c r="G3801" s="17" t="inlineStr">
        <is>
          <t>trả về refresh token đã xoay vòng — không ghi đè là lần sau hỏng</t>
        </is>
      </c>
      <c r="H3801" s="17" t="inlineStr">
        <is>
          <t>refreshAccessToken trả về refresh token đã xoay vòng — không ghi đè là lần sau hỏng</t>
        </is>
      </c>
      <c r="I3801" s="16" t="inlineStr">
        <is>
          <t>Đạt</t>
        </is>
      </c>
      <c r="J3801" s="16" t="n">
        <v>0.001</v>
      </c>
    </row>
    <row r="3802">
      <c r="A3802" s="16" t="n">
        <v>3798</v>
      </c>
      <c r="B3802" s="16" t="inlineStr">
        <is>
          <t>Frontend</t>
        </is>
      </c>
      <c r="C3802" s="17" t="inlineStr">
        <is>
          <t>auth</t>
        </is>
      </c>
      <c r="D3802" s="16" t="inlineStr">
        <is>
          <t>Unit</t>
        </is>
      </c>
      <c r="E3802" s="17" t="inlineStr">
        <is>
          <t>keycloak.test.ts</t>
        </is>
      </c>
      <c r="F3802" s="17" t="inlineStr">
        <is>
          <t>refreshAccessToken</t>
        </is>
      </c>
      <c r="G3802" s="17" t="inlineStr">
        <is>
          <t>Keycloak không xoay vòng thì giữ lại bản cũ</t>
        </is>
      </c>
      <c r="H3802" s="17" t="inlineStr">
        <is>
          <t>refreshAccessToken Keycloak không xoay vòng thì giữ lại bản cũ</t>
        </is>
      </c>
      <c r="I3802" s="16" t="inlineStr">
        <is>
          <t>Đạt</t>
        </is>
      </c>
      <c r="J3802" s="16" t="n">
        <v>0.001</v>
      </c>
    </row>
    <row r="3803">
      <c r="A3803" s="16" t="n">
        <v>3799</v>
      </c>
      <c r="B3803" s="16" t="inlineStr">
        <is>
          <t>Frontend</t>
        </is>
      </c>
      <c r="C3803" s="17" t="inlineStr">
        <is>
          <t>auth</t>
        </is>
      </c>
      <c r="D3803" s="16" t="inlineStr">
        <is>
          <t>Unit</t>
        </is>
      </c>
      <c r="E3803" s="17" t="inlineStr">
        <is>
          <t>keycloak.test.ts</t>
        </is>
      </c>
      <c r="F3803" s="17" t="inlineStr">
        <is>
          <t>refreshAccessToken</t>
        </is>
      </c>
      <c r="G3803" s="17" t="inlineStr">
        <is>
          <t>invalid_grant là không cứu được — phải bắt đăng nhập lại</t>
        </is>
      </c>
      <c r="H3803" s="17" t="inlineStr">
        <is>
          <t>refreshAccessToken invalid_grant là không cứu được — phải bắt đăng nhập lại</t>
        </is>
      </c>
      <c r="I3803" s="16" t="inlineStr">
        <is>
          <t>Đạt</t>
        </is>
      </c>
      <c r="J3803" s="16" t="n">
        <v>0.001</v>
      </c>
    </row>
    <row r="3804">
      <c r="A3804" s="16" t="n">
        <v>3800</v>
      </c>
      <c r="B3804" s="16" t="inlineStr">
        <is>
          <t>Frontend</t>
        </is>
      </c>
      <c r="C3804" s="17" t="inlineStr">
        <is>
          <t>auth</t>
        </is>
      </c>
      <c r="D3804" s="16" t="inlineStr">
        <is>
          <t>Unit</t>
        </is>
      </c>
      <c r="E3804" s="17" t="inlineStr">
        <is>
          <t>keycloak.test.ts</t>
        </is>
      </c>
      <c r="F3804" s="17" t="inlineStr">
        <is>
          <t>refreshAccessToken</t>
        </is>
      </c>
      <c r="G3804" s="17" t="inlineStr">
        <is>
          <t>Keycloak sập là lỗi cứu được — giữ nguyên phiên, thử lại sau</t>
        </is>
      </c>
      <c r="H3804" s="17" t="inlineStr">
        <is>
          <t>refreshAccessToken Keycloak sập là lỗi cứu được — giữ nguyên phiên, thử lại sau</t>
        </is>
      </c>
      <c r="I3804" s="16" t="inlineStr">
        <is>
          <t>Đạt</t>
        </is>
      </c>
      <c r="J3804" s="16" t="n">
        <v>0.002</v>
      </c>
    </row>
    <row r="3805">
      <c r="A3805" s="16" t="n">
        <v>3801</v>
      </c>
      <c r="B3805" s="16" t="inlineStr">
        <is>
          <t>Frontend</t>
        </is>
      </c>
      <c r="C3805" s="17" t="inlineStr">
        <is>
          <t>auth</t>
        </is>
      </c>
      <c r="D3805" s="16" t="inlineStr">
        <is>
          <t>Unit</t>
        </is>
      </c>
      <c r="E3805" s="17" t="inlineStr">
        <is>
          <t>middleware-paths.test.ts</t>
        </is>
      </c>
      <c r="F3805" s="17" t="inlineStr">
        <is>
          <t>đường dẫn công khai</t>
        </is>
      </c>
      <c r="G3805" s="17" t="inlineStr">
        <is>
          <t>trang chủ công khai KHÔNG mở toàn bộ app</t>
        </is>
      </c>
      <c r="H3805" s="17" t="inlineStr">
        <is>
          <t>đường dẫn công khai trang chủ công khai KHÔNG mở toàn bộ app</t>
        </is>
      </c>
      <c r="I3805" s="16" t="inlineStr">
        <is>
          <t>Đạt</t>
        </is>
      </c>
      <c r="J3805" s="16" t="n">
        <v>0.007</v>
      </c>
    </row>
    <row r="3806">
      <c r="A3806" s="16" t="n">
        <v>3802</v>
      </c>
      <c r="B3806" s="16" t="inlineStr">
        <is>
          <t>Frontend</t>
        </is>
      </c>
      <c r="C3806" s="17" t="inlineStr">
        <is>
          <t>auth</t>
        </is>
      </c>
      <c r="D3806" s="16" t="inlineStr">
        <is>
          <t>Unit</t>
        </is>
      </c>
      <c r="E3806" s="17" t="inlineStr">
        <is>
          <t>middleware-paths.test.ts</t>
        </is>
      </c>
      <c r="F3806" s="17" t="inlineStr">
        <is>
          <t>đường dẫn công khai</t>
        </is>
      </c>
      <c r="G3806" s="17" t="inlineStr">
        <is>
          <t>/login không mở cho /loginXYZ</t>
        </is>
      </c>
      <c r="H3806" s="17" t="inlineStr">
        <is>
          <t>đường dẫn công khai /login không mở cho /loginXYZ</t>
        </is>
      </c>
      <c r="I3806" s="16" t="inlineStr">
        <is>
          <t>Đạt</t>
        </is>
      </c>
      <c r="J3806" s="16" t="n">
        <v>0.002</v>
      </c>
    </row>
    <row r="3807">
      <c r="A3807" s="16" t="n">
        <v>3803</v>
      </c>
      <c r="B3807" s="16" t="inlineStr">
        <is>
          <t>Frontend</t>
        </is>
      </c>
      <c r="C3807" s="17" t="inlineStr">
        <is>
          <t>auth</t>
        </is>
      </c>
      <c r="D3807" s="16" t="inlineStr">
        <is>
          <t>Unit</t>
        </is>
      </c>
      <c r="E3807" s="17" t="inlineStr">
        <is>
          <t>middleware-paths.test.ts</t>
        </is>
      </c>
      <c r="F3807" s="17" t="inlineStr">
        <is>
          <t>đường dẫn công khai</t>
        </is>
      </c>
      <c r="G3807" s="17" t="inlineStr">
        <is>
          <t>tiền tố công khai mở đúng những gì nằm dưới nó</t>
        </is>
      </c>
      <c r="H3807" s="17" t="inlineStr">
        <is>
          <t>đường dẫn công khai tiền tố công khai mở đúng những gì nằm dưới nó</t>
        </is>
      </c>
      <c r="I3807" s="16" t="inlineStr">
        <is>
          <t>Đạt</t>
        </is>
      </c>
      <c r="J3807" s="16" t="n">
        <v>0.002</v>
      </c>
    </row>
    <row r="3808">
      <c r="A3808" s="16" t="n">
        <v>3804</v>
      </c>
      <c r="B3808" s="16" t="inlineStr">
        <is>
          <t>Frontend</t>
        </is>
      </c>
      <c r="C3808" s="17" t="inlineStr">
        <is>
          <t>auth</t>
        </is>
      </c>
      <c r="D3808" s="16" t="inlineStr">
        <is>
          <t>Unit</t>
        </is>
      </c>
      <c r="E3808" s="17" t="inlineStr">
        <is>
          <t>middleware-paths.test.ts</t>
        </is>
      </c>
      <c r="F3808" s="17" t="inlineStr">
        <is>
          <t>đường dẫn công khai</t>
        </is>
      </c>
      <c r="G3808" s="17" t="inlineStr">
        <is>
          <t>giữ đường đang muốn vào để quay lại sau khi đăng nhập</t>
        </is>
      </c>
      <c r="H3808" s="17" t="inlineStr">
        <is>
          <t>đường dẫn công khai giữ đường đang muốn vào để quay lại sau khi đăng nhập</t>
        </is>
      </c>
      <c r="I3808" s="16" t="inlineStr">
        <is>
          <t>Đạt</t>
        </is>
      </c>
      <c r="J3808" s="16" t="n">
        <v>0.002</v>
      </c>
    </row>
    <row r="3809">
      <c r="A3809" s="16" t="n">
        <v>3805</v>
      </c>
      <c r="B3809" s="16" t="inlineStr">
        <is>
          <t>Frontend</t>
        </is>
      </c>
      <c r="C3809" s="17" t="inlineStr">
        <is>
          <t>auth</t>
        </is>
      </c>
      <c r="D3809" s="16" t="inlineStr">
        <is>
          <t>Unit</t>
        </is>
      </c>
      <c r="E3809" s="17" t="inlineStr">
        <is>
          <t>middleware-paths.test.ts</t>
        </is>
      </c>
      <c r="F3809" s="17" t="inlineStr">
        <is>
          <t>đường dẫn công khai</t>
        </is>
      </c>
      <c r="G3809" s="17" t="inlineStr">
        <is>
          <t>đã đăng nhập thì đi tiếp</t>
        </is>
      </c>
      <c r="H3809" s="17" t="inlineStr">
        <is>
          <t>đường dẫn công khai đã đăng nhập thì đi tiếp</t>
        </is>
      </c>
      <c r="I3809" s="16" t="inlineStr">
        <is>
          <t>Đạt</t>
        </is>
      </c>
      <c r="J3809" s="16" t="n">
        <v>0.001</v>
      </c>
    </row>
    <row r="3810">
      <c r="A3810" s="16" t="n">
        <v>3806</v>
      </c>
      <c r="B3810" s="16" t="inlineStr">
        <is>
          <t>Frontend</t>
        </is>
      </c>
      <c r="C3810" s="17" t="inlineStr">
        <is>
          <t>auth</t>
        </is>
      </c>
      <c r="D3810" s="16" t="inlineStr">
        <is>
          <t>Unit</t>
        </is>
      </c>
      <c r="E3810" s="17" t="inlineStr">
        <is>
          <t>redis-store.test.ts</t>
        </is>
      </c>
      <c r="F3810" s="17" t="inlineStr">
        <is>
          <t>RedisRefreshTokenStore</t>
        </is>
      </c>
      <c r="G3810" s="17" t="inlineStr">
        <is>
          <t>ghi rồi đọc lại ra đúng bản ghi</t>
        </is>
      </c>
      <c r="H3810" s="17" t="inlineStr">
        <is>
          <t>RedisRefreshTokenStore ghi rồi đọc lại ra đúng bản ghi</t>
        </is>
      </c>
      <c r="I3810" s="16" t="inlineStr">
        <is>
          <t>Đạt</t>
        </is>
      </c>
      <c r="J3810" s="16" t="n">
        <v>0.003</v>
      </c>
    </row>
    <row r="3811">
      <c r="A3811" s="16" t="n">
        <v>3807</v>
      </c>
      <c r="B3811" s="16" t="inlineStr">
        <is>
          <t>Frontend</t>
        </is>
      </c>
      <c r="C3811" s="17" t="inlineStr">
        <is>
          <t>auth</t>
        </is>
      </c>
      <c r="D3811" s="16" t="inlineStr">
        <is>
          <t>Unit</t>
        </is>
      </c>
      <c r="E3811" s="17" t="inlineStr">
        <is>
          <t>redis-store.test.ts</t>
        </is>
      </c>
      <c r="F3811" s="17" t="inlineStr">
        <is>
          <t>RedisRefreshTokenStore</t>
        </is>
      </c>
      <c r="G3811" s="17" t="inlineStr">
        <is>
          <t>TTL lấy từ hạn của refresh token — bản ghi tự biến mất, không cần job dọn</t>
        </is>
      </c>
      <c r="H3811" s="17" t="inlineStr">
        <is>
          <t>RedisRefreshTokenStore TTL lấy từ hạn của refresh token — bản ghi tự biến mất, không cần job dọn</t>
        </is>
      </c>
      <c r="I3811" s="16" t="inlineStr">
        <is>
          <t>Đạt</t>
        </is>
      </c>
      <c r="J3811" s="16" t="n">
        <v>0.001</v>
      </c>
    </row>
    <row r="3812">
      <c r="A3812" s="16" t="n">
        <v>3808</v>
      </c>
      <c r="B3812" s="16" t="inlineStr">
        <is>
          <t>Frontend</t>
        </is>
      </c>
      <c r="C3812" s="17" t="inlineStr">
        <is>
          <t>auth</t>
        </is>
      </c>
      <c r="D3812" s="16" t="inlineStr">
        <is>
          <t>Unit</t>
        </is>
      </c>
      <c r="E3812" s="17" t="inlineStr">
        <is>
          <t>redis-store.test.ts</t>
        </is>
      </c>
      <c r="F3812" s="17" t="inlineStr">
        <is>
          <t>RedisRefreshTokenStore</t>
        </is>
      </c>
      <c r="G3812" s="17" t="inlineStr">
        <is>
          <t>bản ghi quá hạn bị coi như không có, dù Redis còn giữ</t>
        </is>
      </c>
      <c r="H3812" s="17" t="inlineStr">
        <is>
          <t>RedisRefreshTokenStore bản ghi quá hạn bị coi như không có, dù Redis còn giữ</t>
        </is>
      </c>
      <c r="I3812" s="16" t="inlineStr">
        <is>
          <t>Đạt</t>
        </is>
      </c>
      <c r="J3812" s="16" t="n">
        <v>0</v>
      </c>
    </row>
    <row r="3813">
      <c r="A3813" s="16" t="n">
        <v>3809</v>
      </c>
      <c r="B3813" s="16" t="inlineStr">
        <is>
          <t>Frontend</t>
        </is>
      </c>
      <c r="C3813" s="17" t="inlineStr">
        <is>
          <t>auth</t>
        </is>
      </c>
      <c r="D3813" s="16" t="inlineStr">
        <is>
          <t>Unit</t>
        </is>
      </c>
      <c r="E3813" s="17" t="inlineStr">
        <is>
          <t>redis-store.test.ts</t>
        </is>
      </c>
      <c r="F3813" s="17" t="inlineStr">
        <is>
          <t>RedisRefreshTokenStore</t>
        </is>
      </c>
      <c r="G3813" s="17" t="inlineStr">
        <is>
          <t>giá trị hỏng trả null thay vì ném</t>
        </is>
      </c>
      <c r="H3813" s="17" t="inlineStr">
        <is>
          <t>RedisRefreshTokenStore giá trị hỏng trả null thay vì ném</t>
        </is>
      </c>
      <c r="I3813" s="16" t="inlineStr">
        <is>
          <t>Đạt</t>
        </is>
      </c>
      <c r="J3813" s="16" t="n">
        <v>0</v>
      </c>
    </row>
    <row r="3814">
      <c r="A3814" s="16" t="n">
        <v>3810</v>
      </c>
      <c r="B3814" s="16" t="inlineStr">
        <is>
          <t>Frontend</t>
        </is>
      </c>
      <c r="C3814" s="17" t="inlineStr">
        <is>
          <t>auth</t>
        </is>
      </c>
      <c r="D3814" s="16" t="inlineStr">
        <is>
          <t>Unit</t>
        </is>
      </c>
      <c r="E3814" s="17" t="inlineStr">
        <is>
          <t>redis-store.test.ts</t>
        </is>
      </c>
      <c r="F3814" s="17" t="inlineStr">
        <is>
          <t>RedisRefreshTokenStore</t>
        </is>
      </c>
      <c r="G3814" s="17" t="inlineStr">
        <is>
          <t>khoá làm mới: chỉ một instance giành được, nhả rồi thì instance sau lấy được</t>
        </is>
      </c>
      <c r="H3814" s="17" t="inlineStr">
        <is>
          <t>RedisRefreshTokenStore khoá làm mới: chỉ một instance giành được, nhả rồi thì instance sau lấy được</t>
        </is>
      </c>
      <c r="I3814" s="16" t="inlineStr">
        <is>
          <t>Đạt</t>
        </is>
      </c>
      <c r="J3814" s="16" t="n">
        <v>0.001</v>
      </c>
    </row>
    <row r="3815">
      <c r="A3815" s="16" t="n">
        <v>3811</v>
      </c>
      <c r="B3815" s="16" t="inlineStr">
        <is>
          <t>Frontend</t>
        </is>
      </c>
      <c r="C3815" s="17" t="inlineStr">
        <is>
          <t>auth</t>
        </is>
      </c>
      <c r="D3815" s="16" t="inlineStr">
        <is>
          <t>Unit</t>
        </is>
      </c>
      <c r="E3815" s="17" t="inlineStr">
        <is>
          <t>redis-store.test.ts</t>
        </is>
      </c>
      <c r="F3815" s="17" t="inlineStr">
        <is>
          <t>RedisRefreshTokenStore</t>
        </is>
      </c>
      <c r="G3815" s="17" t="inlineStr">
        <is>
          <t>kẻ thua khoá đọc lại store và dùng token mà kẻ thắng vừa ghi</t>
        </is>
      </c>
      <c r="H3815" s="17" t="inlineStr">
        <is>
          <t>RedisRefreshTokenStore kẻ thua khoá đọc lại store và dùng token mà kẻ thắng vừa ghi</t>
        </is>
      </c>
      <c r="I3815" s="16" t="inlineStr">
        <is>
          <t>Đạt</t>
        </is>
      </c>
      <c r="J3815" s="16" t="n">
        <v>0.001</v>
      </c>
    </row>
    <row r="3816">
      <c r="A3816" s="16" t="n">
        <v>3812</v>
      </c>
      <c r="B3816" s="16" t="inlineStr">
        <is>
          <t>Frontend</t>
        </is>
      </c>
      <c r="C3816" s="17" t="inlineStr">
        <is>
          <t>auth</t>
        </is>
      </c>
      <c r="D3816" s="16" t="inlineStr">
        <is>
          <t>Unit</t>
        </is>
      </c>
      <c r="E3816" s="17" t="inlineStr">
        <is>
          <t>reset-password.test.ts</t>
        </is>
      </c>
      <c r="F3816" s="17" t="inlineStr">
        <is>
          <t>resetPasswordUrl</t>
        </is>
      </c>
      <c r="G3816" s="17" t="inlineStr">
        <is>
          <t>dựng đúng đường mà Keycloak phục vụ form đặt lại mật khẩu</t>
        </is>
      </c>
      <c r="H3816" s="17" t="inlineStr">
        <is>
          <t>resetPasswordUrl dựng đúng đường mà Keycloak phục vụ form đặt lại mật khẩu</t>
        </is>
      </c>
      <c r="I3816" s="16" t="inlineStr">
        <is>
          <t>Đạt</t>
        </is>
      </c>
      <c r="J3816" s="16" t="n">
        <v>0.002</v>
      </c>
    </row>
    <row r="3817">
      <c r="A3817" s="16" t="n">
        <v>3813</v>
      </c>
      <c r="B3817" s="16" t="inlineStr">
        <is>
          <t>Frontend</t>
        </is>
      </c>
      <c r="C3817" s="17" t="inlineStr">
        <is>
          <t>auth</t>
        </is>
      </c>
      <c r="D3817" s="16" t="inlineStr">
        <is>
          <t>Unit</t>
        </is>
      </c>
      <c r="E3817" s="17" t="inlineStr">
        <is>
          <t>reset-password.test.ts</t>
        </is>
      </c>
      <c r="F3817" s="17" t="inlineStr">
        <is>
          <t>resetPasswordUrl</t>
        </is>
      </c>
      <c r="G3817" s="17" t="inlineStr">
        <is>
          <t>bỏ dấu gạch chéo thừa ở cuối issuer</t>
        </is>
      </c>
      <c r="H3817" s="17" t="inlineStr">
        <is>
          <t>resetPasswordUrl bỏ dấu gạch chéo thừa ở cuối issuer</t>
        </is>
      </c>
      <c r="I3817" s="16" t="inlineStr">
        <is>
          <t>Đạt</t>
        </is>
      </c>
      <c r="J3817" s="16" t="n">
        <v>0.001</v>
      </c>
    </row>
    <row r="3818">
      <c r="A3818" s="16" t="n">
        <v>3814</v>
      </c>
      <c r="B3818" s="16" t="inlineStr">
        <is>
          <t>Frontend</t>
        </is>
      </c>
      <c r="C3818" s="17" t="inlineStr">
        <is>
          <t>auth</t>
        </is>
      </c>
      <c r="D3818" s="16" t="inlineStr">
        <is>
          <t>Unit</t>
        </is>
      </c>
      <c r="E3818" s="17" t="inlineStr">
        <is>
          <t>reset-password.test.ts</t>
        </is>
      </c>
      <c r="F3818" s="17" t="inlineStr">
        <is>
          <t>resetPasswordUrl</t>
        </is>
      </c>
      <c r="G3818" s="17" t="inlineStr">
        <is>
          <t>mã hoá client_id</t>
        </is>
      </c>
      <c r="H3818" s="17" t="inlineStr">
        <is>
          <t>resetPasswordUrl mã hoá client_id</t>
        </is>
      </c>
      <c r="I3818" s="16" t="inlineStr">
        <is>
          <t>Đạt</t>
        </is>
      </c>
      <c r="J3818" s="16" t="n">
        <v>0</v>
      </c>
    </row>
    <row r="3819">
      <c r="A3819" s="16" t="n">
        <v>3815</v>
      </c>
      <c r="B3819" s="16" t="inlineStr">
        <is>
          <t>Frontend</t>
        </is>
      </c>
      <c r="C3819" s="17" t="inlineStr">
        <is>
          <t>auth</t>
        </is>
      </c>
      <c r="D3819" s="16" t="inlineStr">
        <is>
          <t>Unit</t>
        </is>
      </c>
      <c r="E3819" s="17" t="inlineStr">
        <is>
          <t>reset-password.test.ts</t>
        </is>
      </c>
      <c r="F3819" s="17" t="inlineStr">
        <is>
          <t>resetPasswordUrlFromEnv</t>
        </is>
      </c>
      <c r="G3819" s="17" t="inlineStr">
        <is>
          <t>trả null khi thiếu issuer, thay vì ném lỗi</t>
        </is>
      </c>
      <c r="H3819" s="17" t="inlineStr">
        <is>
          <t>resetPasswordUrlFromEnv trả null khi thiếu issuer, thay vì ném lỗi</t>
        </is>
      </c>
      <c r="I3819" s="16" t="inlineStr">
        <is>
          <t>Đạt</t>
        </is>
      </c>
      <c r="J3819" s="16" t="n">
        <v>0</v>
      </c>
    </row>
    <row r="3820">
      <c r="A3820" s="16" t="n">
        <v>3816</v>
      </c>
      <c r="B3820" s="16" t="inlineStr">
        <is>
          <t>Frontend</t>
        </is>
      </c>
      <c r="C3820" s="17" t="inlineStr">
        <is>
          <t>auth</t>
        </is>
      </c>
      <c r="D3820" s="16" t="inlineStr">
        <is>
          <t>Unit</t>
        </is>
      </c>
      <c r="E3820" s="17" t="inlineStr">
        <is>
          <t>reset-password.test.ts</t>
        </is>
      </c>
      <c r="F3820" s="17" t="inlineStr">
        <is>
          <t>resetPasswordUrlFromEnv</t>
        </is>
      </c>
      <c r="G3820" s="17" t="inlineStr">
        <is>
          <t>rơi về tên app khi không khai KEYCLOAK_CLIENT_ID</t>
        </is>
      </c>
      <c r="H3820" s="17" t="inlineStr">
        <is>
          <t>resetPasswordUrlFromEnv rơi về tên app khi không khai KEYCLOAK_CLIENT_ID</t>
        </is>
      </c>
      <c r="I3820" s="16" t="inlineStr">
        <is>
          <t>Đạt</t>
        </is>
      </c>
      <c r="J3820" s="16" t="n">
        <v>0</v>
      </c>
    </row>
    <row r="3821">
      <c r="A3821" s="16" t="n">
        <v>3817</v>
      </c>
      <c r="B3821" s="16" t="inlineStr">
        <is>
          <t>Frontend</t>
        </is>
      </c>
      <c r="C3821" s="17" t="inlineStr">
        <is>
          <t>auth</t>
        </is>
      </c>
      <c r="D3821" s="16" t="inlineStr">
        <is>
          <t>Unit</t>
        </is>
      </c>
      <c r="E3821" s="17" t="inlineStr">
        <is>
          <t>return-url.test.ts</t>
        </is>
      </c>
      <c r="F3821" s="17" t="inlineStr">
        <is>
          <t>safeReturnUrl</t>
        </is>
      </c>
      <c r="G3821" s="17" t="inlineStr">
        <is>
          <t>giữ đường dẫn tương đối trong chính app</t>
        </is>
      </c>
      <c r="H3821" s="17" t="inlineStr">
        <is>
          <t>safeReturnUrl giữ đường dẫn tương đối trong chính app</t>
        </is>
      </c>
      <c r="I3821" s="16" t="inlineStr">
        <is>
          <t>Đạt</t>
        </is>
      </c>
      <c r="J3821" s="16" t="n">
        <v>0.004</v>
      </c>
    </row>
    <row r="3822">
      <c r="A3822" s="16" t="n">
        <v>3818</v>
      </c>
      <c r="B3822" s="16" t="inlineStr">
        <is>
          <t>Frontend</t>
        </is>
      </c>
      <c r="C3822" s="17" t="inlineStr">
        <is>
          <t>auth</t>
        </is>
      </c>
      <c r="D3822" s="16" t="inlineStr">
        <is>
          <t>Unit</t>
        </is>
      </c>
      <c r="E3822" s="17" t="inlineStr">
        <is>
          <t>return-url.test.ts</t>
        </is>
      </c>
      <c r="F3822" s="17" t="inlineStr">
        <is>
          <t>safeReturnUrl</t>
        </is>
      </c>
      <c r="G3822" s="17" t="inlineStr">
        <is>
          <t>chặn mọi giá trị trỏ ra ngoài origin — đây là open redirect</t>
        </is>
      </c>
      <c r="H3822" s="17" t="inlineStr">
        <is>
          <t>safeReturnUrl chặn mọi giá trị trỏ ra ngoài origin — đây là open redirect</t>
        </is>
      </c>
      <c r="I3822" s="16" t="inlineStr">
        <is>
          <t>Đạt</t>
        </is>
      </c>
      <c r="J3822" s="16" t="n">
        <v>0.001</v>
      </c>
    </row>
    <row r="3823">
      <c r="A3823" s="16" t="n">
        <v>3819</v>
      </c>
      <c r="B3823" s="16" t="inlineStr">
        <is>
          <t>Frontend</t>
        </is>
      </c>
      <c r="C3823" s="17" t="inlineStr">
        <is>
          <t>auth</t>
        </is>
      </c>
      <c r="D3823" s="16" t="inlineStr">
        <is>
          <t>Unit</t>
        </is>
      </c>
      <c r="E3823" s="17" t="inlineStr">
        <is>
          <t>return-url.test.ts</t>
        </is>
      </c>
      <c r="F3823" s="17" t="inlineStr">
        <is>
          <t>safeReturnUrl</t>
        </is>
      </c>
      <c r="G3823" s="17" t="inlineStr">
        <is>
          <t>chuẩn hoá thay vì trả lại chuỗi gốc</t>
        </is>
      </c>
      <c r="H3823" s="17" t="inlineStr">
        <is>
          <t>safeReturnUrl chuẩn hoá thay vì trả lại chuỗi gốc</t>
        </is>
      </c>
      <c r="I3823" s="16" t="inlineStr">
        <is>
          <t>Đạt</t>
        </is>
      </c>
      <c r="J3823" s="16" t="n">
        <v>0.001</v>
      </c>
    </row>
    <row r="3824">
      <c r="A3824" s="16" t="n">
        <v>3820</v>
      </c>
      <c r="B3824" s="16" t="inlineStr">
        <is>
          <t>Frontend</t>
        </is>
      </c>
      <c r="C3824" s="17" t="inlineStr">
        <is>
          <t>auth</t>
        </is>
      </c>
      <c r="D3824" s="16" t="inlineStr">
        <is>
          <t>Unit</t>
        </is>
      </c>
      <c r="E3824" s="17" t="inlineStr">
        <is>
          <t>return-url.test.ts</t>
        </is>
      </c>
      <c r="F3824" s="17" t="inlineStr">
        <is>
          <t>safeReturnUrl</t>
        </is>
      </c>
      <c r="G3824" s="17" t="inlineStr">
        <is>
          <t>thiếu returnUrl thì về trang mặc định</t>
        </is>
      </c>
      <c r="H3824" s="17" t="inlineStr">
        <is>
          <t>safeReturnUrl thiếu returnUrl thì về trang mặc định</t>
        </is>
      </c>
      <c r="I3824" s="16" t="inlineStr">
        <is>
          <t>Đạt</t>
        </is>
      </c>
      <c r="J3824" s="16" t="n">
        <v>0</v>
      </c>
    </row>
    <row r="3825">
      <c r="A3825" s="16" t="n">
        <v>3821</v>
      </c>
      <c r="B3825" s="16" t="inlineStr">
        <is>
          <t>Frontend</t>
        </is>
      </c>
      <c r="C3825" s="17" t="inlineStr">
        <is>
          <t>auth</t>
        </is>
      </c>
      <c r="D3825" s="16" t="inlineStr">
        <is>
          <t>Unit</t>
        </is>
      </c>
      <c r="E3825" s="17" t="inlineStr">
        <is>
          <t>route.test.ts</t>
        </is>
      </c>
      <c r="F3825" s="17" t="inlineStr">
        <is>
          <t>GET /api/auth/token</t>
        </is>
      </c>
      <c r="G3825" s="17" t="inlineStr">
        <is>
          <t>trả token còn hạn kèm no-store</t>
        </is>
      </c>
      <c r="H3825" s="17" t="inlineStr">
        <is>
          <t>GET /api/auth/token trả token còn hạn kèm no-store</t>
        </is>
      </c>
      <c r="I3825" s="16" t="inlineStr">
        <is>
          <t>Đạt</t>
        </is>
      </c>
      <c r="J3825" s="16" t="n">
        <v>0.01</v>
      </c>
    </row>
    <row r="3826">
      <c r="A3826" s="16" t="n">
        <v>3822</v>
      </c>
      <c r="B3826" s="16" t="inlineStr">
        <is>
          <t>Frontend</t>
        </is>
      </c>
      <c r="C3826" s="17" t="inlineStr">
        <is>
          <t>auth</t>
        </is>
      </c>
      <c r="D3826" s="16" t="inlineStr">
        <is>
          <t>Unit</t>
        </is>
      </c>
      <c r="E3826" s="17" t="inlineStr">
        <is>
          <t>route.test.ts</t>
        </is>
      </c>
      <c r="F3826" s="17" t="inlineStr">
        <is>
          <t>GET /api/auth/token</t>
        </is>
      </c>
      <c r="G3826" s="17" t="inlineStr">
        <is>
          <t>chưa đăng nhập: 401 UNAUTHENTICATED</t>
        </is>
      </c>
      <c r="H3826" s="17" t="inlineStr">
        <is>
          <t>GET /api/auth/token chưa đăng nhập: 401 UNAUTHENTICATED</t>
        </is>
      </c>
      <c r="I3826" s="16" t="inlineStr">
        <is>
          <t>Đạt</t>
        </is>
      </c>
      <c r="J3826" s="16" t="n">
        <v>0.002</v>
      </c>
    </row>
    <row r="3827">
      <c r="A3827" s="16" t="n">
        <v>3823</v>
      </c>
      <c r="B3827" s="16" t="inlineStr">
        <is>
          <t>Frontend</t>
        </is>
      </c>
      <c r="C3827" s="17" t="inlineStr">
        <is>
          <t>auth</t>
        </is>
      </c>
      <c r="D3827" s="16" t="inlineStr">
        <is>
          <t>Unit</t>
        </is>
      </c>
      <c r="E3827" s="17" t="inlineStr">
        <is>
          <t>route.test.ts</t>
        </is>
      </c>
      <c r="F3827" s="17" t="inlineStr">
        <is>
          <t>GET /api/auth/token</t>
        </is>
      </c>
      <c r="G3827" s="17" t="inlineStr">
        <is>
          <t>phiên hết hạn: 401 SESSION_EXPIRED, và xoá cookie của ĐÚNG app</t>
        </is>
      </c>
      <c r="H3827" s="17" t="inlineStr">
        <is>
          <t>GET /api/auth/token phiên hết hạn: 401 SESSION_EXPIRED, và xoá cookie của ĐÚNG app</t>
        </is>
      </c>
      <c r="I3827" s="16" t="inlineStr">
        <is>
          <t>Đạt</t>
        </is>
      </c>
      <c r="J3827" s="16" t="n">
        <v>0.003</v>
      </c>
    </row>
    <row r="3828">
      <c r="A3828" s="16" t="n">
        <v>3824</v>
      </c>
      <c r="B3828" s="16" t="inlineStr">
        <is>
          <t>Frontend</t>
        </is>
      </c>
      <c r="C3828" s="17" t="inlineStr">
        <is>
          <t>auth</t>
        </is>
      </c>
      <c r="D3828" s="16" t="inlineStr">
        <is>
          <t>Unit</t>
        </is>
      </c>
      <c r="E3828" s="17" t="inlineStr">
        <is>
          <t>route.test.ts</t>
        </is>
      </c>
      <c r="F3828" s="17" t="inlineStr">
        <is>
          <t>GET /api/auth/token</t>
        </is>
      </c>
      <c r="G3828" s="17" t="inlineStr">
        <is>
          <t>Keycloak trục trặc: 503, KHÔNG phải 401</t>
        </is>
      </c>
      <c r="H3828" s="17" t="inlineStr">
        <is>
          <t>GET /api/auth/token Keycloak trục trặc: 503, KHÔNG phải 401</t>
        </is>
      </c>
      <c r="I3828" s="16" t="inlineStr">
        <is>
          <t>Đạt</t>
        </is>
      </c>
      <c r="J3828" s="16" t="n">
        <v>0.001</v>
      </c>
    </row>
    <row r="3829">
      <c r="A3829" s="16" t="n">
        <v>3825</v>
      </c>
      <c r="B3829" s="16" t="inlineStr">
        <is>
          <t>Frontend</t>
        </is>
      </c>
      <c r="C3829" s="17" t="inlineStr">
        <is>
          <t>auth</t>
        </is>
      </c>
      <c r="D3829" s="16" t="inlineStr">
        <is>
          <t>Unit</t>
        </is>
      </c>
      <c r="E3829" s="17" t="inlineStr">
        <is>
          <t>token-store.test.ts</t>
        </is>
      </c>
      <c r="F3829" s="17" t="inlineStr">
        <is>
          <t>store mặc định</t>
        </is>
      </c>
      <c r="G3829" s="17" t="inlineStr">
        <is>
          <t>cùng MỘT bản cho mọi module — nếu không thì đăng nhập xong là 401 ngay</t>
        </is>
      </c>
      <c r="H3829" s="17" t="inlineStr">
        <is>
          <t>store mặc định cùng MỘT bản cho mọi module — nếu không thì đăng nhập xong là 401 ngay</t>
        </is>
      </c>
      <c r="I3829" s="16" t="inlineStr">
        <is>
          <t>Đạt</t>
        </is>
      </c>
      <c r="J3829" s="16" t="n">
        <v>0.003</v>
      </c>
    </row>
    <row r="3830">
      <c r="A3830" s="16" t="n">
        <v>3826</v>
      </c>
      <c r="B3830" s="16" t="inlineStr">
        <is>
          <t>Frontend</t>
        </is>
      </c>
      <c r="C3830" s="17" t="inlineStr">
        <is>
          <t>auth</t>
        </is>
      </c>
      <c r="D3830" s="16" t="inlineStr">
        <is>
          <t>Unit</t>
        </is>
      </c>
      <c r="E3830" s="17" t="inlineStr">
        <is>
          <t>token-store.test.ts</t>
        </is>
      </c>
      <c r="F3830" s="17" t="inlineStr">
        <is>
          <t>store mặc định</t>
        </is>
      </c>
      <c r="G3830" s="17" t="inlineStr">
        <is>
          <t>production không cho chạy bản in-memory nếu chưa nói rõ là chấp nhận</t>
        </is>
      </c>
      <c r="H3830" s="17" t="inlineStr">
        <is>
          <t>store mặc định production không cho chạy bản in-memory nếu chưa nói rõ là chấp nhận</t>
        </is>
      </c>
      <c r="I3830" s="16" t="inlineStr">
        <is>
          <t>Đạt</t>
        </is>
      </c>
      <c r="J3830" s="16" t="n">
        <v>0.002</v>
      </c>
    </row>
    <row r="3831">
      <c r="A3831" s="16" t="n">
        <v>3827</v>
      </c>
      <c r="B3831" s="16" t="inlineStr">
        <is>
          <t>Frontend</t>
        </is>
      </c>
      <c r="C3831" s="17" t="inlineStr">
        <is>
          <t>auth</t>
        </is>
      </c>
      <c r="D3831" s="16" t="inlineStr">
        <is>
          <t>Unit</t>
        </is>
      </c>
      <c r="E3831" s="17" t="inlineStr">
        <is>
          <t>token-store.test.ts</t>
        </is>
      </c>
      <c r="F3831" s="17" t="inlineStr">
        <is>
          <t>store mặc định</t>
        </is>
      </c>
      <c r="G3831" s="17" t="inlineStr">
        <is>
          <t>production + cờ cho phép: chạy, vì có hệ thống thật sự chỉ một instance</t>
        </is>
      </c>
      <c r="H3831" s="17" t="inlineStr">
        <is>
          <t>store mặc định production + cờ cho phép: chạy, vì có hệ thống thật sự chỉ một instance</t>
        </is>
      </c>
      <c r="I3831" s="16" t="inlineStr">
        <is>
          <t>Đạt</t>
        </is>
      </c>
      <c r="J3831" s="16" t="n">
        <v>0.001</v>
      </c>
    </row>
    <row r="3832">
      <c r="A3832" s="16" t="n">
        <v>3828</v>
      </c>
      <c r="B3832" s="16" t="inlineStr">
        <is>
          <t>Frontend</t>
        </is>
      </c>
      <c r="C3832" s="17" t="inlineStr">
        <is>
          <t>auth</t>
        </is>
      </c>
      <c r="D3832" s="16" t="inlineStr">
        <is>
          <t>Unit</t>
        </is>
      </c>
      <c r="E3832" s="17" t="inlineStr">
        <is>
          <t>token-store.test.ts</t>
        </is>
      </c>
      <c r="F3832" s="17" t="inlineStr">
        <is>
          <t>InMemoryRefreshTokenStore</t>
        </is>
      </c>
      <c r="G3832" s="17" t="inlineStr">
        <is>
          <t>bản ghi hết hạn coi như không còn</t>
        </is>
      </c>
      <c r="H3832" s="17" t="inlineStr">
        <is>
          <t>InMemoryRefreshTokenStore bản ghi hết hạn coi như không còn</t>
        </is>
      </c>
      <c r="I3832" s="16" t="inlineStr">
        <is>
          <t>Đạt</t>
        </is>
      </c>
      <c r="J3832" s="16" t="n">
        <v>0.001</v>
      </c>
    </row>
    <row r="3833">
      <c r="A3833" s="16" t="n">
        <v>3829</v>
      </c>
      <c r="B3833" s="16" t="inlineStr">
        <is>
          <t>Frontend</t>
        </is>
      </c>
      <c r="C3833" s="17" t="inlineStr">
        <is>
          <t>auth</t>
        </is>
      </c>
      <c r="D3833" s="16" t="inlineStr">
        <is>
          <t>Unit</t>
        </is>
      </c>
      <c r="E3833" s="17" t="inlineStr">
        <is>
          <t>token-store.test.ts</t>
        </is>
      </c>
      <c r="F3833" s="17" t="inlineStr">
        <is>
          <t>InMemoryRefreshTokenStore</t>
        </is>
      </c>
      <c r="G3833" s="17" t="inlineStr">
        <is>
          <t>giữ lại access token đã lưu</t>
        </is>
      </c>
      <c r="H3833" s="17" t="inlineStr">
        <is>
          <t>InMemoryRefreshTokenStore giữ lại access token đã lưu</t>
        </is>
      </c>
      <c r="I3833" s="16" t="inlineStr">
        <is>
          <t>Đạt</t>
        </is>
      </c>
      <c r="J3833" s="16" t="n">
        <v>0</v>
      </c>
    </row>
    <row r="3834">
      <c r="A3834" s="16" t="n">
        <v>3830</v>
      </c>
      <c r="B3834" s="16" t="inlineStr">
        <is>
          <t>Frontend</t>
        </is>
      </c>
      <c r="C3834" s="17" t="inlineStr">
        <is>
          <t>web-customer</t>
        </is>
      </c>
      <c r="D3834" s="16" t="inlineStr">
        <is>
          <t>Unit</t>
        </is>
      </c>
      <c r="E3834" s="17" t="inlineStr">
        <is>
          <t>OrderList.test.tsx</t>
        </is>
      </c>
      <c r="F3834" s="17" t="inlineStr">
        <is>
          <t>OrderList</t>
        </is>
      </c>
      <c r="G3834" s="17" t="inlineStr">
        <is>
          <t>mỗi trạng thái có nhãn tiếng Việt riêng</t>
        </is>
      </c>
      <c r="H3834" s="17" t="inlineStr">
        <is>
          <t>OrderList mỗi trạng thái có nhãn tiếng Việt riêng</t>
        </is>
      </c>
      <c r="I3834" s="16" t="inlineStr">
        <is>
          <t>Đạt</t>
        </is>
      </c>
      <c r="J3834" s="16" t="n">
        <v>0.09</v>
      </c>
    </row>
    <row r="3835">
      <c r="A3835" s="16" t="n">
        <v>3831</v>
      </c>
      <c r="B3835" s="16" t="inlineStr">
        <is>
          <t>Frontend</t>
        </is>
      </c>
      <c r="C3835" s="17" t="inlineStr">
        <is>
          <t>web-customer</t>
        </is>
      </c>
      <c r="D3835" s="16" t="inlineStr">
        <is>
          <t>Unit</t>
        </is>
      </c>
      <c r="E3835" s="17" t="inlineStr">
        <is>
          <t>OrderList.test.tsx</t>
        </is>
      </c>
      <c r="F3835" s="17" t="inlineStr">
        <is>
          <t>OrderList</t>
        </is>
      </c>
      <c r="G3835" s="17" t="inlineStr">
        <is>
          <t>bộ lọc gộp sáu trạng thái thành ba việc, có số đếm trước khi bấm</t>
        </is>
      </c>
      <c r="H3835" s="17" t="inlineStr">
        <is>
          <t>OrderList bộ lọc gộp sáu trạng thái thành ba việc, có số đếm trước khi bấm</t>
        </is>
      </c>
      <c r="I3835" s="16" t="inlineStr">
        <is>
          <t>Đạt</t>
        </is>
      </c>
      <c r="J3835" s="16" t="n">
        <v>0.223</v>
      </c>
    </row>
    <row r="3836">
      <c r="A3836" s="16" t="n">
        <v>3832</v>
      </c>
      <c r="B3836" s="16" t="inlineStr">
        <is>
          <t>Frontend</t>
        </is>
      </c>
      <c r="C3836" s="17" t="inlineStr">
        <is>
          <t>web-customer</t>
        </is>
      </c>
      <c r="D3836" s="16" t="inlineStr">
        <is>
          <t>Unit</t>
        </is>
      </c>
      <c r="E3836" s="17" t="inlineStr">
        <is>
          <t>OrderList.test.tsx</t>
        </is>
      </c>
      <c r="F3836" s="17" t="inlineStr">
        <is>
          <t>OrderList</t>
        </is>
      </c>
      <c r="G3836" s="17" t="inlineStr">
        <is>
          <t>đơn đã thanh toán lấy được tên sự kiện qua ví vé; đơn chưa có vé thì hiện mã đơn</t>
        </is>
      </c>
      <c r="H3836" s="17" t="inlineStr">
        <is>
          <t>OrderList đơn đã thanh toán lấy được tên sự kiện qua ví vé; đơn chưa có vé thì hiện mã đơn</t>
        </is>
      </c>
      <c r="I3836" s="16" t="inlineStr">
        <is>
          <t>Đạt</t>
        </is>
      </c>
      <c r="J3836" s="16" t="n">
        <v>0.06</v>
      </c>
    </row>
    <row r="3837">
      <c r="A3837" s="16" t="n">
        <v>3833</v>
      </c>
      <c r="B3837" s="16" t="inlineStr">
        <is>
          <t>Frontend</t>
        </is>
      </c>
      <c r="C3837" s="17" t="inlineStr">
        <is>
          <t>web-customer</t>
        </is>
      </c>
      <c r="D3837" s="16" t="inlineStr">
        <is>
          <t>Unit</t>
        </is>
      </c>
      <c r="E3837" s="17" t="inlineStr">
        <is>
          <t>OrderList.test.tsx</t>
        </is>
      </c>
      <c r="F3837" s="17" t="inlineStr">
        <is>
          <t>OrderList</t>
        </is>
      </c>
      <c r="G3837" s="17" t="inlineStr">
        <is>
          <t>gộp các dòng cùng hạng vé: hai vé đứng thành một dòng ×2</t>
        </is>
      </c>
      <c r="H3837" s="17" t="inlineStr">
        <is>
          <t>OrderList gộp các dòng cùng hạng vé: hai vé đứng thành một dòng ×2</t>
        </is>
      </c>
      <c r="I3837" s="16" t="inlineStr">
        <is>
          <t>Đạt</t>
        </is>
      </c>
      <c r="J3837" s="16" t="n">
        <v>0.032</v>
      </c>
    </row>
    <row r="3838">
      <c r="A3838" s="16" t="n">
        <v>3834</v>
      </c>
      <c r="B3838" s="16" t="inlineStr">
        <is>
          <t>Frontend</t>
        </is>
      </c>
      <c r="C3838" s="17" t="inlineStr">
        <is>
          <t>web-customer</t>
        </is>
      </c>
      <c r="D3838" s="16" t="inlineStr">
        <is>
          <t>Unit</t>
        </is>
      </c>
      <c r="E3838" s="17" t="inlineStr">
        <is>
          <t>OrderList.test.tsx</t>
        </is>
      </c>
      <c r="F3838" s="17" t="inlineStr">
        <is>
          <t>OrderList</t>
        </is>
      </c>
      <c r="G3838" s="17" t="inlineStr">
        <is>
          <t>chỉ đơn chờ thanh toán có nút payOS và nút huỷ</t>
        </is>
      </c>
      <c r="H3838" s="17" t="inlineStr">
        <is>
          <t>OrderList chỉ đơn chờ thanh toán có nút payOS và nút huỷ</t>
        </is>
      </c>
      <c r="I3838" s="16" t="inlineStr">
        <is>
          <t>Đạt</t>
        </is>
      </c>
      <c r="J3838" s="16" t="n">
        <v>0.073</v>
      </c>
    </row>
    <row r="3839">
      <c r="A3839" s="16" t="n">
        <v>3835</v>
      </c>
      <c r="B3839" s="16" t="inlineStr">
        <is>
          <t>Frontend</t>
        </is>
      </c>
      <c r="C3839" s="17" t="inlineStr">
        <is>
          <t>web-customer</t>
        </is>
      </c>
      <c r="D3839" s="16" t="inlineStr">
        <is>
          <t>Unit</t>
        </is>
      </c>
      <c r="E3839" s="17" t="inlineStr">
        <is>
          <t>OrderList.test.tsx</t>
        </is>
      </c>
      <c r="F3839" s="17" t="inlineStr">
        <is>
          <t>OrderList</t>
        </is>
      </c>
      <c r="G3839" s="17" t="inlineStr">
        <is>
          <t>huỷ đơn: POST /cancel, báo thành công, làm mới danh sách</t>
        </is>
      </c>
      <c r="H3839" s="17" t="inlineStr">
        <is>
          <t>OrderList huỷ đơn: POST /cancel, báo thành công, làm mới danh sách</t>
        </is>
      </c>
      <c r="I3839" s="16" t="inlineStr">
        <is>
          <t>Đạt</t>
        </is>
      </c>
      <c r="J3839" s="16" t="n">
        <v>0.101</v>
      </c>
    </row>
    <row r="3840">
      <c r="A3840" s="16" t="n">
        <v>3836</v>
      </c>
      <c r="B3840" s="16" t="inlineStr">
        <is>
          <t>Frontend</t>
        </is>
      </c>
      <c r="C3840" s="17" t="inlineStr">
        <is>
          <t>web-customer</t>
        </is>
      </c>
      <c r="D3840" s="16" t="inlineStr">
        <is>
          <t>Unit</t>
        </is>
      </c>
      <c r="E3840" s="17" t="inlineStr">
        <is>
          <t>OrderList.test.tsx</t>
        </is>
      </c>
      <c r="F3840" s="17" t="inlineStr">
        <is>
          <t>OrderList</t>
        </is>
      </c>
      <c r="G3840" s="17" t="inlineStr">
        <is>
          <t>huỷ đơn bị từ chối thì hiện lỗi dạng alert, không báo thành công</t>
        </is>
      </c>
      <c r="H3840" s="17" t="inlineStr">
        <is>
          <t>OrderList huỷ đơn bị từ chối thì hiện lỗi dạng alert, không báo thành công</t>
        </is>
      </c>
      <c r="I3840" s="16" t="inlineStr">
        <is>
          <t>Đạt</t>
        </is>
      </c>
      <c r="J3840" s="16" t="n">
        <v>0.109</v>
      </c>
    </row>
    <row r="3841">
      <c r="A3841" s="16" t="n">
        <v>3837</v>
      </c>
      <c r="B3841" s="16" t="inlineStr">
        <is>
          <t>Frontend</t>
        </is>
      </c>
      <c r="C3841" s="17" t="inlineStr">
        <is>
          <t>web-customer</t>
        </is>
      </c>
      <c r="D3841" s="16" t="inlineStr">
        <is>
          <t>Unit</t>
        </is>
      </c>
      <c r="E3841" s="17" t="inlineStr">
        <is>
          <t>OrderList.test.tsx</t>
        </is>
      </c>
      <c r="F3841" s="17" t="inlineStr">
        <is>
          <t>OrderList</t>
        </is>
      </c>
      <c r="G3841" s="17" t="inlineStr">
        <is>
          <t>chưa có đơn nào thì mời đi xem sự kiện</t>
        </is>
      </c>
      <c r="H3841" s="17" t="inlineStr">
        <is>
          <t>OrderList chưa có đơn nào thì mời đi xem sự kiện</t>
        </is>
      </c>
      <c r="I3841" s="16" t="inlineStr">
        <is>
          <t>Đạt</t>
        </is>
      </c>
      <c r="J3841" s="16" t="n">
        <v>0.036</v>
      </c>
    </row>
    <row r="3842">
      <c r="A3842" s="16" t="n">
        <v>3838</v>
      </c>
      <c r="B3842" s="16" t="inlineStr">
        <is>
          <t>Frontend</t>
        </is>
      </c>
      <c r="C3842" s="17" t="inlineStr">
        <is>
          <t>web-customer</t>
        </is>
      </c>
      <c r="D3842" s="16" t="inlineStr">
        <is>
          <t>Unit</t>
        </is>
      </c>
      <c r="E3842" s="17" t="inlineStr">
        <is>
          <t>OrderList.test.tsx</t>
        </is>
      </c>
      <c r="F3842" s="17" t="inlineStr">
        <is>
          <t>OrderList</t>
        </is>
      </c>
      <c r="G3842" s="17" t="inlineStr">
        <is>
          <t>API lỗi thì hiện khối lỗi thay vì danh sách trống</t>
        </is>
      </c>
      <c r="H3842" s="17" t="inlineStr">
        <is>
          <t>OrderList API lỗi thì hiện khối lỗi thay vì danh sách trống</t>
        </is>
      </c>
      <c r="I3842" s="16" t="inlineStr">
        <is>
          <t>Đạt</t>
        </is>
      </c>
      <c r="J3842" s="16" t="n">
        <v>0.025</v>
      </c>
    </row>
    <row r="3843">
      <c r="A3843" s="16" t="n">
        <v>3839</v>
      </c>
      <c r="B3843" s="16" t="inlineStr">
        <is>
          <t>Frontend</t>
        </is>
      </c>
      <c r="C3843" s="17" t="inlineStr">
        <is>
          <t>web-customer</t>
        </is>
      </c>
      <c r="D3843" s="16" t="inlineStr">
        <is>
          <t>Unit</t>
        </is>
      </c>
      <c r="E3843" s="17" t="inlineStr">
        <is>
          <t>PaymentPanel.test.tsx</t>
        </is>
      </c>
      <c r="F3843" s="17" t="inlineStr">
        <is>
          <t>PaymentPanel</t>
        </is>
      </c>
      <c r="G3843" s="17" t="inlineStr">
        <is>
          <t>đơn chờ tiền: link payOS là thẻ &lt;a&gt; cùng tab, có QR, tóm tắt nói rõ sự kiện nào</t>
        </is>
      </c>
      <c r="H3843" s="17" t="inlineStr">
        <is>
          <t>PaymentPanel đơn chờ tiền: link payOS là thẻ &lt;a&gt; cùng tab, có QR, tóm tắt nói rõ sự kiện nào</t>
        </is>
      </c>
      <c r="I3843" s="16" t="inlineStr">
        <is>
          <t>Đạt</t>
        </is>
      </c>
      <c r="J3843" s="16" t="n">
        <v>0.196</v>
      </c>
    </row>
    <row r="3844">
      <c r="A3844" s="16" t="n">
        <v>3840</v>
      </c>
      <c r="B3844" s="16" t="inlineStr">
        <is>
          <t>Frontend</t>
        </is>
      </c>
      <c r="C3844" s="17" t="inlineStr">
        <is>
          <t>web-customer</t>
        </is>
      </c>
      <c r="D3844" s="16" t="inlineStr">
        <is>
          <t>Unit</t>
        </is>
      </c>
      <c r="E3844" s="17" t="inlineStr">
        <is>
          <t>PaymentPanel.test.tsx</t>
        </is>
      </c>
      <c r="F3844" s="17" t="inlineStr">
        <is>
          <t>PaymentPanel</t>
        </is>
      </c>
      <c r="G3844" s="17" t="inlineStr">
        <is>
          <t>không có cả link payOS lẫn QR thì nói thẳng khách phải làm gì</t>
        </is>
      </c>
      <c r="H3844" s="17" t="inlineStr">
        <is>
          <t>PaymentPanel không có cả link payOS lẫn QR thì nói thẳng khách phải làm gì</t>
        </is>
      </c>
      <c r="I3844" s="16" t="inlineStr">
        <is>
          <t>Đạt</t>
        </is>
      </c>
      <c r="J3844" s="16" t="n">
        <v>0.03</v>
      </c>
    </row>
    <row r="3845">
      <c r="A3845" s="16" t="n">
        <v>3841</v>
      </c>
      <c r="B3845" s="16" t="inlineStr">
        <is>
          <t>Frontend</t>
        </is>
      </c>
      <c r="C3845" s="17" t="inlineStr">
        <is>
          <t>web-customer</t>
        </is>
      </c>
      <c r="D3845" s="16" t="inlineStr">
        <is>
          <t>Unit</t>
        </is>
      </c>
      <c r="E3845" s="17" t="inlineStr">
        <is>
          <t>PaymentPanel.test.tsx</t>
        </is>
      </c>
      <c r="F3845" s="17" t="inlineStr">
        <is>
          <t>PaymentPanel</t>
        </is>
      </c>
      <c r="G3845" s="17" t="inlineStr">
        <is>
          <t>đã trả tiền thì chuyển NGAY sang trang vé bằng replace</t>
        </is>
      </c>
      <c r="H3845" s="17" t="inlineStr">
        <is>
          <t>PaymentPanel đã trả tiền thì chuyển NGAY sang trang vé bằng replace</t>
        </is>
      </c>
      <c r="I3845" s="16" t="inlineStr">
        <is>
          <t>Đạt</t>
        </is>
      </c>
      <c r="J3845" s="16" t="n">
        <v>0.034</v>
      </c>
    </row>
    <row r="3846">
      <c r="A3846" s="16" t="n">
        <v>3842</v>
      </c>
      <c r="B3846" s="16" t="inlineStr">
        <is>
          <t>Frontend</t>
        </is>
      </c>
      <c r="C3846" s="17" t="inlineStr">
        <is>
          <t>web-customer</t>
        </is>
      </c>
      <c r="D3846" s="16" t="inlineStr">
        <is>
          <t>Unit</t>
        </is>
      </c>
      <c r="E3846" s="17" t="inlineStr">
        <is>
          <t>PaymentPanel.test.tsx</t>
        </is>
      </c>
      <c r="F3846" s="17" t="inlineStr">
        <is>
          <t>PaymentPanel</t>
        </is>
      </c>
      <c r="G3846" s="17" t="inlineStr">
        <is>
          <t>đơn EXPIRED: không còn QR hay link trả tiền</t>
        </is>
      </c>
      <c r="H3846" s="17" t="inlineStr">
        <is>
          <t>PaymentPanel đơn EXPIRED: không còn QR hay link trả tiền</t>
        </is>
      </c>
      <c r="I3846" s="16" t="inlineStr">
        <is>
          <t>Đạt</t>
        </is>
      </c>
      <c r="J3846" s="16" t="n">
        <v>0.038</v>
      </c>
    </row>
    <row r="3847">
      <c r="A3847" s="16" t="n">
        <v>3843</v>
      </c>
      <c r="B3847" s="16" t="inlineStr">
        <is>
          <t>Frontend</t>
        </is>
      </c>
      <c r="C3847" s="17" t="inlineStr">
        <is>
          <t>web-customer</t>
        </is>
      </c>
      <c r="D3847" s="16" t="inlineStr">
        <is>
          <t>Unit</t>
        </is>
      </c>
      <c r="E3847" s="17" t="inlineStr">
        <is>
          <t>PaymentPanel.test.tsx</t>
        </is>
      </c>
      <c r="F3847" s="17" t="inlineStr">
        <is>
          <t>PaymentPanel</t>
        </is>
      </c>
      <c r="G3847" s="17" t="inlineStr">
        <is>
          <t>đơn CANCELLED: không còn QR hay link trả tiền</t>
        </is>
      </c>
      <c r="H3847" s="17" t="inlineStr">
        <is>
          <t>PaymentPanel đơn CANCELLED: không còn QR hay link trả tiền</t>
        </is>
      </c>
      <c r="I3847" s="16" t="inlineStr">
        <is>
          <t>Đạt</t>
        </is>
      </c>
      <c r="J3847" s="16" t="n">
        <v>0.024</v>
      </c>
    </row>
    <row r="3848">
      <c r="A3848" s="16" t="n">
        <v>3844</v>
      </c>
      <c r="B3848" s="16" t="inlineStr">
        <is>
          <t>Frontend</t>
        </is>
      </c>
      <c r="C3848" s="17" t="inlineStr">
        <is>
          <t>web-customer</t>
        </is>
      </c>
      <c r="D3848" s="16" t="inlineStr">
        <is>
          <t>Unit</t>
        </is>
      </c>
      <c r="E3848" s="17" t="inlineStr">
        <is>
          <t>PaymentPanel.test.tsx</t>
        </is>
      </c>
      <c r="F3848" s="17" t="inlineStr">
        <is>
          <t>PaymentPanel</t>
        </is>
      </c>
      <c r="G3848" s="17" t="inlineStr">
        <is>
          <t>đơn REFUNDED: không còn QR hay link trả tiền</t>
        </is>
      </c>
      <c r="H3848" s="17" t="inlineStr">
        <is>
          <t>PaymentPanel đơn REFUNDED: không còn QR hay link trả tiền</t>
        </is>
      </c>
      <c r="I3848" s="16" t="inlineStr">
        <is>
          <t>Đạt</t>
        </is>
      </c>
      <c r="J3848" s="16" t="n">
        <v>0.027</v>
      </c>
    </row>
    <row r="3849">
      <c r="A3849" s="16" t="n">
        <v>3845</v>
      </c>
      <c r="B3849" s="16" t="inlineStr">
        <is>
          <t>Frontend</t>
        </is>
      </c>
      <c r="C3849" s="17" t="inlineStr">
        <is>
          <t>web-customer</t>
        </is>
      </c>
      <c r="D3849" s="16" t="inlineStr">
        <is>
          <t>Unit</t>
        </is>
      </c>
      <c r="E3849" s="17" t="inlineStr">
        <is>
          <t>PaymentPanel.test.tsx</t>
        </is>
      </c>
      <c r="F3849" s="17" t="inlineStr">
        <is>
          <t>PaymentPanel</t>
        </is>
      </c>
      <c r="G3849" s="17" t="inlineStr">
        <is>
          <t>tiền tới sau khi đơn hết hạn: nói rõ là ĐÃ nhận tiền và sẽ hoàn</t>
        </is>
      </c>
      <c r="H3849" s="17" t="inlineStr">
        <is>
          <t>PaymentPanel tiền tới sau khi đơn hết hạn: nói rõ là ĐÃ nhận tiền và sẽ hoàn</t>
        </is>
      </c>
      <c r="I3849" s="16" t="inlineStr">
        <is>
          <t>Đạt</t>
        </is>
      </c>
      <c r="J3849" s="16" t="n">
        <v>0.023</v>
      </c>
    </row>
    <row r="3850">
      <c r="A3850" s="16" t="n">
        <v>3846</v>
      </c>
      <c r="B3850" s="16" t="inlineStr">
        <is>
          <t>Frontend</t>
        </is>
      </c>
      <c r="C3850" s="17" t="inlineStr">
        <is>
          <t>web-customer</t>
        </is>
      </c>
      <c r="D3850" s="16" t="inlineStr">
        <is>
          <t>Unit</t>
        </is>
      </c>
      <c r="E3850" s="17" t="inlineStr">
        <is>
          <t>PaymentPanel.test.tsx</t>
        </is>
      </c>
      <c r="F3850" s="17" t="inlineStr">
        <is>
          <t>PaymentPanel</t>
        </is>
      </c>
      <c r="G3850" s="17" t="inlineStr">
        <is>
          <t>đồng hồ chạy hết thì hỏi lại backend và chuyển sang trạng thái đã đóng</t>
        </is>
      </c>
      <c r="H3850" s="17" t="inlineStr">
        <is>
          <t>PaymentPanel đồng hồ chạy hết thì hỏi lại backend và chuyển sang trạng thái đã đóng</t>
        </is>
      </c>
      <c r="I3850" s="16" t="inlineStr">
        <is>
          <t>Đạt</t>
        </is>
      </c>
      <c r="J3850" s="16" t="n">
        <v>0.044</v>
      </c>
    </row>
    <row r="3851">
      <c r="A3851" s="16" t="n">
        <v>3847</v>
      </c>
      <c r="B3851" s="16" t="inlineStr">
        <is>
          <t>Frontend</t>
        </is>
      </c>
      <c r="C3851" s="17" t="inlineStr">
        <is>
          <t>web-customer</t>
        </is>
      </c>
      <c r="D3851" s="16" t="inlineStr">
        <is>
          <t>Unit</t>
        </is>
      </c>
      <c r="E3851" s="17" t="inlineStr">
        <is>
          <t>PaymentPanel.test.tsx</t>
        </is>
      </c>
      <c r="F3851" s="17" t="inlineStr">
        <is>
          <t>PaymentPanel</t>
        </is>
      </c>
      <c r="G3851" s="17" t="inlineStr">
        <is>
          <t>suất diễn không có trong bảng tra thì không bịa tên sự kiện, vẫn hiện mã đơn</t>
        </is>
      </c>
      <c r="H3851" s="17" t="inlineStr">
        <is>
          <t>PaymentPanel suất diễn không có trong bảng tra thì không bịa tên sự kiện, vẫn hiện mã đơn</t>
        </is>
      </c>
      <c r="I3851" s="16" t="inlineStr">
        <is>
          <t>Đạt</t>
        </is>
      </c>
      <c r="J3851" s="16" t="n">
        <v>0.039</v>
      </c>
    </row>
    <row r="3852">
      <c r="A3852" s="16" t="n">
        <v>3848</v>
      </c>
      <c r="B3852" s="16" t="inlineStr">
        <is>
          <t>Frontend</t>
        </is>
      </c>
      <c r="C3852" s="17" t="inlineStr">
        <is>
          <t>web-customer</t>
        </is>
      </c>
      <c r="D3852" s="16" t="inlineStr">
        <is>
          <t>Unit</t>
        </is>
      </c>
      <c r="E3852" s="17" t="inlineStr">
        <is>
          <t>SeatPicker.test.tsx</t>
        </is>
      </c>
      <c r="F3852" s="17" t="inlineStr">
        <is>
          <t>SeatPicker</t>
        </is>
      </c>
      <c r="G3852" s="17" t="inlineStr">
        <is>
          <t>liệt kê khu đắt trước, đếm chỉ ghế AVAILABLE, khu đứng ghi rõ không đánh số</t>
        </is>
      </c>
      <c r="H3852" s="17" t="inlineStr">
        <is>
          <t>SeatPicker liệt kê khu đắt trước, đếm chỉ ghế AVAILABLE, khu đứng ghi rõ không đánh số</t>
        </is>
      </c>
      <c r="I3852" s="16" t="inlineStr">
        <is>
          <t>Đạt</t>
        </is>
      </c>
      <c r="J3852" s="16" t="n">
        <v>0.207</v>
      </c>
    </row>
    <row r="3853">
      <c r="A3853" s="16" t="n">
        <v>3849</v>
      </c>
      <c r="B3853" s="16" t="inlineStr">
        <is>
          <t>Frontend</t>
        </is>
      </c>
      <c r="C3853" s="17" t="inlineStr">
        <is>
          <t>web-customer</t>
        </is>
      </c>
      <c r="D3853" s="16" t="inlineStr">
        <is>
          <t>Unit</t>
        </is>
      </c>
      <c r="E3853" s="17" t="inlineStr">
        <is>
          <t>SeatPicker.test.tsx</t>
        </is>
      </c>
      <c r="F3853" s="17" t="inlineStr">
        <is>
          <t>SeatPicker</t>
        </is>
      </c>
      <c r="G3853" s="17" t="inlineStr">
        <is>
          <t>nút "+" khoá khi đã chọn hết số chỗ còn trống của khu</t>
        </is>
      </c>
      <c r="H3853" s="17" t="inlineStr">
        <is>
          <t>SeatPicker nút "+" khoá khi đã chọn hết số chỗ còn trống của khu</t>
        </is>
      </c>
      <c r="I3853" s="16" t="inlineStr">
        <is>
          <t>Đạt</t>
        </is>
      </c>
      <c r="J3853" s="16" t="n">
        <v>0.162</v>
      </c>
    </row>
    <row r="3854">
      <c r="A3854" s="16" t="n">
        <v>3850</v>
      </c>
      <c r="B3854" s="16" t="inlineStr">
        <is>
          <t>Frontend</t>
        </is>
      </c>
      <c r="C3854" s="17" t="inlineStr">
        <is>
          <t>web-customer</t>
        </is>
      </c>
      <c r="D3854" s="16" t="inlineStr">
        <is>
          <t>Unit</t>
        </is>
      </c>
      <c r="E3854" s="17" t="inlineStr">
        <is>
          <t>SeatPicker.test.tsx</t>
        </is>
      </c>
      <c r="F3854" s="17" t="inlineStr">
        <is>
          <t>SeatPicker</t>
        </is>
      </c>
      <c r="G3854" s="17" t="inlineStr">
        <is>
          <t>vượt trần mua thì báo lỗi và khoá nút đặt, kể cả khi đã đồng ý điều khoản</t>
        </is>
      </c>
      <c r="H3854" s="17" t="inlineStr">
        <is>
          <t>SeatPicker vượt trần mua thì báo lỗi và khoá nút đặt, kể cả khi đã đồng ý điều khoản</t>
        </is>
      </c>
      <c r="I3854" s="16" t="inlineStr">
        <is>
          <t>Đạt</t>
        </is>
      </c>
      <c r="J3854" s="16" t="n">
        <v>0.583</v>
      </c>
    </row>
    <row r="3855">
      <c r="A3855" s="16" t="n">
        <v>3851</v>
      </c>
      <c r="B3855" s="16" t="inlineStr">
        <is>
          <t>Frontend</t>
        </is>
      </c>
      <c r="C3855" s="17" t="inlineStr">
        <is>
          <t>web-customer</t>
        </is>
      </c>
      <c r="D3855" s="16" t="inlineStr">
        <is>
          <t>Unit</t>
        </is>
      </c>
      <c r="E3855" s="17" t="inlineStr">
        <is>
          <t>SeatPicker.test.tsx</t>
        </is>
      </c>
      <c r="F3855" s="17" t="inlineStr">
        <is>
          <t>SeatPicker</t>
        </is>
      </c>
      <c r="G3855" s="17" t="inlineStr">
        <is>
          <t>chưa tick đồng ý điều khoản thì không đặt được — ô không tick sẵn</t>
        </is>
      </c>
      <c r="H3855" s="17" t="inlineStr">
        <is>
          <t>SeatPicker chưa tick đồng ý điều khoản thì không đặt được — ô không tick sẵn</t>
        </is>
      </c>
      <c r="I3855" s="16" t="inlineStr">
        <is>
          <t>Đạt</t>
        </is>
      </c>
      <c r="J3855" s="16" t="n">
        <v>0.136</v>
      </c>
    </row>
    <row r="3856">
      <c r="A3856" s="16" t="n">
        <v>3852</v>
      </c>
      <c r="B3856" s="16" t="inlineStr">
        <is>
          <t>Frontend</t>
        </is>
      </c>
      <c r="C3856" s="17" t="inlineStr">
        <is>
          <t>web-customer</t>
        </is>
      </c>
      <c r="D3856" s="16" t="inlineStr">
        <is>
          <t>Unit</t>
        </is>
      </c>
      <c r="E3856" s="17" t="inlineStr">
        <is>
          <t>SeatPicker.test.tsx</t>
        </is>
      </c>
      <c r="F3856" s="17" t="inlineStr">
        <is>
          <t>SeatPicker</t>
        </is>
      </c>
      <c r="G3856" s="17" t="inlineStr">
        <is>
          <t>giữ chỗ theo khu rồi đặt đơn với HAI khoá chống trùng khác nhau, rồi sang trang thanh toán</t>
        </is>
      </c>
      <c r="H3856" s="17" t="inlineStr">
        <is>
          <t>SeatPicker giữ chỗ theo khu rồi đặt đơn với HAI khoá chống trùng khác nhau, rồi sang trang thanh toán</t>
        </is>
      </c>
      <c r="I3856" s="16" t="inlineStr">
        <is>
          <t>Đạt</t>
        </is>
      </c>
      <c r="J3856" s="16" t="n">
        <v>0.392</v>
      </c>
    </row>
    <row r="3857">
      <c r="A3857" s="16" t="n">
        <v>3853</v>
      </c>
      <c r="B3857" s="16" t="inlineStr">
        <is>
          <t>Frontend</t>
        </is>
      </c>
      <c r="C3857" s="17" t="inlineStr">
        <is>
          <t>web-customer</t>
        </is>
      </c>
      <c r="D3857" s="16" t="inlineStr">
        <is>
          <t>Unit</t>
        </is>
      </c>
      <c r="E3857" s="17" t="inlineStr">
        <is>
          <t>SeatPicker.test.tsx</t>
        </is>
      </c>
      <c r="F3857" s="17" t="inlineStr">
        <is>
          <t>SeatPicker</t>
        </is>
      </c>
      <c r="G3857" s="17" t="inlineStr">
        <is>
          <t>giữ chỗ bị từ chối: câu tiếng Việt từ từ điển lỗi (không phải detail tiếng Anh), xoá lựa chọn, tải lại sơ đồ</t>
        </is>
      </c>
      <c r="H3857" s="17" t="inlineStr">
        <is>
          <t>SeatPicker giữ chỗ bị từ chối: câu tiếng Việt từ từ điển lỗi (không phải detail tiếng Anh), xoá lựa chọn, tải lại sơ đồ</t>
        </is>
      </c>
      <c r="I3857" s="16" t="inlineStr">
        <is>
          <t>Đạt</t>
        </is>
      </c>
      <c r="J3857" s="16" t="n">
        <v>0.243</v>
      </c>
    </row>
    <row r="3858">
      <c r="A3858" s="16" t="n">
        <v>3854</v>
      </c>
      <c r="B3858" s="16" t="inlineStr">
        <is>
          <t>Frontend</t>
        </is>
      </c>
      <c r="C3858" s="17" t="inlineStr">
        <is>
          <t>web-customer</t>
        </is>
      </c>
      <c r="D3858" s="16" t="inlineStr">
        <is>
          <t>Unit</t>
        </is>
      </c>
      <c r="E3858" s="17" t="inlineStr">
        <is>
          <t>SeatPicker.test.tsx</t>
        </is>
      </c>
      <c r="F3858" s="17" t="inlineStr">
        <is>
          <t>SeatPicker</t>
        </is>
      </c>
      <c r="G3858" s="17" t="inlineStr">
        <is>
          <t>hết sạch chỗ thì báo "Suất này đã bán hết"</t>
        </is>
      </c>
      <c r="H3858" s="17" t="inlineStr">
        <is>
          <t>SeatPicker hết sạch chỗ thì báo "Suất này đã bán hết"</t>
        </is>
      </c>
      <c r="I3858" s="16" t="inlineStr">
        <is>
          <t>Đạt</t>
        </is>
      </c>
      <c r="J3858" s="16" t="n">
        <v>0.03</v>
      </c>
    </row>
    <row r="3859">
      <c r="A3859" s="16" t="n">
        <v>3855</v>
      </c>
      <c r="B3859" s="16" t="inlineStr">
        <is>
          <t>Frontend</t>
        </is>
      </c>
      <c r="C3859" s="17" t="inlineStr">
        <is>
          <t>web-customer</t>
        </is>
      </c>
      <c r="D3859" s="16" t="inlineStr">
        <is>
          <t>Unit</t>
        </is>
      </c>
      <c r="E3859" s="17" t="inlineStr">
        <is>
          <t>SeatPicker.test.tsx</t>
        </is>
      </c>
      <c r="F3859" s="17" t="inlineStr">
        <is>
          <t>SeatPicker</t>
        </is>
      </c>
      <c r="G3859" s="17" t="inlineStr">
        <is>
          <t>tên khu chứa HTML do ban tổ chức đặt hiện ra thành chữ</t>
        </is>
      </c>
      <c r="H3859" s="17" t="inlineStr">
        <is>
          <t>SeatPicker tên khu chứa HTML do ban tổ chức đặt hiện ra thành chữ</t>
        </is>
      </c>
      <c r="I3859" s="16" t="inlineStr">
        <is>
          <t>Đạt</t>
        </is>
      </c>
      <c r="J3859" s="16" t="n">
        <v>0.05</v>
      </c>
    </row>
    <row r="3860">
      <c r="A3860" s="16" t="n">
        <v>3856</v>
      </c>
      <c r="B3860" s="16" t="inlineStr">
        <is>
          <t>Frontend</t>
        </is>
      </c>
      <c r="C3860" s="17" t="inlineStr">
        <is>
          <t>web-customer</t>
        </is>
      </c>
      <c r="D3860" s="16" t="inlineStr">
        <is>
          <t>Unit</t>
        </is>
      </c>
      <c r="E3860" s="17" t="inlineStr">
        <is>
          <t>auth-popup.test.ts</t>
        </is>
      </c>
      <c r="F3860" s="17" t="inlineStr">
        <is>
          <t>openAuthPopup</t>
        </is>
      </c>
      <c r="G3860" s="17" t="inlineStr">
        <is>
          <t>mở /auth/start với đúng mode, căn giữa cửa sổ hiện tại</t>
        </is>
      </c>
      <c r="H3860" s="17" t="inlineStr">
        <is>
          <t>openAuthPopup mở /auth/start với đúng mode, căn giữa cửa sổ hiện tại</t>
        </is>
      </c>
      <c r="I3860" s="16" t="inlineStr">
        <is>
          <t>Đạt</t>
        </is>
      </c>
      <c r="J3860" s="16" t="n">
        <v>0.003</v>
      </c>
    </row>
    <row r="3861">
      <c r="A3861" s="16" t="n">
        <v>3857</v>
      </c>
      <c r="B3861" s="16" t="inlineStr">
        <is>
          <t>Frontend</t>
        </is>
      </c>
      <c r="C3861" s="17" t="inlineStr">
        <is>
          <t>web-customer</t>
        </is>
      </c>
      <c r="D3861" s="16" t="inlineStr">
        <is>
          <t>Unit</t>
        </is>
      </c>
      <c r="E3861" s="17" t="inlineStr">
        <is>
          <t>auth-popup.test.ts</t>
        </is>
      </c>
      <c r="F3861" s="17" t="inlineStr">
        <is>
          <t>openAuthPopup</t>
        </is>
      </c>
      <c r="G3861" s="17" t="inlineStr">
        <is>
          <t>trình duyệt chặn popup (null hoặc đã đóng ngay) thì trả null để nơi gọi rơi về chuyển trang</t>
        </is>
      </c>
      <c r="H3861" s="17" t="inlineStr">
        <is>
          <t>openAuthPopup trình duyệt chặn popup (null hoặc đã đóng ngay) thì trả null để nơi gọi rơi về chuyển trang</t>
        </is>
      </c>
      <c r="I3861" s="16" t="inlineStr">
        <is>
          <t>Đạt</t>
        </is>
      </c>
      <c r="J3861" s="16" t="n">
        <v>0.001</v>
      </c>
    </row>
    <row r="3862">
      <c r="A3862" s="16" t="n">
        <v>3858</v>
      </c>
      <c r="B3862" s="16" t="inlineStr">
        <is>
          <t>Frontend</t>
        </is>
      </c>
      <c r="C3862" s="17" t="inlineStr">
        <is>
          <t>web-customer</t>
        </is>
      </c>
      <c r="D3862" s="16" t="inlineStr">
        <is>
          <t>Unit</t>
        </is>
      </c>
      <c r="E3862" s="17" t="inlineStr">
        <is>
          <t>auth-popup.test.ts</t>
        </is>
      </c>
      <c r="F3862" s="17" t="inlineStr">
        <is>
          <t>openAuthPopup</t>
        </is>
      </c>
      <c r="G3862" s="17" t="inlineStr">
        <is>
          <t>cửa sổ nhỏ hơn popup thì không đặt toạ độ âm</t>
        </is>
      </c>
      <c r="H3862" s="17" t="inlineStr">
        <is>
          <t>openAuthPopup cửa sổ nhỏ hơn popup thì không đặt toạ độ âm</t>
        </is>
      </c>
      <c r="I3862" s="16" t="inlineStr">
        <is>
          <t>Đạt</t>
        </is>
      </c>
      <c r="J3862" s="16" t="n">
        <v>0</v>
      </c>
    </row>
    <row r="3863">
      <c r="A3863" s="16" t="n">
        <v>3859</v>
      </c>
      <c r="B3863" s="16" t="inlineStr">
        <is>
          <t>Frontend</t>
        </is>
      </c>
      <c r="C3863" s="17" t="inlineStr">
        <is>
          <t>web-customer</t>
        </is>
      </c>
      <c r="D3863" s="16" t="inlineStr">
        <is>
          <t>Unit</t>
        </is>
      </c>
      <c r="E3863" s="17" t="inlineStr">
        <is>
          <t>auth-popup.test.ts</t>
        </is>
      </c>
      <c r="F3863" s="17" t="inlineStr">
        <is>
          <t>redirectToAuth</t>
        </is>
      </c>
      <c r="G3863" s="17" t="inlineStr">
        <is>
          <t>mã hoá returnTo thành tham số truy vấn, không ghép chuỗi trần</t>
        </is>
      </c>
      <c r="H3863" s="17" t="inlineStr">
        <is>
          <t>redirectToAuth mã hoá returnTo thành tham số truy vấn, không ghép chuỗi trần</t>
        </is>
      </c>
      <c r="I3863" s="16" t="inlineStr">
        <is>
          <t>Đạt</t>
        </is>
      </c>
      <c r="J3863" s="16" t="n">
        <v>0.002</v>
      </c>
    </row>
    <row r="3864">
      <c r="A3864" s="16" t="n">
        <v>3860</v>
      </c>
      <c r="B3864" s="16" t="inlineStr">
        <is>
          <t>Frontend</t>
        </is>
      </c>
      <c r="C3864" s="17" t="inlineStr">
        <is>
          <t>web-customer</t>
        </is>
      </c>
      <c r="D3864" s="16" t="inlineStr">
        <is>
          <t>Unit</t>
        </is>
      </c>
      <c r="E3864" s="17" t="inlineStr">
        <is>
          <t>auth-popup.test.ts</t>
        </is>
      </c>
      <c r="F3864" s="17" t="inlineStr">
        <is>
          <t>googleSignInEnabled</t>
        </is>
      </c>
      <c r="G3864" s="17" t="inlineStr">
        <is>
          <t>chỉ bật khi biến môi trường đúng là "true"</t>
        </is>
      </c>
      <c r="H3864" s="17" t="inlineStr">
        <is>
          <t>googleSignInEnabled chỉ bật khi biến môi trường đúng là "true"</t>
        </is>
      </c>
      <c r="I3864" s="16" t="inlineStr">
        <is>
          <t>Đạt</t>
        </is>
      </c>
      <c r="J3864" s="16" t="n">
        <v>0.001</v>
      </c>
    </row>
    <row r="3865">
      <c r="A3865" s="16" t="n">
        <v>3861</v>
      </c>
      <c r="B3865" s="16" t="inlineStr">
        <is>
          <t>Frontend</t>
        </is>
      </c>
      <c r="C3865" s="17" t="inlineStr">
        <is>
          <t>web-customer</t>
        </is>
      </c>
      <c r="D3865" s="16" t="inlineStr">
        <is>
          <t>Unit</t>
        </is>
      </c>
      <c r="E3865" s="17" t="inlineStr">
        <is>
          <t>saved-events.test.ts</t>
        </is>
      </c>
      <c r="F3865" s="17" t="inlineStr">
        <is>
          <t>useSavedEvents</t>
        </is>
      </c>
      <c r="G3865" s="17" t="inlineStr">
        <is>
          <t>lưu rồi bỏ lưu một sự kiện, mới nhất lên đầu, ghi xuống localStorage</t>
        </is>
      </c>
      <c r="H3865" s="17" t="inlineStr">
        <is>
          <t>useSavedEvents lưu rồi bỏ lưu một sự kiện, mới nhất lên đầu, ghi xuống localStorage</t>
        </is>
      </c>
      <c r="I3865" s="16" t="inlineStr">
        <is>
          <t>Đạt</t>
        </is>
      </c>
      <c r="J3865" s="16" t="n">
        <v>0.065</v>
      </c>
    </row>
    <row r="3866">
      <c r="A3866" s="16" t="n">
        <v>3862</v>
      </c>
      <c r="B3866" s="16" t="inlineStr">
        <is>
          <t>Frontend</t>
        </is>
      </c>
      <c r="C3866" s="17" t="inlineStr">
        <is>
          <t>web-customer</t>
        </is>
      </c>
      <c r="D3866" s="16" t="inlineStr">
        <is>
          <t>Unit</t>
        </is>
      </c>
      <c r="E3866" s="17" t="inlineStr">
        <is>
          <t>saved-events.test.ts</t>
        </is>
      </c>
      <c r="F3866" s="17" t="inlineStr">
        <is>
          <t>useSavedEvents</t>
        </is>
      </c>
      <c r="G3866" s="17" t="inlineStr">
        <is>
          <t>giữ tối đa 60 sự kiện, bỏ cái cũ nhất</t>
        </is>
      </c>
      <c r="H3866" s="17" t="inlineStr">
        <is>
          <t>useSavedEvents giữ tối đa 60 sự kiện, bỏ cái cũ nhất</t>
        </is>
      </c>
      <c r="I3866" s="16" t="inlineStr">
        <is>
          <t>Đạt</t>
        </is>
      </c>
      <c r="J3866" s="16" t="n">
        <v>0.016</v>
      </c>
    </row>
    <row r="3867">
      <c r="A3867" s="16" t="n">
        <v>3863</v>
      </c>
      <c r="B3867" s="16" t="inlineStr">
        <is>
          <t>Frontend</t>
        </is>
      </c>
      <c r="C3867" s="17" t="inlineStr">
        <is>
          <t>web-customer</t>
        </is>
      </c>
      <c r="D3867" s="16" t="inlineStr">
        <is>
          <t>Unit</t>
        </is>
      </c>
      <c r="E3867" s="17" t="inlineStr">
        <is>
          <t>saved-events.test.ts</t>
        </is>
      </c>
      <c r="F3867" s="17" t="inlineStr">
        <is>
          <t>useSavedEvents</t>
        </is>
      </c>
      <c r="G3867" s="17" t="inlineStr">
        <is>
          <t>dữ liệu hỏng hoặc sai kiểu trong localStorage không làm sập trang</t>
        </is>
      </c>
      <c r="H3867" s="17" t="inlineStr">
        <is>
          <t>useSavedEvents dữ liệu hỏng hoặc sai kiểu trong localStorage không làm sập trang</t>
        </is>
      </c>
      <c r="I3867" s="16" t="inlineStr">
        <is>
          <t>Đạt</t>
        </is>
      </c>
      <c r="J3867" s="16" t="n">
        <v>0.034</v>
      </c>
    </row>
    <row r="3868">
      <c r="A3868" s="16" t="n">
        <v>3864</v>
      </c>
      <c r="B3868" s="16" t="inlineStr">
        <is>
          <t>Frontend</t>
        </is>
      </c>
      <c r="C3868" s="17" t="inlineStr">
        <is>
          <t>web-customer</t>
        </is>
      </c>
      <c r="D3868" s="16" t="inlineStr">
        <is>
          <t>Unit</t>
        </is>
      </c>
      <c r="E3868" s="17" t="inlineStr">
        <is>
          <t>saved-events.test.ts</t>
        </is>
      </c>
      <c r="F3868" s="17" t="inlineStr">
        <is>
          <t>useSavedEvents</t>
        </is>
      </c>
      <c r="G3868" s="17" t="inlineStr">
        <is>
          <t>localStorage đầy (chế độ riêng tư) thì danh sách vẫn đúng trong phiên</t>
        </is>
      </c>
      <c r="H3868" s="17" t="inlineStr">
        <is>
          <t>useSavedEvents localStorage đầy (chế độ riêng tư) thì danh sách vẫn đúng trong phiên</t>
        </is>
      </c>
      <c r="I3868" s="16" t="inlineStr">
        <is>
          <t>Đạt</t>
        </is>
      </c>
      <c r="J3868" s="16" t="n">
        <v>0.007</v>
      </c>
    </row>
    <row r="3869">
      <c r="A3869" s="16" t="n">
        <v>3865</v>
      </c>
      <c r="B3869" s="16" t="inlineStr">
        <is>
          <t>Frontend</t>
        </is>
      </c>
      <c r="C3869" s="17" t="inlineStr">
        <is>
          <t>web-customer</t>
        </is>
      </c>
      <c r="D3869" s="16" t="inlineStr">
        <is>
          <t>Unit</t>
        </is>
      </c>
      <c r="E3869" s="17" t="inlineStr">
        <is>
          <t>saved-events.test.ts</t>
        </is>
      </c>
      <c r="F3869" s="17" t="inlineStr">
        <is>
          <t>useSavedEvents</t>
        </is>
      </c>
      <c r="G3869" s="17" t="inlineStr">
        <is>
          <t>tab khác lưu thì tab này cập nhật theo sự kiện storage</t>
        </is>
      </c>
      <c r="H3869" s="17" t="inlineStr">
        <is>
          <t>useSavedEvents tab khác lưu thì tab này cập nhật theo sự kiện storage</t>
        </is>
      </c>
      <c r="I3869" s="16" t="inlineStr">
        <is>
          <t>Đạt</t>
        </is>
      </c>
      <c r="J3869" s="16" t="n">
        <v>0.008</v>
      </c>
    </row>
    <row r="3870">
      <c r="A3870" s="16" t="n">
        <v>3866</v>
      </c>
      <c r="B3870" s="16" t="inlineStr">
        <is>
          <t>Frontend</t>
        </is>
      </c>
      <c r="C3870" s="17" t="inlineStr">
        <is>
          <t>web-customer</t>
        </is>
      </c>
      <c r="D3870" s="16" t="inlineStr">
        <is>
          <t>Unit</t>
        </is>
      </c>
      <c r="E3870" s="17" t="inlineStr">
        <is>
          <t>session-index.test.ts</t>
        </is>
      </c>
      <c r="F3870" s="17" t="inlineStr">
        <is>
          <t>loadSessionIndex</t>
        </is>
      </c>
      <c r="G3870" s="17" t="inlineStr">
        <is>
          <t>tra ngược mỗi suất về sự kiện của nó; một trang chi tiết hỏng không kéo theo các trang khác</t>
        </is>
      </c>
      <c r="H3870" s="17" t="inlineStr">
        <is>
          <t>loadSessionIndex tra ngược mỗi suất về sự kiện của nó; một trang chi tiết hỏng không kéo theo các trang khác</t>
        </is>
      </c>
      <c r="I3870" s="16" t="inlineStr">
        <is>
          <t>Đạt</t>
        </is>
      </c>
      <c r="J3870" s="16" t="n">
        <v>0.795</v>
      </c>
    </row>
    <row r="3871">
      <c r="A3871" s="16" t="n">
        <v>3867</v>
      </c>
      <c r="B3871" s="16" t="inlineStr">
        <is>
          <t>Frontend</t>
        </is>
      </c>
      <c r="C3871" s="17" t="inlineStr">
        <is>
          <t>web-customer</t>
        </is>
      </c>
      <c r="D3871" s="16" t="inlineStr">
        <is>
          <t>Unit</t>
        </is>
      </c>
      <c r="E3871" s="17" t="inlineStr">
        <is>
          <t>session-index.test.ts</t>
        </is>
      </c>
      <c r="F3871" s="17" t="inlineStr">
        <is>
          <t>loadSessionIndex</t>
        </is>
      </c>
      <c r="G3871" s="17" t="inlineStr">
        <is>
          <t>catalog chết thì trả bảng rỗng — ví vé vẫn phải mở được</t>
        </is>
      </c>
      <c r="H3871" s="17" t="inlineStr">
        <is>
          <t>loadSessionIndex catalog chết thì trả bảng rỗng — ví vé vẫn phải mở được</t>
        </is>
      </c>
      <c r="I3871" s="16" t="inlineStr">
        <is>
          <t>Đạt</t>
        </is>
      </c>
      <c r="J3871" s="16" t="n">
        <v>0.093</v>
      </c>
    </row>
    <row r="3872">
      <c r="A3872" s="16" t="n">
        <v>3868</v>
      </c>
      <c r="B3872" s="16" t="inlineStr">
        <is>
          <t>Frontend</t>
        </is>
      </c>
      <c r="C3872" s="17" t="inlineStr">
        <is>
          <t>web-customer</t>
        </is>
      </c>
      <c r="D3872" s="16" t="inlineStr">
        <is>
          <t>Unit</t>
        </is>
      </c>
      <c r="E3872" s="17" t="inlineStr">
        <is>
          <t>session-index.test.ts</t>
        </is>
      </c>
      <c r="F3872" s="17" t="inlineStr">
        <is>
          <t>loadCities</t>
        </is>
      </c>
      <c r="G3872" s="17" t="inlineStr">
        <is>
          <t>xin đúng một bản ghi và lấy danh sách thành phố đi kèm</t>
        </is>
      </c>
      <c r="H3872" s="17" t="inlineStr">
        <is>
          <t>loadCities xin đúng một bản ghi và lấy danh sách thành phố đi kèm</t>
        </is>
      </c>
      <c r="I3872" s="16" t="inlineStr">
        <is>
          <t>Đạt</t>
        </is>
      </c>
      <c r="J3872" s="16" t="n">
        <v>0.101</v>
      </c>
    </row>
    <row r="3873">
      <c r="A3873" s="16" t="n">
        <v>3869</v>
      </c>
      <c r="B3873" s="16" t="inlineStr">
        <is>
          <t>Frontend</t>
        </is>
      </c>
      <c r="C3873" s="17" t="inlineStr">
        <is>
          <t>web-customer</t>
        </is>
      </c>
      <c r="D3873" s="16" t="inlineStr">
        <is>
          <t>Unit</t>
        </is>
      </c>
      <c r="E3873" s="17" t="inlineStr">
        <is>
          <t>session-index.test.ts</t>
        </is>
      </c>
      <c r="F3873" s="17" t="inlineStr">
        <is>
          <t>loadCities</t>
        </is>
      </c>
      <c r="G3873" s="17" t="inlineStr">
        <is>
          <t>lỗi 5xx của catalog thì trả mảng rỗng thay vì làm trắng cả layout</t>
        </is>
      </c>
      <c r="H3873" s="17" t="inlineStr">
        <is>
          <t>loadCities lỗi 5xx của catalog thì trả mảng rỗng thay vì làm trắng cả layout</t>
        </is>
      </c>
      <c r="I3873" s="16" t="inlineStr">
        <is>
          <t>Đạt</t>
        </is>
      </c>
      <c r="J3873" s="16" t="n">
        <v>0.1</v>
      </c>
    </row>
    <row r="3874">
      <c r="A3874" s="16" t="n">
        <v>3870</v>
      </c>
      <c r="B3874" s="16" t="inlineStr">
        <is>
          <t>Frontend</t>
        </is>
      </c>
      <c r="C3874" s="17" t="inlineStr">
        <is>
          <t>web-customer</t>
        </is>
      </c>
      <c r="D3874" s="16" t="inlineStr">
        <is>
          <t>Unit</t>
        </is>
      </c>
      <c r="E3874" s="17" t="inlineStr">
        <is>
          <t>session-index.test.ts</t>
        </is>
      </c>
      <c r="F3874" s="17" t="inlineStr">
        <is>
          <t>loadCities</t>
        </is>
      </c>
      <c r="G3874" s="17" t="inlineStr">
        <is>
          <t>API_BASE_URL rỗng thì rơi về NEXT_PUBLIC_API_BASE_URL — chuỗi rỗng không được lọt qua</t>
        </is>
      </c>
      <c r="H3874" s="17" t="inlineStr">
        <is>
          <t>loadCities API_BASE_URL rỗng thì rơi về NEXT_PUBLIC_API_BASE_URL — chuỗi rỗng không được lọt qua</t>
        </is>
      </c>
      <c r="I3874" s="16" t="inlineStr">
        <is>
          <t>Đạt</t>
        </is>
      </c>
      <c r="J3874" s="16" t="n">
        <v>0.165</v>
      </c>
    </row>
    <row r="3875">
      <c r="A3875" s="16" t="n">
        <v>3871</v>
      </c>
      <c r="B3875" s="16" t="inlineStr">
        <is>
          <t>Frontend</t>
        </is>
      </c>
      <c r="C3875" s="17" t="inlineStr">
        <is>
          <t>web-admin</t>
        </is>
      </c>
      <c r="D3875" s="16" t="inlineStr">
        <is>
          <t>Unit</t>
        </is>
      </c>
      <c r="E3875" s="17" t="inlineStr">
        <is>
          <t>event-report.test.ts</t>
        </is>
      </c>
      <c r="F3875" s="17" t="inlineStr">
        <is>
          <t>buildEventReport</t>
        </is>
      </c>
      <c r="G3875" s="17" t="inlineStr">
        <is>
          <t>tổng hợp tính tỷ lệ lấp đầy và giá trung bình từ đúng số liệu</t>
        </is>
      </c>
      <c r="H3875" s="17" t="inlineStr">
        <is>
          <t>buildEventReport tổng hợp tính tỷ lệ lấp đầy và giá trung bình từ đúng số liệu</t>
        </is>
      </c>
      <c r="I3875" s="16" t="inlineStr">
        <is>
          <t>Đạt</t>
        </is>
      </c>
      <c r="J3875" s="16" t="n">
        <v>0.004</v>
      </c>
    </row>
    <row r="3876">
      <c r="A3876" s="16" t="n">
        <v>3872</v>
      </c>
      <c r="B3876" s="16" t="inlineStr">
        <is>
          <t>Frontend</t>
        </is>
      </c>
      <c r="C3876" s="17" t="inlineStr">
        <is>
          <t>web-admin</t>
        </is>
      </c>
      <c r="D3876" s="16" t="inlineStr">
        <is>
          <t>Unit</t>
        </is>
      </c>
      <c r="E3876" s="17" t="inlineStr">
        <is>
          <t>event-report.test.ts</t>
        </is>
      </c>
      <c r="F3876" s="17" t="inlineStr">
        <is>
          <t>buildEventReport</t>
        </is>
      </c>
      <c r="G3876" s="17" t="inlineStr">
        <is>
          <t>service tồn kho im lặng thì ghi "chưa hỏi được", KHÔNG ghi 0</t>
        </is>
      </c>
      <c r="H3876" s="17" t="inlineStr">
        <is>
          <t>buildEventReport service tồn kho im lặng thì ghi "chưa hỏi được", KHÔNG ghi 0</t>
        </is>
      </c>
      <c r="I3876" s="16" t="inlineStr">
        <is>
          <t>Đạt</t>
        </is>
      </c>
      <c r="J3876" s="16" t="n">
        <v>0.001</v>
      </c>
    </row>
    <row r="3877">
      <c r="A3877" s="16" t="n">
        <v>3873</v>
      </c>
      <c r="B3877" s="16" t="inlineStr">
        <is>
          <t>Frontend</t>
        </is>
      </c>
      <c r="C3877" s="17" t="inlineStr">
        <is>
          <t>web-admin</t>
        </is>
      </c>
      <c r="D3877" s="16" t="inlineStr">
        <is>
          <t>Unit</t>
        </is>
      </c>
      <c r="E3877" s="17" t="inlineStr">
        <is>
          <t>event-report.test.ts</t>
        </is>
      </c>
      <c r="F3877" s="17" t="inlineStr">
        <is>
          <t>buildEventReport</t>
        </is>
      </c>
      <c r="G3877" s="17" t="inlineStr">
        <is>
          <t>chưa bán vé nào thì giá trung bình là "chưa hỏi được" chứ không chia cho 0</t>
        </is>
      </c>
      <c r="H3877" s="17" t="inlineStr">
        <is>
          <t>buildEventReport chưa bán vé nào thì giá trung bình là "chưa hỏi được" chứ không chia cho 0</t>
        </is>
      </c>
      <c r="I3877" s="16" t="inlineStr">
        <is>
          <t>Đạt</t>
        </is>
      </c>
      <c r="J3877" s="16" t="n">
        <v>0</v>
      </c>
    </row>
    <row r="3878">
      <c r="A3878" s="16" t="n">
        <v>3874</v>
      </c>
      <c r="B3878" s="16" t="inlineStr">
        <is>
          <t>Frontend</t>
        </is>
      </c>
      <c r="C3878" s="17" t="inlineStr">
        <is>
          <t>web-admin</t>
        </is>
      </c>
      <c r="D3878" s="16" t="inlineStr">
        <is>
          <t>Unit</t>
        </is>
      </c>
      <c r="E3878" s="17" t="inlineStr">
        <is>
          <t>event-report.test.ts</t>
        </is>
      </c>
      <c r="F3878" s="17" t="inlineStr">
        <is>
          <t>buildEventReport</t>
        </is>
      </c>
      <c r="G3878" s="17" t="inlineStr">
        <is>
          <t>gộp khu theo mã, sắp theo mã, khu tổng 0 thì lấp đầy để trống</t>
        </is>
      </c>
      <c r="H3878" s="17" t="inlineStr">
        <is>
          <t>buildEventReport gộp khu theo mã, sắp theo mã, khu tổng 0 thì lấp đầy để trống</t>
        </is>
      </c>
      <c r="I3878" s="16" t="inlineStr">
        <is>
          <t>Đạt</t>
        </is>
      </c>
      <c r="J3878" s="16" t="n">
        <v>0</v>
      </c>
    </row>
    <row r="3879">
      <c r="A3879" s="16" t="n">
        <v>3875</v>
      </c>
      <c r="B3879" s="16" t="inlineStr">
        <is>
          <t>Frontend</t>
        </is>
      </c>
      <c r="C3879" s="17" t="inlineStr">
        <is>
          <t>web-admin</t>
        </is>
      </c>
      <c r="D3879" s="16" t="inlineStr">
        <is>
          <t>Unit</t>
        </is>
      </c>
      <c r="E3879" s="17" t="inlineStr">
        <is>
          <t>event-report.test.ts</t>
        </is>
      </c>
      <c r="F3879" s="17" t="inlineStr">
        <is>
          <t>buildEventReport</t>
        </is>
      </c>
      <c r="G3879" s="17" t="inlineStr">
        <is>
          <t>trần mua null ghi "không đặt" — đó là một quyết định, không phải thiếu dữ liệu</t>
        </is>
      </c>
      <c r="H3879" s="17" t="inlineStr">
        <is>
          <t>buildEventReport trần mua null ghi "không đặt" — đó là một quyết định, không phải thiếu dữ liệu</t>
        </is>
      </c>
      <c r="I3879" s="16" t="inlineStr">
        <is>
          <t>Đạt</t>
        </is>
      </c>
      <c r="J3879" s="16" t="n">
        <v>0</v>
      </c>
    </row>
    <row r="3880">
      <c r="A3880" s="16" t="n">
        <v>3876</v>
      </c>
      <c r="B3880" s="16" t="inlineStr">
        <is>
          <t>Frontend</t>
        </is>
      </c>
      <c r="C3880" s="17" t="inlineStr">
        <is>
          <t>web-admin</t>
        </is>
      </c>
      <c r="D3880" s="16" t="inlineStr">
        <is>
          <t>Unit</t>
        </is>
      </c>
      <c r="E3880" s="17" t="inlineStr">
        <is>
          <t>event-report.test.ts</t>
        </is>
      </c>
      <c r="F3880" s="17" t="inlineStr">
        <is>
          <t>buildEventReport</t>
        </is>
      </c>
      <c r="G3880" s="17" t="inlineStr">
        <is>
          <t>có vướng mắc thì thêm khối "Còn thiếu để công bố"</t>
        </is>
      </c>
      <c r="H3880" s="17" t="inlineStr">
        <is>
          <t>buildEventReport có vướng mắc thì thêm khối "Còn thiếu để công bố"</t>
        </is>
      </c>
      <c r="I3880" s="16" t="inlineStr">
        <is>
          <t>Đạt</t>
        </is>
      </c>
      <c r="J3880" s="16" t="n">
        <v>0</v>
      </c>
    </row>
    <row r="3881">
      <c r="A3881" s="16" t="n">
        <v>3877</v>
      </c>
      <c r="B3881" s="16" t="inlineStr">
        <is>
          <t>Frontend</t>
        </is>
      </c>
      <c r="C3881" s="17" t="inlineStr">
        <is>
          <t>web-admin</t>
        </is>
      </c>
      <c r="D3881" s="16" t="inlineStr">
        <is>
          <t>Unit</t>
        </is>
      </c>
      <c r="E3881" s="17" t="inlineStr">
        <is>
          <t>event-report.test.ts</t>
        </is>
      </c>
      <c r="F3881" s="17" t="inlineStr">
        <is>
          <t>buildEventReport</t>
        </is>
      </c>
      <c r="G3881" s="17" t="inlineStr">
        <is>
          <t>tên sự kiện do ban tổ chức đặt bắt đầu bằng "=" vẫn không thành công thức trong file</t>
        </is>
      </c>
      <c r="H3881" s="17" t="inlineStr">
        <is>
          <t>buildEventReport tên sự kiện do ban tổ chức đặt bắt đầu bằng "=" vẫn không thành công thức trong file</t>
        </is>
      </c>
      <c r="I3881" s="16" t="inlineStr">
        <is>
          <t>Đạt</t>
        </is>
      </c>
      <c r="J3881" s="16" t="n">
        <v>0.001</v>
      </c>
    </row>
    <row r="3882">
      <c r="A3882" s="16" t="n">
        <v>3878</v>
      </c>
      <c r="B3882" s="16" t="inlineStr">
        <is>
          <t>Frontend</t>
        </is>
      </c>
      <c r="C3882" s="17" t="inlineStr">
        <is>
          <t>web-admin</t>
        </is>
      </c>
      <c r="D3882" s="16" t="inlineStr">
        <is>
          <t>Unit</t>
        </is>
      </c>
      <c r="E3882" s="17" t="inlineStr">
        <is>
          <t>event-report.test.ts</t>
        </is>
      </c>
      <c r="F3882" s="17" t="inlineStr">
        <is>
          <t>buildEventReport</t>
        </is>
      </c>
      <c r="G3882" s="17" t="inlineStr">
        <is>
          <t>giờ trong báo cáo là giờ Việt Nam bất kể múi giờ của máy xuất</t>
        </is>
      </c>
      <c r="H3882" s="17" t="inlineStr">
        <is>
          <t>buildEventReport giờ trong báo cáo là giờ Việt Nam bất kể múi giờ của máy xuất</t>
        </is>
      </c>
      <c r="I3882" s="16" t="inlineStr">
        <is>
          <t>Đạt</t>
        </is>
      </c>
      <c r="J3882" s="16" t="n">
        <v>0.002</v>
      </c>
    </row>
    <row r="3883">
      <c r="A3883" s="16" t="n">
        <v>3879</v>
      </c>
      <c r="B3883" s="16" t="inlineStr">
        <is>
          <t>Frontend</t>
        </is>
      </c>
      <c r="C3883" s="17" t="inlineStr">
        <is>
          <t>web-admin</t>
        </is>
      </c>
      <c r="D3883" s="16" t="inlineStr">
        <is>
          <t>Unit</t>
        </is>
      </c>
      <c r="E3883" s="17" t="inlineStr">
        <is>
          <t>event-report.test.ts</t>
        </is>
      </c>
      <c r="F3883" s="17" t="inlineStr">
        <is>
          <t>event-status</t>
        </is>
      </c>
      <c r="G3883" s="17" t="inlineStr">
        <is>
          <t>nhãn và màu theo trạng thái; sự kiện đã huỷ không bật/tắt bán được nữa</t>
        </is>
      </c>
      <c r="H3883" s="17" t="inlineStr">
        <is>
          <t>event-status nhãn và màu theo trạng thái; sự kiện đã huỷ không bật/tắt bán được nữa</t>
        </is>
      </c>
      <c r="I3883" s="16" t="inlineStr">
        <is>
          <t>Đạt</t>
        </is>
      </c>
      <c r="J3883" s="16" t="n">
        <v>0.001</v>
      </c>
    </row>
    <row r="3884">
      <c r="A3884" s="16" t="n">
        <v>3880</v>
      </c>
      <c r="B3884" s="16" t="inlineStr">
        <is>
          <t>Frontend</t>
        </is>
      </c>
      <c r="C3884" s="17" t="inlineStr">
        <is>
          <t>web-scanner</t>
        </is>
      </c>
      <c r="D3884" s="16" t="inlineStr">
        <is>
          <t>Unit</t>
        </is>
      </c>
      <c r="E3884" s="17" t="inlineStr">
        <is>
          <t>Scanner.test.tsx</t>
        </is>
      </c>
      <c r="F3884" s="17" t="inlineStr">
        <is>
          <t>Scanner — ánh xạ kết quả quét ra màn hình</t>
        </is>
      </c>
      <c r="G3884" s="17" t="inlineStr">
        <is>
          <t>ACCEPTED hiện "MỜI VÀO" với gợi ý và màu đúng</t>
        </is>
      </c>
      <c r="H3884" s="17" t="inlineStr">
        <is>
          <t>Scanner — ánh xạ kết quả quét ra màn hình ACCEPTED hiện "MỜI VÀO" với gợi ý và màu đúng</t>
        </is>
      </c>
      <c r="I3884" s="16" t="inlineStr">
        <is>
          <t>Đạt</t>
        </is>
      </c>
      <c r="J3884" s="16" t="n">
        <v>0.122</v>
      </c>
    </row>
    <row r="3885">
      <c r="A3885" s="16" t="n">
        <v>3881</v>
      </c>
      <c r="B3885" s="16" t="inlineStr">
        <is>
          <t>Frontend</t>
        </is>
      </c>
      <c r="C3885" s="17" t="inlineStr">
        <is>
          <t>web-scanner</t>
        </is>
      </c>
      <c r="D3885" s="16" t="inlineStr">
        <is>
          <t>Unit</t>
        </is>
      </c>
      <c r="E3885" s="17" t="inlineStr">
        <is>
          <t>Scanner.test.tsx</t>
        </is>
      </c>
      <c r="F3885" s="17" t="inlineStr">
        <is>
          <t>Scanner — ánh xạ kết quả quét ra màn hình</t>
        </is>
      </c>
      <c r="G3885" s="17" t="inlineStr">
        <is>
          <t>ALREADY_CHECKED_IN hiện "ĐÃ SOÁT RỒI" với gợi ý và màu đúng</t>
        </is>
      </c>
      <c r="H3885" s="17" t="inlineStr">
        <is>
          <t>Scanner — ánh xạ kết quả quét ra màn hình ALREADY_CHECKED_IN hiện "ĐÃ SOÁT RỒI" với gợi ý và màu đúng</t>
        </is>
      </c>
      <c r="I3885" s="16" t="inlineStr">
        <is>
          <t>Đạt</t>
        </is>
      </c>
      <c r="J3885" s="16" t="n">
        <v>0.019</v>
      </c>
    </row>
    <row r="3886">
      <c r="A3886" s="16" t="n">
        <v>3882</v>
      </c>
      <c r="B3886" s="16" t="inlineStr">
        <is>
          <t>Frontend</t>
        </is>
      </c>
      <c r="C3886" s="17" t="inlineStr">
        <is>
          <t>web-scanner</t>
        </is>
      </c>
      <c r="D3886" s="16" t="inlineStr">
        <is>
          <t>Unit</t>
        </is>
      </c>
      <c r="E3886" s="17" t="inlineStr">
        <is>
          <t>Scanner.test.tsx</t>
        </is>
      </c>
      <c r="F3886" s="17" t="inlineStr">
        <is>
          <t>Scanner — ánh xạ kết quả quét ra màn hình</t>
        </is>
      </c>
      <c r="G3886" s="17" t="inlineStr">
        <is>
          <t>REVOKED hiện "VÉ ĐÃ HUỶ" với gợi ý và màu đúng</t>
        </is>
      </c>
      <c r="H3886" s="17" t="inlineStr">
        <is>
          <t>Scanner — ánh xạ kết quả quét ra màn hình REVOKED hiện "VÉ ĐÃ HUỶ" với gợi ý và màu đúng</t>
        </is>
      </c>
      <c r="I3886" s="16" t="inlineStr">
        <is>
          <t>Đạt</t>
        </is>
      </c>
      <c r="J3886" s="16" t="n">
        <v>0.016</v>
      </c>
    </row>
    <row r="3887">
      <c r="A3887" s="16" t="n">
        <v>3883</v>
      </c>
      <c r="B3887" s="16" t="inlineStr">
        <is>
          <t>Frontend</t>
        </is>
      </c>
      <c r="C3887" s="17" t="inlineStr">
        <is>
          <t>web-scanner</t>
        </is>
      </c>
      <c r="D3887" s="16" t="inlineStr">
        <is>
          <t>Unit</t>
        </is>
      </c>
      <c r="E3887" s="17" t="inlineStr">
        <is>
          <t>Scanner.test.tsx</t>
        </is>
      </c>
      <c r="F3887" s="17" t="inlineStr">
        <is>
          <t>Scanner — ánh xạ kết quả quét ra màn hình</t>
        </is>
      </c>
      <c r="G3887" s="17" t="inlineStr">
        <is>
          <t>WRONG_SESSION hiện "SAI SUẤT DIỄN" với gợi ý và màu đúng</t>
        </is>
      </c>
      <c r="H3887" s="17" t="inlineStr">
        <is>
          <t>Scanner — ánh xạ kết quả quét ra màn hình WRONG_SESSION hiện "SAI SUẤT DIỄN" với gợi ý và màu đúng</t>
        </is>
      </c>
      <c r="I3887" s="16" t="inlineStr">
        <is>
          <t>Đạt</t>
        </is>
      </c>
      <c r="J3887" s="16" t="n">
        <v>0.021</v>
      </c>
    </row>
    <row r="3888">
      <c r="A3888" s="16" t="n">
        <v>3884</v>
      </c>
      <c r="B3888" s="16" t="inlineStr">
        <is>
          <t>Frontend</t>
        </is>
      </c>
      <c r="C3888" s="17" t="inlineStr">
        <is>
          <t>web-scanner</t>
        </is>
      </c>
      <c r="D3888" s="16" t="inlineStr">
        <is>
          <t>Unit</t>
        </is>
      </c>
      <c r="E3888" s="17" t="inlineStr">
        <is>
          <t>Scanner.test.tsx</t>
        </is>
      </c>
      <c r="F3888" s="17" t="inlineStr">
        <is>
          <t>Scanner — ánh xạ kết quả quét ra màn hình</t>
        </is>
      </c>
      <c r="G3888" s="17" t="inlineStr">
        <is>
          <t>INVALID_TOKEN hiện "MÃ KHÔNG HỢP LỆ" với gợi ý và màu đúng</t>
        </is>
      </c>
      <c r="H3888" s="17" t="inlineStr">
        <is>
          <t>Scanner — ánh xạ kết quả quét ra màn hình INVALID_TOKEN hiện "MÃ KHÔNG HỢP LỆ" với gợi ý và màu đúng</t>
        </is>
      </c>
      <c r="I3888" s="16" t="inlineStr">
        <is>
          <t>Đạt</t>
        </is>
      </c>
      <c r="J3888" s="16" t="n">
        <v>0.015</v>
      </c>
    </row>
    <row r="3889">
      <c r="A3889" s="16" t="n">
        <v>3885</v>
      </c>
      <c r="B3889" s="16" t="inlineStr">
        <is>
          <t>Frontend</t>
        </is>
      </c>
      <c r="C3889" s="17" t="inlineStr">
        <is>
          <t>web-scanner</t>
        </is>
      </c>
      <c r="D3889" s="16" t="inlineStr">
        <is>
          <t>Unit</t>
        </is>
      </c>
      <c r="E3889" s="17" t="inlineStr">
        <is>
          <t>Scanner.test.tsx</t>
        </is>
      </c>
      <c r="F3889" s="17" t="inlineStr">
        <is>
          <t>Scanner — ánh xạ kết quả quét ra màn hình</t>
        </is>
      </c>
      <c r="G3889" s="17" t="inlineStr">
        <is>
          <t>NOT_FOUND hiện "KHÔNG TÌM THẤY VÉ" với gợi ý và màu đúng</t>
        </is>
      </c>
      <c r="H3889" s="17" t="inlineStr">
        <is>
          <t>Scanner — ánh xạ kết quả quét ra màn hình NOT_FOUND hiện "KHÔNG TÌM THẤY VÉ" với gợi ý và màu đúng</t>
        </is>
      </c>
      <c r="I3889" s="16" t="inlineStr">
        <is>
          <t>Đạt</t>
        </is>
      </c>
      <c r="J3889" s="16" t="n">
        <v>0.015</v>
      </c>
    </row>
    <row r="3890">
      <c r="A3890" s="16" t="n">
        <v>3886</v>
      </c>
      <c r="B3890" s="16" t="inlineStr">
        <is>
          <t>Frontend</t>
        </is>
      </c>
      <c r="C3890" s="17" t="inlineStr">
        <is>
          <t>web-scanner</t>
        </is>
      </c>
      <c r="D3890" s="16" t="inlineStr">
        <is>
          <t>Unit</t>
        </is>
      </c>
      <c r="E3890" s="17" t="inlineStr">
        <is>
          <t>Scanner.test.tsx</t>
        </is>
      </c>
      <c r="F3890" s="17" t="inlineStr">
        <is>
          <t>Scanner — ánh xạ kết quả quét ra màn hình</t>
        </is>
      </c>
      <c r="G3890" s="17" t="inlineStr">
        <is>
          <t>ghi chú (note) của server thay cho gợi ý mặc định, kèm ghế và loại vé</t>
        </is>
      </c>
      <c r="H3890" s="17" t="inlineStr">
        <is>
          <t>Scanner — ánh xạ kết quả quét ra màn hình ghi chú (note) của server thay cho gợi ý mặc định, kèm ghế và loại vé</t>
        </is>
      </c>
      <c r="I3890" s="16" t="inlineStr">
        <is>
          <t>Đạt</t>
        </is>
      </c>
      <c r="J3890" s="16" t="n">
        <v>0.014</v>
      </c>
    </row>
    <row r="3891">
      <c r="A3891" s="16" t="n">
        <v>3887</v>
      </c>
      <c r="B3891" s="16" t="inlineStr">
        <is>
          <t>Frontend</t>
        </is>
      </c>
      <c r="C3891" s="17" t="inlineStr">
        <is>
          <t>web-scanner</t>
        </is>
      </c>
      <c r="D3891" s="16" t="inlineStr">
        <is>
          <t>Unit</t>
        </is>
      </c>
      <c r="E3891" s="17" t="inlineStr">
        <is>
          <t>Scanner.test.tsx</t>
        </is>
      </c>
      <c r="F3891" s="17" t="inlineStr">
        <is>
          <t>Scanner — ánh xạ kết quả quét ra màn hình</t>
        </is>
      </c>
      <c r="G3891" s="17" t="inlineStr">
        <is>
          <t>không có nhãn ghế thì dùng mã ghế; vé không ghế thì không in dòng ghế/loại vé</t>
        </is>
      </c>
      <c r="H3891" s="17" t="inlineStr">
        <is>
          <t>Scanner — ánh xạ kết quả quét ra màn hình không có nhãn ghế thì dùng mã ghế; vé không ghế thì không in dòng ghế/loại vé</t>
        </is>
      </c>
      <c r="I3891" s="16" t="inlineStr">
        <is>
          <t>Đạt</t>
        </is>
      </c>
      <c r="J3891" s="16" t="n">
        <v>0.042</v>
      </c>
    </row>
    <row r="3892">
      <c r="A3892" s="16" t="n">
        <v>3888</v>
      </c>
      <c r="B3892" s="16" t="inlineStr">
        <is>
          <t>Frontend</t>
        </is>
      </c>
      <c r="C3892" s="17" t="inlineStr">
        <is>
          <t>web-scanner</t>
        </is>
      </c>
      <c r="D3892" s="16" t="inlineStr">
        <is>
          <t>Unit</t>
        </is>
      </c>
      <c r="E3892" s="17" t="inlineStr">
        <is>
          <t>Scanner.test.tsx</t>
        </is>
      </c>
      <c r="F3892" s="17" t="inlineStr">
        <is>
          <t>Scanner — ánh xạ kết quả quét ra màn hình</t>
        </is>
      </c>
      <c r="G3892" s="17" t="inlineStr">
        <is>
          <t>gửi mã tới đúng endpoint theo tổ chức/suất (đã mã hoá đường dẫn) kèm deviceId</t>
        </is>
      </c>
      <c r="H3892" s="17" t="inlineStr">
        <is>
          <t>Scanner — ánh xạ kết quả quét ra màn hình gửi mã tới đúng endpoint theo tổ chức/suất (đã mã hoá đường dẫn) kèm deviceId</t>
        </is>
      </c>
      <c r="I3892" s="16" t="inlineStr">
        <is>
          <t>Đạt</t>
        </is>
      </c>
      <c r="J3892" s="16" t="n">
        <v>0.008999999999999999</v>
      </c>
    </row>
    <row r="3893">
      <c r="A3893" s="16" t="n">
        <v>3889</v>
      </c>
      <c r="B3893" s="16" t="inlineStr">
        <is>
          <t>Frontend</t>
        </is>
      </c>
      <c r="C3893" s="17" t="inlineStr">
        <is>
          <t>web-scanner</t>
        </is>
      </c>
      <c r="D3893" s="16" t="inlineStr">
        <is>
          <t>Unit</t>
        </is>
      </c>
      <c r="E3893" s="17" t="inlineStr">
        <is>
          <t>Scanner.test.tsx</t>
        </is>
      </c>
      <c r="F3893" s="17" t="inlineStr">
        <is>
          <t>Scanner — ánh xạ kết quả quét ra màn hình</t>
        </is>
      </c>
      <c r="G3893" s="17" t="inlineStr">
        <is>
          <t>kết quả lạ EXITED KHÔNG bao giờ để màn hình trống: phải có thông báo và nút quét tiếp</t>
        </is>
      </c>
      <c r="H3893" s="17" t="inlineStr">
        <is>
          <t>Scanner — ánh xạ kết quả quét ra màn hình kết quả lạ EXITED KHÔNG bao giờ để màn hình trống: phải có thông báo và nút quét tiếp</t>
        </is>
      </c>
      <c r="I3893" s="16" t="inlineStr">
        <is>
          <t>Đạt</t>
        </is>
      </c>
      <c r="J3893" s="16" t="n">
        <v>0.018</v>
      </c>
    </row>
    <row r="3894">
      <c r="A3894" s="16" t="n">
        <v>3890</v>
      </c>
      <c r="B3894" s="16" t="inlineStr">
        <is>
          <t>Frontend</t>
        </is>
      </c>
      <c r="C3894" s="17" t="inlineStr">
        <is>
          <t>web-scanner</t>
        </is>
      </c>
      <c r="D3894" s="16" t="inlineStr">
        <is>
          <t>Unit</t>
        </is>
      </c>
      <c r="E3894" s="17" t="inlineStr">
        <is>
          <t>Scanner.test.tsx</t>
        </is>
      </c>
      <c r="F3894" s="17" t="inlineStr">
        <is>
          <t>Scanner — ánh xạ kết quả quét ra màn hình</t>
        </is>
      </c>
      <c r="G3894" s="17" t="inlineStr">
        <is>
          <t>kết quả lạ NOT_INSIDE KHÔNG bao giờ để màn hình trống: phải có thông báo và nút quét tiếp</t>
        </is>
      </c>
      <c r="H3894" s="17" t="inlineStr">
        <is>
          <t>Scanner — ánh xạ kết quả quét ra màn hình kết quả lạ NOT_INSIDE KHÔNG bao giờ để màn hình trống: phải có thông báo và nút quét tiếp</t>
        </is>
      </c>
      <c r="I3894" s="16" t="inlineStr">
        <is>
          <t>Đạt</t>
        </is>
      </c>
      <c r="J3894" s="16" t="n">
        <v>0.019</v>
      </c>
    </row>
    <row r="3895">
      <c r="A3895" s="16" t="n">
        <v>3891</v>
      </c>
      <c r="B3895" s="16" t="inlineStr">
        <is>
          <t>Frontend</t>
        </is>
      </c>
      <c r="C3895" s="17" t="inlineStr">
        <is>
          <t>web-scanner</t>
        </is>
      </c>
      <c r="D3895" s="16" t="inlineStr">
        <is>
          <t>Unit</t>
        </is>
      </c>
      <c r="E3895" s="17" t="inlineStr">
        <is>
          <t>Scanner.test.tsx</t>
        </is>
      </c>
      <c r="F3895" s="17" t="inlineStr">
        <is>
          <t>Scanner — ánh xạ kết quả quét ra màn hình</t>
        </is>
      </c>
      <c r="G3895" s="17" t="inlineStr">
        <is>
          <t>kết quả lạ NOT_OPEN_YET KHÔNG bao giờ để màn hình trống: phải có thông báo và nút quét tiếp</t>
        </is>
      </c>
      <c r="H3895" s="17" t="inlineStr">
        <is>
          <t>Scanner — ánh xạ kết quả quét ra màn hình kết quả lạ NOT_OPEN_YET KHÔNG bao giờ để màn hình trống: phải có thông báo và nút quét tiếp</t>
        </is>
      </c>
      <c r="I3895" s="16" t="inlineStr">
        <is>
          <t>Đạt</t>
        </is>
      </c>
      <c r="J3895" s="16" t="n">
        <v>0.021</v>
      </c>
    </row>
    <row r="3896">
      <c r="A3896" s="16" t="n">
        <v>3892</v>
      </c>
      <c r="B3896" s="16" t="inlineStr">
        <is>
          <t>Frontend</t>
        </is>
      </c>
      <c r="C3896" s="17" t="inlineStr">
        <is>
          <t>web-scanner</t>
        </is>
      </c>
      <c r="D3896" s="16" t="inlineStr">
        <is>
          <t>Unit</t>
        </is>
      </c>
      <c r="E3896" s="17" t="inlineStr">
        <is>
          <t>Scanner.test.tsx</t>
        </is>
      </c>
      <c r="F3896" s="17" t="inlineStr">
        <is>
          <t>Scanner — ánh xạ kết quả quét ra màn hình</t>
        </is>
      </c>
      <c r="G3896" s="17" t="inlineStr">
        <is>
          <t>kết quả lạ SESSION_ENDED KHÔNG bao giờ để màn hình trống: phải có thông báo và nút quét tiếp</t>
        </is>
      </c>
      <c r="H3896" s="17" t="inlineStr">
        <is>
          <t>Scanner — ánh xạ kết quả quét ra màn hình kết quả lạ SESSION_ENDED KHÔNG bao giờ để màn hình trống: phải có thông báo và nút quét tiếp</t>
        </is>
      </c>
      <c r="I3896" s="16" t="inlineStr">
        <is>
          <t>Đạt</t>
        </is>
      </c>
      <c r="J3896" s="16" t="n">
        <v>0.025</v>
      </c>
    </row>
    <row r="3897">
      <c r="A3897" s="16" t="n">
        <v>3893</v>
      </c>
      <c r="B3897" s="16" t="inlineStr">
        <is>
          <t>Frontend</t>
        </is>
      </c>
      <c r="C3897" s="17" t="inlineStr">
        <is>
          <t>web-scanner</t>
        </is>
      </c>
      <c r="D3897" s="16" t="inlineStr">
        <is>
          <t>Unit</t>
        </is>
      </c>
      <c r="E3897" s="17" t="inlineStr">
        <is>
          <t>Scanner.test.tsx</t>
        </is>
      </c>
      <c r="F3897" s="17" t="inlineStr">
        <is>
          <t>Scanner — ánh xạ kết quả quét ra màn hình</t>
        </is>
      </c>
      <c r="G3897" s="17" t="inlineStr">
        <is>
          <t>kết quả lạ REENTRY_NOT_ALLOWED KHÔNG bao giờ để màn hình trống: phải có thông báo và nút quét tiếp</t>
        </is>
      </c>
      <c r="H3897" s="17" t="inlineStr">
        <is>
          <t>Scanner — ánh xạ kết quả quét ra màn hình kết quả lạ REENTRY_NOT_ALLOWED KHÔNG bao giờ để màn hình trống: phải có thông báo và nút quét tiếp</t>
        </is>
      </c>
      <c r="I3897" s="16" t="inlineStr">
        <is>
          <t>Đạt</t>
        </is>
      </c>
      <c r="J3897" s="16" t="n">
        <v>0.019</v>
      </c>
    </row>
    <row r="3898">
      <c r="A3898" s="16" t="n">
        <v>3894</v>
      </c>
      <c r="B3898" s="16" t="inlineStr">
        <is>
          <t>Frontend</t>
        </is>
      </c>
      <c r="C3898" s="17" t="inlineStr">
        <is>
          <t>web-scanner</t>
        </is>
      </c>
      <c r="D3898" s="16" t="inlineStr">
        <is>
          <t>Unit</t>
        </is>
      </c>
      <c r="E3898" s="17" t="inlineStr">
        <is>
          <t>Scanner.test.tsx</t>
        </is>
      </c>
      <c r="F3898" s="17" t="inlineStr">
        <is>
          <t>Scanner — ánh xạ kết quả quét ra màn hình</t>
        </is>
      </c>
      <c r="G3898" s="17" t="inlineStr">
        <is>
          <t>kết quả lạ GIA_TRI_LA KHÔNG bao giờ để màn hình trống: phải có thông báo và nút quét tiếp</t>
        </is>
      </c>
      <c r="H3898" s="17" t="inlineStr">
        <is>
          <t>Scanner — ánh xạ kết quả quét ra màn hình kết quả lạ GIA_TRI_LA KHÔNG bao giờ để màn hình trống: phải có thông báo và nút quét tiếp</t>
        </is>
      </c>
      <c r="I3898" s="16" t="inlineStr">
        <is>
          <t>Đạt</t>
        </is>
      </c>
      <c r="J3898" s="16" t="n">
        <v>0.016</v>
      </c>
    </row>
    <row r="3899">
      <c r="A3899" s="16" t="n">
        <v>3895</v>
      </c>
      <c r="B3899" s="16" t="inlineStr">
        <is>
          <t>Frontend</t>
        </is>
      </c>
      <c r="C3899" s="17" t="inlineStr">
        <is>
          <t>web-scanner</t>
        </is>
      </c>
      <c r="D3899" s="16" t="inlineStr">
        <is>
          <t>Unit</t>
        </is>
      </c>
      <c r="E3899" s="17" t="inlineStr">
        <is>
          <t>Scanner.test.tsx</t>
        </is>
      </c>
      <c r="F3899" s="17" t="inlineStr">
        <is>
          <t>Scanner — quét liên tiếp</t>
        </is>
      </c>
      <c r="G3899" s="17" t="inlineStr">
        <is>
          <t>đang hiện kết quả thì dừng đọc: cùng một mã quét lặp nhiều lần chỉ gọi server một lần</t>
        </is>
      </c>
      <c r="H3899" s="17" t="inlineStr">
        <is>
          <t>Scanner — quét liên tiếp đang hiện kết quả thì dừng đọc: cùng một mã quét lặp nhiều lần chỉ gọi server một lần</t>
        </is>
      </c>
      <c r="I3899" s="16" t="inlineStr">
        <is>
          <t>Đạt</t>
        </is>
      </c>
      <c r="J3899" s="16" t="n">
        <v>0.011</v>
      </c>
    </row>
    <row r="3900">
      <c r="A3900" s="16" t="n">
        <v>3896</v>
      </c>
      <c r="B3900" s="16" t="inlineStr">
        <is>
          <t>Frontend</t>
        </is>
      </c>
      <c r="C3900" s="17" t="inlineStr">
        <is>
          <t>web-scanner</t>
        </is>
      </c>
      <c r="D3900" s="16" t="inlineStr">
        <is>
          <t>Unit</t>
        </is>
      </c>
      <c r="E3900" s="17" t="inlineStr">
        <is>
          <t>Scanner.test.tsx</t>
        </is>
      </c>
      <c r="F3900" s="17" t="inlineStr">
        <is>
          <t>Scanner — quét liên tiếp</t>
        </is>
      </c>
      <c r="G3900" s="17" t="inlineStr">
        <is>
          <t>một lượt quét đang chờ server thì các nhịp đọc kế tiếp không gửi thêm request</t>
        </is>
      </c>
      <c r="H3900" s="17" t="inlineStr">
        <is>
          <t>Scanner — quét liên tiếp một lượt quét đang chờ server thì các nhịp đọc kế tiếp không gửi thêm request</t>
        </is>
      </c>
      <c r="I3900" s="16" t="inlineStr">
        <is>
          <t>Đạt</t>
        </is>
      </c>
      <c r="J3900" s="16" t="n">
        <v>0.022</v>
      </c>
    </row>
    <row r="3901">
      <c r="A3901" s="16" t="n">
        <v>3897</v>
      </c>
      <c r="B3901" s="16" t="inlineStr">
        <is>
          <t>Frontend</t>
        </is>
      </c>
      <c r="C3901" s="17" t="inlineStr">
        <is>
          <t>web-scanner</t>
        </is>
      </c>
      <c r="D3901" s="16" t="inlineStr">
        <is>
          <t>Unit</t>
        </is>
      </c>
      <c r="E3901" s="17" t="inlineStr">
        <is>
          <t>Scanner.test.tsx</t>
        </is>
      </c>
      <c r="F3901" s="17" t="inlineStr">
        <is>
          <t>Scanner — quét liên tiếp</t>
        </is>
      </c>
      <c r="G3901" s="17" t="inlineStr">
        <is>
          <t>bấm "QUÉT VÉ TIẾP THEO" xoá kết quả và đọc lại được mã kế tiếp</t>
        </is>
      </c>
      <c r="H3901" s="17" t="inlineStr">
        <is>
          <t>Scanner — quét liên tiếp bấm "QUÉT VÉ TIẾP THEO" xoá kết quả và đọc lại được mã kế tiếp</t>
        </is>
      </c>
      <c r="I3901" s="16" t="inlineStr">
        <is>
          <t>Đạt</t>
        </is>
      </c>
      <c r="J3901" s="16" t="n">
        <v>0.025</v>
      </c>
    </row>
    <row r="3902">
      <c r="A3902" s="16" t="n">
        <v>3898</v>
      </c>
      <c r="B3902" s="16" t="inlineStr">
        <is>
          <t>Frontend</t>
        </is>
      </c>
      <c r="C3902" s="17" t="inlineStr">
        <is>
          <t>web-scanner</t>
        </is>
      </c>
      <c r="D3902" s="16" t="inlineStr">
        <is>
          <t>Unit</t>
        </is>
      </c>
      <c r="E3902" s="17" t="inlineStr">
        <is>
          <t>Scanner.test.tsx</t>
        </is>
      </c>
      <c r="F3902" s="17" t="inlineStr">
        <is>
          <t>Scanner — quét liên tiếp</t>
        </is>
      </c>
      <c r="G3902" s="17" t="inlineStr">
        <is>
          <t>detector ném lỗi ở một nhịp thì bỏ qua nhịp đó và vẫn đọc được ở nhịp sau</t>
        </is>
      </c>
      <c r="H3902" s="17" t="inlineStr">
        <is>
          <t>Scanner — quét liên tiếp detector ném lỗi ở một nhịp thì bỏ qua nhịp đó và vẫn đọc được ở nhịp sau</t>
        </is>
      </c>
      <c r="I3902" s="16" t="inlineStr">
        <is>
          <t>Đạt</t>
        </is>
      </c>
      <c r="J3902" s="16" t="n">
        <v>0.013</v>
      </c>
    </row>
    <row r="3903">
      <c r="A3903" s="16" t="n">
        <v>3899</v>
      </c>
      <c r="B3903" s="16" t="inlineStr">
        <is>
          <t>Frontend</t>
        </is>
      </c>
      <c r="C3903" s="17" t="inlineStr">
        <is>
          <t>web-scanner</t>
        </is>
      </c>
      <c r="D3903" s="16" t="inlineStr">
        <is>
          <t>Unit</t>
        </is>
      </c>
      <c r="E3903" s="17" t="inlineStr">
        <is>
          <t>Scanner.test.tsx</t>
        </is>
      </c>
      <c r="F3903" s="17" t="inlineStr">
        <is>
          <t>Scanner — quét liên tiếp</t>
        </is>
      </c>
      <c r="G3903" s="17" t="inlineStr">
        <is>
          <t>khung hình không có mã thì không gọi server</t>
        </is>
      </c>
      <c r="H3903" s="17" t="inlineStr">
        <is>
          <t>Scanner — quét liên tiếp khung hình không có mã thì không gọi server</t>
        </is>
      </c>
      <c r="I3903" s="16" t="inlineStr">
        <is>
          <t>Đạt</t>
        </is>
      </c>
      <c r="J3903" s="16" t="n">
        <v>0.006</v>
      </c>
    </row>
    <row r="3904">
      <c r="A3904" s="16" t="n">
        <v>3900</v>
      </c>
      <c r="B3904" s="16" t="inlineStr">
        <is>
          <t>Frontend</t>
        </is>
      </c>
      <c r="C3904" s="17" t="inlineStr">
        <is>
          <t>web-scanner</t>
        </is>
      </c>
      <c r="D3904" s="16" t="inlineStr">
        <is>
          <t>Unit</t>
        </is>
      </c>
      <c r="E3904" s="17" t="inlineStr">
        <is>
          <t>Scanner.test.tsx</t>
        </is>
      </c>
      <c r="F3904" s="17" t="inlineStr">
        <is>
          <t>Scanner — lỗi khi gọi server</t>
        </is>
      </c>
      <c r="G3904" s="17" t="inlineStr">
        <is>
          <t>HTTP 401 hiện thông báo đúng và nút THỬ LẠI</t>
        </is>
      </c>
      <c r="H3904" s="17" t="inlineStr">
        <is>
          <t>Scanner — lỗi khi gọi server HTTP 401 hiện thông báo đúng và nút THỬ LẠI</t>
        </is>
      </c>
      <c r="I3904" s="16" t="inlineStr">
        <is>
          <t>Đạt</t>
        </is>
      </c>
      <c r="J3904" s="16" t="n">
        <v>0.019</v>
      </c>
    </row>
    <row r="3905">
      <c r="A3905" s="16" t="n">
        <v>3901</v>
      </c>
      <c r="B3905" s="16" t="inlineStr">
        <is>
          <t>Frontend</t>
        </is>
      </c>
      <c r="C3905" s="17" t="inlineStr">
        <is>
          <t>web-scanner</t>
        </is>
      </c>
      <c r="D3905" s="16" t="inlineStr">
        <is>
          <t>Unit</t>
        </is>
      </c>
      <c r="E3905" s="17" t="inlineStr">
        <is>
          <t>Scanner.test.tsx</t>
        </is>
      </c>
      <c r="F3905" s="17" t="inlineStr">
        <is>
          <t>Scanner — lỗi khi gọi server</t>
        </is>
      </c>
      <c r="G3905" s="17" t="inlineStr">
        <is>
          <t>HTTP 403 hiện thông báo đúng và nút THỬ LẠI</t>
        </is>
      </c>
      <c r="H3905" s="17" t="inlineStr">
        <is>
          <t>Scanner — lỗi khi gọi server HTTP 403 hiện thông báo đúng và nút THỬ LẠI</t>
        </is>
      </c>
      <c r="I3905" s="16" t="inlineStr">
        <is>
          <t>Đạt</t>
        </is>
      </c>
      <c r="J3905" s="16" t="n">
        <v>0.016</v>
      </c>
    </row>
    <row r="3906">
      <c r="A3906" s="16" t="n">
        <v>3902</v>
      </c>
      <c r="B3906" s="16" t="inlineStr">
        <is>
          <t>Frontend</t>
        </is>
      </c>
      <c r="C3906" s="17" t="inlineStr">
        <is>
          <t>web-scanner</t>
        </is>
      </c>
      <c r="D3906" s="16" t="inlineStr">
        <is>
          <t>Unit</t>
        </is>
      </c>
      <c r="E3906" s="17" t="inlineStr">
        <is>
          <t>Scanner.test.tsx</t>
        </is>
      </c>
      <c r="F3906" s="17" t="inlineStr">
        <is>
          <t>Scanner — lỗi khi gọi server</t>
        </is>
      </c>
      <c r="G3906" s="17" t="inlineStr">
        <is>
          <t>HTTP 500 hiện thông báo đúng và nút THỬ LẠI</t>
        </is>
      </c>
      <c r="H3906" s="17" t="inlineStr">
        <is>
          <t>Scanner — lỗi khi gọi server HTTP 500 hiện thông báo đúng và nút THỬ LẠI</t>
        </is>
      </c>
      <c r="I3906" s="16" t="inlineStr">
        <is>
          <t>Đạt</t>
        </is>
      </c>
      <c r="J3906" s="16" t="n">
        <v>0.022</v>
      </c>
    </row>
    <row r="3907">
      <c r="A3907" s="16" t="n">
        <v>3903</v>
      </c>
      <c r="B3907" s="16" t="inlineStr">
        <is>
          <t>Frontend</t>
        </is>
      </c>
      <c r="C3907" s="17" t="inlineStr">
        <is>
          <t>web-scanner</t>
        </is>
      </c>
      <c r="D3907" s="16" t="inlineStr">
        <is>
          <t>Unit</t>
        </is>
      </c>
      <c r="E3907" s="17" t="inlineStr">
        <is>
          <t>Scanner.test.tsx</t>
        </is>
      </c>
      <c r="F3907" s="17" t="inlineStr">
        <is>
          <t>Scanner — lỗi khi gọi server</t>
        </is>
      </c>
      <c r="G3907" s="17" t="inlineStr">
        <is>
          <t>mạng đứt hẳn (fetch ném lỗi) hiện thông báo mất kết nối, rồi THỬ LẠI cho quét lại</t>
        </is>
      </c>
      <c r="H3907" s="17" t="inlineStr">
        <is>
          <t>Scanner — lỗi khi gọi server mạng đứt hẳn (fetch ném lỗi) hiện thông báo mất kết nối, rồi THỬ LẠI cho quét lại</t>
        </is>
      </c>
      <c r="I3907" s="16" t="inlineStr">
        <is>
          <t>Đạt</t>
        </is>
      </c>
      <c r="J3907" s="16" t="n">
        <v>0.026</v>
      </c>
    </row>
    <row r="3908">
      <c r="A3908" s="16" t="n">
        <v>3904</v>
      </c>
      <c r="B3908" s="16" t="inlineStr">
        <is>
          <t>Frontend</t>
        </is>
      </c>
      <c r="C3908" s="17" t="inlineStr">
        <is>
          <t>web-scanner</t>
        </is>
      </c>
      <c r="D3908" s="16" t="inlineStr">
        <is>
          <t>Unit</t>
        </is>
      </c>
      <c r="E3908" s="17" t="inlineStr">
        <is>
          <t>Scanner.test.tsx</t>
        </is>
      </c>
      <c r="F3908" s="17" t="inlineStr">
        <is>
          <t>Scanner — nhập tay mã vé khi QR hỏng</t>
        </is>
      </c>
      <c r="G3908" s="17" t="inlineStr">
        <is>
          <t>gửi mã đã cắt khoảng trắng hai đầu</t>
        </is>
      </c>
      <c r="H3908" s="17" t="inlineStr">
        <is>
          <t>Scanner — nhập tay mã vé khi QR hỏng gửi mã đã cắt khoảng trắng hai đầu</t>
        </is>
      </c>
      <c r="I3908" s="16" t="inlineStr">
        <is>
          <t>Đạt</t>
        </is>
      </c>
      <c r="J3908" s="16" t="n">
        <v>0.029</v>
      </c>
    </row>
    <row r="3909">
      <c r="A3909" s="16" t="n">
        <v>3905</v>
      </c>
      <c r="B3909" s="16" t="inlineStr">
        <is>
          <t>Frontend</t>
        </is>
      </c>
      <c r="C3909" s="17" t="inlineStr">
        <is>
          <t>web-scanner</t>
        </is>
      </c>
      <c r="D3909" s="16" t="inlineStr">
        <is>
          <t>Unit</t>
        </is>
      </c>
      <c r="E3909" s="17" t="inlineStr">
        <is>
          <t>Scanner.test.tsx</t>
        </is>
      </c>
      <c r="F3909" s="17" t="inlineStr">
        <is>
          <t>Scanner — nhập tay mã vé khi QR hỏng</t>
        </is>
      </c>
      <c r="G3909" s="17" t="inlineStr">
        <is>
          <t>ô trống hoặc chỉ có khoảng trắng thì không gọi server</t>
        </is>
      </c>
      <c r="H3909" s="17" t="inlineStr">
        <is>
          <t>Scanner — nhập tay mã vé khi QR hỏng ô trống hoặc chỉ có khoảng trắng thì không gọi server</t>
        </is>
      </c>
      <c r="I3909" s="16" t="inlineStr">
        <is>
          <t>Đạt</t>
        </is>
      </c>
      <c r="J3909" s="16" t="n">
        <v>0.023</v>
      </c>
    </row>
    <row r="3910">
      <c r="A3910" s="16" t="n">
        <v>3906</v>
      </c>
      <c r="B3910" s="16" t="inlineStr">
        <is>
          <t>Frontend</t>
        </is>
      </c>
      <c r="C3910" s="17" t="inlineStr">
        <is>
          <t>web-scanner</t>
        </is>
      </c>
      <c r="D3910" s="16" t="inlineStr">
        <is>
          <t>Unit</t>
        </is>
      </c>
      <c r="E3910" s="17" t="inlineStr">
        <is>
          <t>Scanner.test.tsx</t>
        </is>
      </c>
      <c r="F3910" s="17" t="inlineStr">
        <is>
          <t>Scanner — nhập tay mã vé khi QR hỏng</t>
        </is>
      </c>
      <c r="G3910" s="17" t="inlineStr">
        <is>
          <t>khi đang hiện kết quả thì ô nhập tay biến mất cho tới khi bấm quét tiếp</t>
        </is>
      </c>
      <c r="H3910" s="17" t="inlineStr">
        <is>
          <t>Scanner — nhập tay mã vé khi QR hỏng khi đang hiện kết quả thì ô nhập tay biến mất cho tới khi bấm quét tiếp</t>
        </is>
      </c>
      <c r="I3910" s="16" t="inlineStr">
        <is>
          <t>Đạt</t>
        </is>
      </c>
      <c r="J3910" s="16" t="n">
        <v>0.03</v>
      </c>
    </row>
    <row r="3911">
      <c r="A3911" s="16" t="n">
        <v>3907</v>
      </c>
      <c r="B3911" s="16" t="inlineStr">
        <is>
          <t>Frontend</t>
        </is>
      </c>
      <c r="C3911" s="17" t="inlineStr">
        <is>
          <t>web-scanner</t>
        </is>
      </c>
      <c r="D3911" s="16" t="inlineStr">
        <is>
          <t>Unit</t>
        </is>
      </c>
      <c r="E3911" s="17" t="inlineStr">
        <is>
          <t>Scanner.test.tsx</t>
        </is>
      </c>
      <c r="F3911" s="17" t="inlineStr">
        <is>
          <t>Scanner — nhập tay mã vé khi QR hỏng</t>
        </is>
      </c>
      <c r="G3911" s="17" t="inlineStr">
        <is>
          <t>mất mạng: hiện dải cảnh báo, khoá nút SOÁT và không gửi mã; có mạng lại thì mở khoá</t>
        </is>
      </c>
      <c r="H3911" s="17" t="inlineStr">
        <is>
          <t>Scanner — nhập tay mã vé khi QR hỏng mất mạng: hiện dải cảnh báo, khoá nút SOÁT và không gửi mã; có mạng lại thì mở khoá</t>
        </is>
      </c>
      <c r="I3911" s="16" t="inlineStr">
        <is>
          <t>Đạt</t>
        </is>
      </c>
      <c r="J3911" s="16" t="n">
        <v>0.027</v>
      </c>
    </row>
    <row r="3912">
      <c r="A3912" s="16" t="n">
        <v>3908</v>
      </c>
      <c r="B3912" s="16" t="inlineStr">
        <is>
          <t>Frontend</t>
        </is>
      </c>
      <c r="C3912" s="17" t="inlineStr">
        <is>
          <t>web-scanner</t>
        </is>
      </c>
      <c r="D3912" s="16" t="inlineStr">
        <is>
          <t>Unit</t>
        </is>
      </c>
      <c r="E3912" s="17" t="inlineStr">
        <is>
          <t>Scanner.test.tsx</t>
        </is>
      </c>
      <c r="F3912" s="17" t="inlineStr">
        <is>
          <t>Scanner — camera và đèn pin</t>
        </is>
      </c>
      <c r="G3912" s="17" t="inlineStr">
        <is>
          <t>trình duyệt không có BarcodeDetector: báo dùng ô dán mã, ô dán vẫn có</t>
        </is>
      </c>
      <c r="H3912" s="17" t="inlineStr">
        <is>
          <t>Scanner — camera và đèn pin trình duyệt không có BarcodeDetector: báo dùng ô dán mã, ô dán vẫn có</t>
        </is>
      </c>
      <c r="I3912" s="16" t="inlineStr">
        <is>
          <t>Đạt</t>
        </is>
      </c>
      <c r="J3912" s="16" t="n">
        <v>0.008999999999999999</v>
      </c>
    </row>
    <row r="3913">
      <c r="A3913" s="16" t="n">
        <v>3909</v>
      </c>
      <c r="B3913" s="16" t="inlineStr">
        <is>
          <t>Frontend</t>
        </is>
      </c>
      <c r="C3913" s="17" t="inlineStr">
        <is>
          <t>web-scanner</t>
        </is>
      </c>
      <c r="D3913" s="16" t="inlineStr">
        <is>
          <t>Unit</t>
        </is>
      </c>
      <c r="E3913" s="17" t="inlineStr">
        <is>
          <t>Scanner.test.tsx</t>
        </is>
      </c>
      <c r="F3913" s="17" t="inlineStr">
        <is>
          <t>Scanner — camera và đèn pin</t>
        </is>
      </c>
      <c r="G3913" s="17" t="inlineStr">
        <is>
          <t>bị từ chối quyền camera: báo lỗi quyền, vẫn dùng được ô dán mã</t>
        </is>
      </c>
      <c r="H3913" s="17" t="inlineStr">
        <is>
          <t>Scanner — camera và đèn pin bị từ chối quyền camera: báo lỗi quyền, vẫn dùng được ô dán mã</t>
        </is>
      </c>
      <c r="I3913" s="16" t="inlineStr">
        <is>
          <t>Đạt</t>
        </is>
      </c>
      <c r="J3913" s="16" t="n">
        <v>0.007</v>
      </c>
    </row>
    <row r="3914">
      <c r="A3914" s="16" t="n">
        <v>3910</v>
      </c>
      <c r="B3914" s="16" t="inlineStr">
        <is>
          <t>Frontend</t>
        </is>
      </c>
      <c r="C3914" s="17" t="inlineStr">
        <is>
          <t>web-scanner</t>
        </is>
      </c>
      <c r="D3914" s="16" t="inlineStr">
        <is>
          <t>Unit</t>
        </is>
      </c>
      <c r="E3914" s="17" t="inlineStr">
        <is>
          <t>Scanner.test.tsx</t>
        </is>
      </c>
      <c r="F3914" s="17" t="inlineStr">
        <is>
          <t>Scanner — camera và đèn pin</t>
        </is>
      </c>
      <c r="G3914" s="17" t="inlineStr">
        <is>
          <t>chỉ hiện nút đèn pin khi track hỗ trợ torch, và bật gọi applyConstraints</t>
        </is>
      </c>
      <c r="H3914" s="17" t="inlineStr">
        <is>
          <t>Scanner — camera và đèn pin chỉ hiện nút đèn pin khi track hỗ trợ torch, và bật gọi applyConstraints</t>
        </is>
      </c>
      <c r="I3914" s="16" t="inlineStr">
        <is>
          <t>Đạt</t>
        </is>
      </c>
      <c r="J3914" s="16" t="n">
        <v>0.033</v>
      </c>
    </row>
    <row r="3915">
      <c r="A3915" s="16" t="n">
        <v>3911</v>
      </c>
      <c r="B3915" s="16" t="inlineStr">
        <is>
          <t>Frontend</t>
        </is>
      </c>
      <c r="C3915" s="17" t="inlineStr">
        <is>
          <t>web-scanner</t>
        </is>
      </c>
      <c r="D3915" s="16" t="inlineStr">
        <is>
          <t>Unit</t>
        </is>
      </c>
      <c r="E3915" s="17" t="inlineStr">
        <is>
          <t>Scanner.test.tsx</t>
        </is>
      </c>
      <c r="F3915" s="17" t="inlineStr">
        <is>
          <t>Scanner — camera và đèn pin</t>
        </is>
      </c>
      <c r="G3915" s="17" t="inlineStr">
        <is>
          <t>không hỗ trợ torch thì không có nút đèn pin</t>
        </is>
      </c>
      <c r="H3915" s="17" t="inlineStr">
        <is>
          <t>Scanner — camera và đèn pin không hỗ trợ torch thì không có nút đèn pin</t>
        </is>
      </c>
      <c r="I3915" s="16" t="inlineStr">
        <is>
          <t>Đạt</t>
        </is>
      </c>
      <c r="J3915" s="16" t="n">
        <v>0.011</v>
      </c>
    </row>
    <row r="3916">
      <c r="A3916" s="16" t="n">
        <v>3912</v>
      </c>
      <c r="B3916" s="16" t="inlineStr">
        <is>
          <t>Frontend</t>
        </is>
      </c>
      <c r="C3916" s="17" t="inlineStr">
        <is>
          <t>web-scanner</t>
        </is>
      </c>
      <c r="D3916" s="16" t="inlineStr">
        <is>
          <t>Unit</t>
        </is>
      </c>
      <c r="E3916" s="17" t="inlineStr">
        <is>
          <t>Scanner.test.tsx</t>
        </is>
      </c>
      <c r="F3916" s="17" t="inlineStr">
        <is>
          <t>Scanner — camera và đèn pin</t>
        </is>
      </c>
      <c r="G3916" s="17" t="inlineStr">
        <is>
          <t>bật đèn thất bại thì ẩn nút thay vì treo trạng thái sai</t>
        </is>
      </c>
      <c r="H3916" s="17" t="inlineStr">
        <is>
          <t>Scanner — camera và đèn pin bật đèn thất bại thì ẩn nút thay vì treo trạng thái sai</t>
        </is>
      </c>
      <c r="I3916" s="16" t="inlineStr">
        <is>
          <t>Đạt</t>
        </is>
      </c>
      <c r="J3916" s="16" t="n">
        <v>0.026</v>
      </c>
    </row>
    <row r="3917">
      <c r="A3917" s="16" t="n">
        <v>3913</v>
      </c>
      <c r="B3917" s="16" t="inlineStr">
        <is>
          <t>Frontend</t>
        </is>
      </c>
      <c r="C3917" s="17" t="inlineStr">
        <is>
          <t>web-scanner</t>
        </is>
      </c>
      <c r="D3917" s="16" t="inlineStr">
        <is>
          <t>Unit</t>
        </is>
      </c>
      <c r="E3917" s="17" t="inlineStr">
        <is>
          <t>Scanner.test.tsx</t>
        </is>
      </c>
      <c r="F3917" s="17" t="inlineStr">
        <is>
          <t>Scanner — camera và đèn pin</t>
        </is>
      </c>
      <c r="G3917" s="17" t="inlineStr">
        <is>
          <t>gỡ component thì dừng camera</t>
        </is>
      </c>
      <c r="H3917" s="17" t="inlineStr">
        <is>
          <t>Scanner — camera và đèn pin gỡ component thì dừng camera</t>
        </is>
      </c>
      <c r="I3917" s="16" t="inlineStr">
        <is>
          <t>Đạt</t>
        </is>
      </c>
      <c r="J3917" s="16" t="n">
        <v>0.004</v>
      </c>
    </row>
    <row r="3918">
      <c r="A3918" s="16" t="n">
        <v>3914</v>
      </c>
      <c r="B3918" s="16" t="inlineStr">
        <is>
          <t>Frontend</t>
        </is>
      </c>
      <c r="C3918" s="17" t="inlineStr">
        <is>
          <t>web-scanner</t>
        </is>
      </c>
      <c r="D3918" s="16" t="inlineStr">
        <is>
          <t>Unit</t>
        </is>
      </c>
      <c r="E3918" s="17" t="inlineStr">
        <is>
          <t>Scanner.test.tsx</t>
        </is>
      </c>
      <c r="F3918" s="17" t="inlineStr">
        <is>
          <t>Scanner — camera và đèn pin</t>
        </is>
      </c>
      <c r="G3918" s="17" t="inlineStr">
        <is>
          <t>hiện tên sự kiện và địa điểm; thiếu tên sự kiện thì dùng mã suất</t>
        </is>
      </c>
      <c r="H3918" s="17" t="inlineStr">
        <is>
          <t>Scanner — camera và đèn pin hiện tên sự kiện và địa điểm; thiếu tên sự kiện thì dùng mã suất</t>
        </is>
      </c>
      <c r="I3918" s="16" t="inlineStr">
        <is>
          <t>Đạt</t>
        </is>
      </c>
      <c r="J3918" s="16" t="n">
        <v>0.008999999999999999</v>
      </c>
    </row>
    <row r="3919">
      <c r="A3919" s="16" t="n">
        <v>3915</v>
      </c>
      <c r="B3919" s="16" t="inlineStr">
        <is>
          <t>Frontend</t>
        </is>
      </c>
      <c r="C3919" s="17" t="inlineStr">
        <is>
          <t>web-scanner</t>
        </is>
      </c>
      <c r="D3919" s="16" t="inlineStr">
        <is>
          <t>Unit</t>
        </is>
      </c>
      <c r="E3919" s="17" t="inlineStr">
        <is>
          <t>Scanner.test.tsx</t>
        </is>
      </c>
      <c r="F3919" s="17" t="inlineStr">
        <is>
          <t>Scanner — không có chế độ Vào/Ra</t>
        </is>
      </c>
      <c r="G3919" s="17" t="inlineStr">
        <is>
          <t>web-scanner chỉ quét Vào: không gửi `direction` và không có công tắc Ra</t>
        </is>
      </c>
      <c r="H3919" s="17" t="inlineStr">
        <is>
          <t>Scanner — không có chế độ Vào/Ra web-scanner chỉ quét Vào: không gửi `direction` và không có công tắc Ra</t>
        </is>
      </c>
      <c r="I3919" s="16" t="inlineStr">
        <is>
          <t>Đạt</t>
        </is>
      </c>
      <c r="J3919" s="16" t="n">
        <v>0.016</v>
      </c>
    </row>
    <row r="3920">
      <c r="A3920" s="16" t="n">
        <v>3916</v>
      </c>
      <c r="B3920" s="16" t="inlineStr">
        <is>
          <t>Frontend</t>
        </is>
      </c>
      <c r="C3920" s="17" t="inlineStr">
        <is>
          <t>web-scanner</t>
        </is>
      </c>
      <c r="D3920" s="16" t="inlineStr">
        <is>
          <t>Unit</t>
        </is>
      </c>
      <c r="E3920" s="17" t="inlineStr">
        <is>
          <t>SessionPicker.test.tsx</t>
        </is>
      </c>
      <c r="F3920" s="17" t="inlineStr">
        <is>
          <t>SessionPicker — tải danh sách suất</t>
        </is>
      </c>
      <c r="G3920" s="17" t="inlineStr">
        <is>
          <t>hiện trạng thái đang tải rồi gộp các suất cùng sự kiện vào một thẻ</t>
        </is>
      </c>
      <c r="H3920" s="17" t="inlineStr">
        <is>
          <t>SessionPicker — tải danh sách suất hiện trạng thái đang tải rồi gộp các suất cùng sự kiện vào một thẻ</t>
        </is>
      </c>
      <c r="I3920" s="16" t="inlineStr">
        <is>
          <t>Đạt</t>
        </is>
      </c>
      <c r="J3920" s="16" t="n">
        <v>0.13</v>
      </c>
    </row>
    <row r="3921">
      <c r="A3921" s="16" t="n">
        <v>3917</v>
      </c>
      <c r="B3921" s="16" t="inlineStr">
        <is>
          <t>Frontend</t>
        </is>
      </c>
      <c r="C3921" s="17" t="inlineStr">
        <is>
          <t>web-scanner</t>
        </is>
      </c>
      <c r="D3921" s="16" t="inlineStr">
        <is>
          <t>Unit</t>
        </is>
      </c>
      <c r="E3921" s="17" t="inlineStr">
        <is>
          <t>SessionPicker.test.tsx</t>
        </is>
      </c>
      <c r="F3921" s="17" t="inlineStr">
        <is>
          <t>SessionPicker — tải danh sách suất</t>
        </is>
      </c>
      <c r="G3921" s="17" t="inlineStr">
        <is>
          <t>mỗi suất là liên kết sang /scan với đủ tham số suất, tổ chức, tên, địa điểm, giờ</t>
        </is>
      </c>
      <c r="H3921" s="17" t="inlineStr">
        <is>
          <t>SessionPicker — tải danh sách suất mỗi suất là liên kết sang /scan với đủ tham số suất, tổ chức, tên, địa điểm, giờ</t>
        </is>
      </c>
      <c r="I3921" s="16" t="inlineStr">
        <is>
          <t>Đạt</t>
        </is>
      </c>
      <c r="J3921" s="16" t="n">
        <v>0.026</v>
      </c>
    </row>
    <row r="3922">
      <c r="A3922" s="16" t="n">
        <v>3918</v>
      </c>
      <c r="B3922" s="16" t="inlineStr">
        <is>
          <t>Frontend</t>
        </is>
      </c>
      <c r="C3922" s="17" t="inlineStr">
        <is>
          <t>web-scanner</t>
        </is>
      </c>
      <c r="D3922" s="16" t="inlineStr">
        <is>
          <t>Unit</t>
        </is>
      </c>
      <c r="E3922" s="17" t="inlineStr">
        <is>
          <t>SessionPicker.test.tsx</t>
        </is>
      </c>
      <c r="F3922" s="17" t="inlineStr">
        <is>
          <t>SessionPicker — tải danh sách suất</t>
        </is>
      </c>
      <c r="G3922" s="17" t="inlineStr">
        <is>
          <t>chỉ lấy suất của tổ chức ACTIVE mà người dùng có quyền CHECKIN_SCAN</t>
        </is>
      </c>
      <c r="H3922" s="17" t="inlineStr">
        <is>
          <t>SessionPicker — tải danh sách suất chỉ lấy suất của tổ chức ACTIVE mà người dùng có quyền CHECKIN_SCAN</t>
        </is>
      </c>
      <c r="I3922" s="16" t="inlineStr">
        <is>
          <t>Đạt</t>
        </is>
      </c>
      <c r="J3922" s="16" t="n">
        <v>0.017</v>
      </c>
    </row>
    <row r="3923">
      <c r="A3923" s="16" t="n">
        <v>3919</v>
      </c>
      <c r="B3923" s="16" t="inlineStr">
        <is>
          <t>Frontend</t>
        </is>
      </c>
      <c r="C3923" s="17" t="inlineStr">
        <is>
          <t>web-scanner</t>
        </is>
      </c>
      <c r="D3923" s="16" t="inlineStr">
        <is>
          <t>Unit</t>
        </is>
      </c>
      <c r="E3923" s="17" t="inlineStr">
        <is>
          <t>SessionPicker.test.tsx</t>
        </is>
      </c>
      <c r="F3923" s="17" t="inlineStr">
        <is>
          <t>SessionPicker — tải danh sách suất</t>
        </is>
      </c>
      <c r="G3923" s="17" t="inlineStr">
        <is>
          <t>suất của nhiều tổ chức được sắp theo giờ bắt đầu tăng dần</t>
        </is>
      </c>
      <c r="H3923" s="17" t="inlineStr">
        <is>
          <t>SessionPicker — tải danh sách suất suất của nhiều tổ chức được sắp theo giờ bắt đầu tăng dần</t>
        </is>
      </c>
      <c r="I3923" s="16" t="inlineStr">
        <is>
          <t>Đạt</t>
        </is>
      </c>
      <c r="J3923" s="16" t="n">
        <v>0.023</v>
      </c>
    </row>
    <row r="3924">
      <c r="A3924" s="16" t="n">
        <v>3920</v>
      </c>
      <c r="B3924" s="16" t="inlineStr">
        <is>
          <t>Frontend</t>
        </is>
      </c>
      <c r="C3924" s="17" t="inlineStr">
        <is>
          <t>web-scanner</t>
        </is>
      </c>
      <c r="D3924" s="16" t="inlineStr">
        <is>
          <t>Unit</t>
        </is>
      </c>
      <c r="E3924" s="17" t="inlineStr">
        <is>
          <t>SessionPicker.test.tsx</t>
        </is>
      </c>
      <c r="F3924" s="17" t="inlineStr">
        <is>
          <t>SessionPicker — tải danh sách suất</t>
        </is>
      </c>
      <c r="G3924" s="17" t="inlineStr">
        <is>
          <t>có quyền nhưng chưa có suất: nói rõ chưa có suất, kèm nút LÀM MỚI</t>
        </is>
      </c>
      <c r="H3924" s="17" t="inlineStr">
        <is>
          <t>SessionPicker — tải danh sách suất có quyền nhưng chưa có suất: nói rõ chưa có suất, kèm nút LÀM MỚI</t>
        </is>
      </c>
      <c r="I3924" s="16" t="inlineStr">
        <is>
          <t>Đạt</t>
        </is>
      </c>
      <c r="J3924" s="16" t="n">
        <v>0.02</v>
      </c>
    </row>
    <row r="3925">
      <c r="A3925" s="16" t="n">
        <v>3921</v>
      </c>
      <c r="B3925" s="16" t="inlineStr">
        <is>
          <t>Frontend</t>
        </is>
      </c>
      <c r="C3925" s="17" t="inlineStr">
        <is>
          <t>web-scanner</t>
        </is>
      </c>
      <c r="D3925" s="16" t="inlineStr">
        <is>
          <t>Unit</t>
        </is>
      </c>
      <c r="E3925" s="17" t="inlineStr">
        <is>
          <t>SessionPicker.test.tsx</t>
        </is>
      </c>
      <c r="F3925" s="17" t="inlineStr">
        <is>
          <t>SessionPicker — tải danh sách suất</t>
        </is>
      </c>
      <c r="G3925" s="17" t="inlineStr">
        <is>
          <t>không có tổ chức nào cấp quyền soát vé: báo thiếu quyền CHECKIN_SCAN, không phải "chưa có suất"</t>
        </is>
      </c>
      <c r="H3925" s="17" t="inlineStr">
        <is>
          <t>SessionPicker — tải danh sách suất không có tổ chức nào cấp quyền soát vé: báo thiếu quyền CHECKIN_SCAN, không phải "chưa có suất"</t>
        </is>
      </c>
      <c r="I3925" s="16" t="inlineStr">
        <is>
          <t>Đạt</t>
        </is>
      </c>
      <c r="J3925" s="16" t="n">
        <v>0.01</v>
      </c>
    </row>
    <row r="3926">
      <c r="A3926" s="16" t="n">
        <v>3922</v>
      </c>
      <c r="B3926" s="16" t="inlineStr">
        <is>
          <t>Frontend</t>
        </is>
      </c>
      <c r="C3926" s="17" t="inlineStr">
        <is>
          <t>web-scanner</t>
        </is>
      </c>
      <c r="D3926" s="16" t="inlineStr">
        <is>
          <t>Unit</t>
        </is>
      </c>
      <c r="E3926" s="17" t="inlineStr">
        <is>
          <t>SessionPicker.test.tsx</t>
        </is>
      </c>
      <c r="F3926" s="17" t="inlineStr">
        <is>
          <t>SessionPicker — tải danh sách suất</t>
        </is>
      </c>
      <c r="G3926" s="17" t="inlineStr">
        <is>
          <t>401 hiện thông báo hết phiên; lỗi khác hiện thông báo kết nối; TẢI LẠI gọi lại API</t>
        </is>
      </c>
      <c r="H3926" s="17" t="inlineStr">
        <is>
          <t>SessionPicker — tải danh sách suất 401 hiện thông báo hết phiên; lỗi khác hiện thông báo kết nối; TẢI LẠI gọi lại API</t>
        </is>
      </c>
      <c r="I3926" s="16" t="inlineStr">
        <is>
          <t>Đạt</t>
        </is>
      </c>
      <c r="J3926" s="16" t="n">
        <v>0.132</v>
      </c>
    </row>
    <row r="3927">
      <c r="A3927" s="16" t="n">
        <v>3923</v>
      </c>
      <c r="B3927" s="16" t="inlineStr">
        <is>
          <t>Frontend</t>
        </is>
      </c>
      <c r="C3927" s="17" t="inlineStr">
        <is>
          <t>web-scanner</t>
        </is>
      </c>
      <c r="D3927" s="16" t="inlineStr">
        <is>
          <t>Unit</t>
        </is>
      </c>
      <c r="E3927" s="17" t="inlineStr">
        <is>
          <t>SessionPicker.test.tsx</t>
        </is>
      </c>
      <c r="F3927" s="17" t="inlineStr">
        <is>
          <t>SessionPicker — tìm kiếm</t>
        </is>
      </c>
      <c r="G3927" s="17" t="inlineStr">
        <is>
          <t>gõ không dấu lọc ngay trên máy, hiện đếm khớp và không gọi thêm API</t>
        </is>
      </c>
      <c r="H3927" s="17" t="inlineStr">
        <is>
          <t>SessionPicker — tìm kiếm gõ không dấu lọc ngay trên máy, hiện đếm khớp và không gọi thêm API</t>
        </is>
      </c>
      <c r="I3927" s="16" t="inlineStr">
        <is>
          <t>Đạt</t>
        </is>
      </c>
      <c r="J3927" s="16" t="n">
        <v>0.184</v>
      </c>
    </row>
    <row r="3928">
      <c r="A3928" s="16" t="n">
        <v>3924</v>
      </c>
      <c r="B3928" s="16" t="inlineStr">
        <is>
          <t>Frontend</t>
        </is>
      </c>
      <c r="C3928" s="17" t="inlineStr">
        <is>
          <t>web-scanner</t>
        </is>
      </c>
      <c r="D3928" s="16" t="inlineStr">
        <is>
          <t>Unit</t>
        </is>
      </c>
      <c r="E3928" s="17" t="inlineStr">
        <is>
          <t>SessionPicker.test.tsx</t>
        </is>
      </c>
      <c r="F3928" s="17" t="inlineStr">
        <is>
          <t>SessionPicker — tìm kiếm</t>
        </is>
      </c>
      <c r="G3928" s="17" t="inlineStr">
        <is>
          <t>không khớp thì báo rõ từ khoá và XOÁ TÌM KIẾM đưa danh sách đầy đủ trở lại</t>
        </is>
      </c>
      <c r="H3928" s="17" t="inlineStr">
        <is>
          <t>SessionPicker — tìm kiếm không khớp thì báo rõ từ khoá và XOÁ TÌM KIẾM đưa danh sách đầy đủ trở lại</t>
        </is>
      </c>
      <c r="I3928" s="16" t="inlineStr">
        <is>
          <t>Đạt</t>
        </is>
      </c>
      <c r="J3928" s="16" t="n">
        <v>0.219</v>
      </c>
    </row>
    <row r="3929">
      <c r="A3929" s="16" t="n">
        <v>3925</v>
      </c>
      <c r="B3929" s="16" t="inlineStr">
        <is>
          <t>Frontend</t>
        </is>
      </c>
      <c r="C3929" s="17" t="inlineStr">
        <is>
          <t>web-scanner</t>
        </is>
      </c>
      <c r="D3929" s="16" t="inlineStr">
        <is>
          <t>Unit</t>
        </is>
      </c>
      <c r="E3929" s="17" t="inlineStr">
        <is>
          <t>SessionPicker.test.tsx</t>
        </is>
      </c>
      <c r="F3929" s="17" t="inlineStr">
        <is>
          <t>SessionPicker — tìm kiếm</t>
        </is>
      </c>
      <c r="G3929" s="17" t="inlineStr">
        <is>
          <t>nút × chỉ hiện khi đang tìm và xoá từ khoá</t>
        </is>
      </c>
      <c r="H3929" s="17" t="inlineStr">
        <is>
          <t>SessionPicker — tìm kiếm nút × chỉ hiện khi đang tìm và xoá từ khoá</t>
        </is>
      </c>
      <c r="I3929" s="16" t="inlineStr">
        <is>
          <t>Đạt</t>
        </is>
      </c>
      <c r="J3929" s="16" t="n">
        <v>0.262</v>
      </c>
    </row>
    <row r="3930">
      <c r="A3930" s="16" t="n">
        <v>3926</v>
      </c>
      <c r="B3930" s="16" t="inlineStr">
        <is>
          <t>Frontend</t>
        </is>
      </c>
      <c r="C3930" s="17" t="inlineStr">
        <is>
          <t>web-scanner</t>
        </is>
      </c>
      <c r="D3930" s="16" t="inlineStr">
        <is>
          <t>Unit</t>
        </is>
      </c>
      <c r="E3930" s="17" t="inlineStr">
        <is>
          <t>SessionPicker.test.tsx</t>
        </is>
      </c>
      <c r="F3930" s="17" t="inlineStr">
        <is>
          <t>SessionPicker — lời mời đang chờ</t>
        </is>
      </c>
      <c r="G3930" s="17" t="inlineStr">
        <is>
          <t>hiện tên tổ chức, nhãn vai trò tiếng Việt; vai trò lạ thì hiện nguyên mã</t>
        </is>
      </c>
      <c r="H3930" s="17" t="inlineStr">
        <is>
          <t>SessionPicker — lời mời đang chờ hiện tên tổ chức, nhãn vai trò tiếng Việt; vai trò lạ thì hiện nguyên mã</t>
        </is>
      </c>
      <c r="I3930" s="16" t="inlineStr">
        <is>
          <t>Đạt</t>
        </is>
      </c>
      <c r="J3930" s="16" t="n">
        <v>0.024</v>
      </c>
    </row>
    <row r="3931">
      <c r="A3931" s="16" t="n">
        <v>3927</v>
      </c>
      <c r="B3931" s="16" t="inlineStr">
        <is>
          <t>Frontend</t>
        </is>
      </c>
      <c r="C3931" s="17" t="inlineStr">
        <is>
          <t>web-scanner</t>
        </is>
      </c>
      <c r="D3931" s="16" t="inlineStr">
        <is>
          <t>Unit</t>
        </is>
      </c>
      <c r="E3931" s="17" t="inlineStr">
        <is>
          <t>SessionPicker.test.tsx</t>
        </is>
      </c>
      <c r="F3931" s="17" t="inlineStr">
        <is>
          <t>SessionPicker — lời mời đang chờ</t>
        </is>
      </c>
      <c r="G3931" s="17" t="inlineStr">
        <is>
          <t>lời mời hết hạn: ghi "Đã hết hạn" và khoá nút chấp nhận</t>
        </is>
      </c>
      <c r="H3931" s="17" t="inlineStr">
        <is>
          <t>SessionPicker — lời mời đang chờ lời mời hết hạn: ghi "Đã hết hạn" và khoá nút chấp nhận</t>
        </is>
      </c>
      <c r="I3931" s="16" t="inlineStr">
        <is>
          <t>Đạt</t>
        </is>
      </c>
      <c r="J3931" s="16" t="n">
        <v>0.025</v>
      </c>
    </row>
    <row r="3932">
      <c r="A3932" s="16" t="n">
        <v>3928</v>
      </c>
      <c r="B3932" s="16" t="inlineStr">
        <is>
          <t>Frontend</t>
        </is>
      </c>
      <c r="C3932" s="17" t="inlineStr">
        <is>
          <t>web-scanner</t>
        </is>
      </c>
      <c r="D3932" s="16" t="inlineStr">
        <is>
          <t>Unit</t>
        </is>
      </c>
      <c r="E3932" s="17" t="inlineStr">
        <is>
          <t>SessionPicker.test.tsx</t>
        </is>
      </c>
      <c r="F3932" s="17" t="inlineStr">
        <is>
          <t>SessionPicker — lời mời đang chờ</t>
        </is>
      </c>
      <c r="G3932" s="17" t="inlineStr">
        <is>
          <t>chấp nhận thành công: gọi đúng endpoint, báo thành công và tải lại danh sách</t>
        </is>
      </c>
      <c r="H3932" s="17" t="inlineStr">
        <is>
          <t>SessionPicker — lời mời đang chờ chấp nhận thành công: gọi đúng endpoint, báo thành công và tải lại danh sách</t>
        </is>
      </c>
      <c r="I3932" s="16" t="inlineStr">
        <is>
          <t>Đạt</t>
        </is>
      </c>
      <c r="J3932" s="16" t="n">
        <v>0.051</v>
      </c>
    </row>
    <row r="3933">
      <c r="A3933" s="16" t="n">
        <v>3929</v>
      </c>
      <c r="B3933" s="16" t="inlineStr">
        <is>
          <t>Frontend</t>
        </is>
      </c>
      <c r="C3933" s="17" t="inlineStr">
        <is>
          <t>web-scanner</t>
        </is>
      </c>
      <c r="D3933" s="16" t="inlineStr">
        <is>
          <t>Unit</t>
        </is>
      </c>
      <c r="E3933" s="17" t="inlineStr">
        <is>
          <t>SessionPicker.test.tsx</t>
        </is>
      </c>
      <c r="F3933" s="17" t="inlineStr">
        <is>
          <t>SessionPicker — lời mời đang chờ</t>
        </is>
      </c>
      <c r="G3933" s="17" t="inlineStr">
        <is>
          <t>chấp nhận thất bại với mã EMAIL_MISMATCH hiện thông báo riêng</t>
        </is>
      </c>
      <c r="H3933" s="17" t="inlineStr">
        <is>
          <t>SessionPicker — lời mời đang chờ chấp nhận thất bại với mã EMAIL_MISMATCH hiện thông báo riêng</t>
        </is>
      </c>
      <c r="I3933" s="16" t="inlineStr">
        <is>
          <t>Đạt</t>
        </is>
      </c>
      <c r="J3933" s="16" t="n">
        <v>0.076</v>
      </c>
    </row>
    <row r="3934">
      <c r="A3934" s="16" t="n">
        <v>3930</v>
      </c>
      <c r="B3934" s="16" t="inlineStr">
        <is>
          <t>Frontend</t>
        </is>
      </c>
      <c r="C3934" s="17" t="inlineStr">
        <is>
          <t>web-scanner</t>
        </is>
      </c>
      <c r="D3934" s="16" t="inlineStr">
        <is>
          <t>Unit</t>
        </is>
      </c>
      <c r="E3934" s="17" t="inlineStr">
        <is>
          <t>SessionPicker.test.tsx</t>
        </is>
      </c>
      <c r="F3934" s="17" t="inlineStr">
        <is>
          <t>SessionPicker — lời mời đang chờ</t>
        </is>
      </c>
      <c r="G3934" s="17" t="inlineStr">
        <is>
          <t>chấp nhận thất bại với mã INVITATION_EXPIRED hiện thông báo riêng</t>
        </is>
      </c>
      <c r="H3934" s="17" t="inlineStr">
        <is>
          <t>SessionPicker — lời mời đang chờ chấp nhận thất bại với mã INVITATION_EXPIRED hiện thông báo riêng</t>
        </is>
      </c>
      <c r="I3934" s="16" t="inlineStr">
        <is>
          <t>Đạt</t>
        </is>
      </c>
      <c r="J3934" s="16" t="n">
        <v>0.08</v>
      </c>
    </row>
    <row r="3935">
      <c r="A3935" s="16" t="n">
        <v>3931</v>
      </c>
      <c r="B3935" s="16" t="inlineStr">
        <is>
          <t>Frontend</t>
        </is>
      </c>
      <c r="C3935" s="17" t="inlineStr">
        <is>
          <t>web-scanner</t>
        </is>
      </c>
      <c r="D3935" s="16" t="inlineStr">
        <is>
          <t>Unit</t>
        </is>
      </c>
      <c r="E3935" s="17" t="inlineStr">
        <is>
          <t>SessionPicker.test.tsx</t>
        </is>
      </c>
      <c r="F3935" s="17" t="inlineStr">
        <is>
          <t>SessionPicker — lời mời đang chờ</t>
        </is>
      </c>
      <c r="G3935" s="17" t="inlineStr">
        <is>
          <t>chấp nhận thất bại với mã LOI_KHAC hiện thông báo riêng</t>
        </is>
      </c>
      <c r="H3935" s="17" t="inlineStr">
        <is>
          <t>SessionPicker — lời mời đang chờ chấp nhận thất bại với mã LOI_KHAC hiện thông báo riêng</t>
        </is>
      </c>
      <c r="I3935" s="16" t="inlineStr">
        <is>
          <t>Đạt</t>
        </is>
      </c>
      <c r="J3935" s="16" t="n">
        <v>0.041</v>
      </c>
    </row>
    <row r="3936">
      <c r="A3936" s="16" t="n">
        <v>3932</v>
      </c>
      <c r="B3936" s="16" t="inlineStr">
        <is>
          <t>Frontend</t>
        </is>
      </c>
      <c r="C3936" s="17" t="inlineStr">
        <is>
          <t>web-scanner</t>
        </is>
      </c>
      <c r="D3936" s="16" t="inlineStr">
        <is>
          <t>Unit</t>
        </is>
      </c>
      <c r="E3936" s="17" t="inlineStr">
        <is>
          <t>SessionPicker.test.tsx</t>
        </is>
      </c>
      <c r="F3936" s="17" t="inlineStr">
        <is>
          <t>formatSessionDate</t>
        </is>
      </c>
      <c r="G3936" s="17" t="inlineStr">
        <is>
          <t>định dạng ngày giờ kiểu Việt Nam, có năm và giờ phút</t>
        </is>
      </c>
      <c r="H3936" s="17" t="inlineStr">
        <is>
          <t>formatSessionDate định dạng ngày giờ kiểu Việt Nam, có năm và giờ phút</t>
        </is>
      </c>
      <c r="I3936" s="16" t="inlineStr">
        <is>
          <t>Đạt</t>
        </is>
      </c>
      <c r="J3936" s="16" t="n">
        <v>0.001</v>
      </c>
    </row>
    <row r="3937">
      <c r="A3937" s="16" t="n">
        <v>3933</v>
      </c>
      <c r="B3937" s="16" t="inlineStr">
        <is>
          <t>Frontend</t>
        </is>
      </c>
      <c r="C3937" s="17" t="inlineStr">
        <is>
          <t>web-scanner</t>
        </is>
      </c>
      <c r="D3937" s="16" t="inlineStr">
        <is>
          <t>Unit</t>
        </is>
      </c>
      <c r="E3937" s="17" t="inlineStr">
        <is>
          <t>session-search.test.ts</t>
        </is>
      </c>
      <c r="F3937" s="17" t="inlineStr">
        <is>
          <t>foldText</t>
        </is>
      </c>
      <c r="G3937" s="17" t="inlineStr">
        <is>
          <t>bỏ dấu tiếng Việt và đưa về chữ thường</t>
        </is>
      </c>
      <c r="H3937" s="17" t="inlineStr">
        <is>
          <t>foldText bỏ dấu tiếng Việt và đưa về chữ thường</t>
        </is>
      </c>
      <c r="I3937" s="16" t="inlineStr">
        <is>
          <t>Đạt</t>
        </is>
      </c>
      <c r="J3937" s="16" t="n">
        <v>0.001</v>
      </c>
    </row>
    <row r="3938">
      <c r="A3938" s="16" t="n">
        <v>3934</v>
      </c>
      <c r="B3938" s="16" t="inlineStr">
        <is>
          <t>Frontend</t>
        </is>
      </c>
      <c r="C3938" s="17" t="inlineStr">
        <is>
          <t>web-scanner</t>
        </is>
      </c>
      <c r="D3938" s="16" t="inlineStr">
        <is>
          <t>Unit</t>
        </is>
      </c>
      <c r="E3938" s="17" t="inlineStr">
        <is>
          <t>session-search.test.ts</t>
        </is>
      </c>
      <c r="F3938" s="17" t="inlineStr">
        <is>
          <t>foldText</t>
        </is>
      </c>
      <c r="G3938" s="17" t="inlineStr">
        <is>
          <t>đổi riêng đ/Đ vì NFD không tách được hai chữ này</t>
        </is>
      </c>
      <c r="H3938" s="17" t="inlineStr">
        <is>
          <t>foldText đổi riêng đ/Đ vì NFD không tách được hai chữ này</t>
        </is>
      </c>
      <c r="I3938" s="16" t="inlineStr">
        <is>
          <t>Đạt</t>
        </is>
      </c>
      <c r="J3938" s="16" t="n">
        <v>0</v>
      </c>
    </row>
    <row r="3939">
      <c r="A3939" s="16" t="n">
        <v>3935</v>
      </c>
      <c r="B3939" s="16" t="inlineStr">
        <is>
          <t>Frontend</t>
        </is>
      </c>
      <c r="C3939" s="17" t="inlineStr">
        <is>
          <t>web-scanner</t>
        </is>
      </c>
      <c r="D3939" s="16" t="inlineStr">
        <is>
          <t>Unit</t>
        </is>
      </c>
      <c r="E3939" s="17" t="inlineStr">
        <is>
          <t>session-search.test.ts</t>
        </is>
      </c>
      <c r="F3939" s="17" t="inlineStr">
        <is>
          <t>foldText</t>
        </is>
      </c>
      <c r="G3939" s="17" t="inlineStr">
        <is>
          <t>giữ nguyên chữ số và ký tự không dấu</t>
        </is>
      </c>
      <c r="H3939" s="17" t="inlineStr">
        <is>
          <t>foldText giữ nguyên chữ số và ký tự không dấu</t>
        </is>
      </c>
      <c r="I3939" s="16" t="inlineStr">
        <is>
          <t>Đạt</t>
        </is>
      </c>
      <c r="J3939" s="16" t="n">
        <v>0</v>
      </c>
    </row>
    <row r="3940">
      <c r="A3940" s="16" t="n">
        <v>3936</v>
      </c>
      <c r="B3940" s="16" t="inlineStr">
        <is>
          <t>Frontend</t>
        </is>
      </c>
      <c r="C3940" s="17" t="inlineStr">
        <is>
          <t>web-scanner</t>
        </is>
      </c>
      <c r="D3940" s="16" t="inlineStr">
        <is>
          <t>Unit</t>
        </is>
      </c>
      <c r="E3940" s="17" t="inlineStr">
        <is>
          <t>session-search.test.ts</t>
        </is>
      </c>
      <c r="F3940" s="17" t="inlineStr">
        <is>
          <t>matchesSession</t>
        </is>
      </c>
      <c r="G3940" s="17" t="inlineStr">
        <is>
          <t>truy vấn rỗng hoặc toàn khoảng trắng khớp mọi suất</t>
        </is>
      </c>
      <c r="H3940" s="17" t="inlineStr">
        <is>
          <t>matchesSession truy vấn rỗng hoặc toàn khoảng trắng khớp mọi suất</t>
        </is>
      </c>
      <c r="I3940" s="16" t="inlineStr">
        <is>
          <t>Đạt</t>
        </is>
      </c>
      <c r="J3940" s="16" t="n">
        <v>0</v>
      </c>
    </row>
    <row r="3941">
      <c r="A3941" s="16" t="n">
        <v>3937</v>
      </c>
      <c r="B3941" s="16" t="inlineStr">
        <is>
          <t>Frontend</t>
        </is>
      </c>
      <c r="C3941" s="17" t="inlineStr">
        <is>
          <t>web-scanner</t>
        </is>
      </c>
      <c r="D3941" s="16" t="inlineStr">
        <is>
          <t>Unit</t>
        </is>
      </c>
      <c r="E3941" s="17" t="inlineStr">
        <is>
          <t>session-search.test.ts</t>
        </is>
      </c>
      <c r="F3941" s="17" t="inlineStr">
        <is>
          <t>matchesSession</t>
        </is>
      </c>
      <c r="G3941" s="17" t="inlineStr">
        <is>
          <t>gõ không dấu vẫn khớp tên sự kiện có dấu</t>
        </is>
      </c>
      <c r="H3941" s="17" t="inlineStr">
        <is>
          <t>matchesSession gõ không dấu vẫn khớp tên sự kiện có dấu</t>
        </is>
      </c>
      <c r="I3941" s="16" t="inlineStr">
        <is>
          <t>Đạt</t>
        </is>
      </c>
      <c r="J3941" s="16" t="n">
        <v>0.016</v>
      </c>
    </row>
    <row r="3942">
      <c r="A3942" s="16" t="n">
        <v>3938</v>
      </c>
      <c r="B3942" s="16" t="inlineStr">
        <is>
          <t>Frontend</t>
        </is>
      </c>
      <c r="C3942" s="17" t="inlineStr">
        <is>
          <t>web-scanner</t>
        </is>
      </c>
      <c r="D3942" s="16" t="inlineStr">
        <is>
          <t>Unit</t>
        </is>
      </c>
      <c r="E3942" s="17" t="inlineStr">
        <is>
          <t>session-search.test.ts</t>
        </is>
      </c>
      <c r="F3942" s="17" t="inlineStr">
        <is>
          <t>matchesSession</t>
        </is>
      </c>
      <c r="G3942" s="17" t="inlineStr">
        <is>
          <t>khớp theo địa điểm và tên tổ chức</t>
        </is>
      </c>
      <c r="H3942" s="17" t="inlineStr">
        <is>
          <t>matchesSession khớp theo địa điểm và tên tổ chức</t>
        </is>
      </c>
      <c r="I3942" s="16" t="inlineStr">
        <is>
          <t>Đạt</t>
        </is>
      </c>
      <c r="J3942" s="16" t="n">
        <v>0.001</v>
      </c>
    </row>
    <row r="3943">
      <c r="A3943" s="16" t="n">
        <v>3939</v>
      </c>
      <c r="B3943" s="16" t="inlineStr">
        <is>
          <t>Frontend</t>
        </is>
      </c>
      <c r="C3943" s="17" t="inlineStr">
        <is>
          <t>web-scanner</t>
        </is>
      </c>
      <c r="D3943" s="16" t="inlineStr">
        <is>
          <t>Unit</t>
        </is>
      </c>
      <c r="E3943" s="17" t="inlineStr">
        <is>
          <t>session-search.test.ts</t>
        </is>
      </c>
      <c r="F3943" s="17" t="inlineStr">
        <is>
          <t>matchesSession</t>
        </is>
      </c>
      <c r="G3943" s="17" t="inlineStr">
        <is>
          <t>mọi từ đều phải xuất hiện (AND), bất kể thứ tự và trường</t>
        </is>
      </c>
      <c r="H3943" s="17" t="inlineStr">
        <is>
          <t>matchesSession mọi từ đều phải xuất hiện (AND), bất kể thứ tự và trường</t>
        </is>
      </c>
      <c r="I3943" s="16" t="inlineStr">
        <is>
          <t>Đạt</t>
        </is>
      </c>
      <c r="J3943" s="16" t="n">
        <v>0.001</v>
      </c>
    </row>
    <row r="3944">
      <c r="A3944" s="16" t="n">
        <v>3940</v>
      </c>
      <c r="B3944" s="16" t="inlineStr">
        <is>
          <t>Frontend</t>
        </is>
      </c>
      <c r="C3944" s="17" t="inlineStr">
        <is>
          <t>web-scanner</t>
        </is>
      </c>
      <c r="D3944" s="16" t="inlineStr">
        <is>
          <t>Unit</t>
        </is>
      </c>
      <c r="E3944" s="17" t="inlineStr">
        <is>
          <t>session-search.test.ts</t>
        </is>
      </c>
      <c r="F3944" s="17" t="inlineStr">
        <is>
          <t>matchesSession</t>
        </is>
      </c>
      <c r="G3944" s="17" t="inlineStr">
        <is>
          <t>khớp theo ngày gõ kiểu 15/10 và 15/10/2026</t>
        </is>
      </c>
      <c r="H3944" s="17" t="inlineStr">
        <is>
          <t>matchesSession khớp theo ngày gõ kiểu 15/10 và 15/10/2026</t>
        </is>
      </c>
      <c r="I3944" s="16" t="inlineStr">
        <is>
          <t>Đạt</t>
        </is>
      </c>
      <c r="J3944" s="16" t="n">
        <v>0.001</v>
      </c>
    </row>
    <row r="3945">
      <c r="A3945" s="16" t="n">
        <v>3941</v>
      </c>
      <c r="B3945" s="16" t="inlineStr">
        <is>
          <t>Frontend</t>
        </is>
      </c>
      <c r="C3945" s="17" t="inlineStr">
        <is>
          <t>web-scanner</t>
        </is>
      </c>
      <c r="D3945" s="16" t="inlineStr">
        <is>
          <t>Unit</t>
        </is>
      </c>
      <c r="E3945" s="17" t="inlineStr">
        <is>
          <t>session-search.test.ts</t>
        </is>
      </c>
      <c r="F3945" s="17" t="inlineStr">
        <is>
          <t>matchesSession</t>
        </is>
      </c>
      <c r="G3945" s="17" t="inlineStr">
        <is>
          <t>suất có ngày hỏng thì chỉ còn khớp theo chữ, không ném lỗi</t>
        </is>
      </c>
      <c r="H3945" s="17" t="inlineStr">
        <is>
          <t>matchesSession suất có ngày hỏng thì chỉ còn khớp theo chữ, không ném lỗi</t>
        </is>
      </c>
      <c r="I3945" s="16" t="inlineStr">
        <is>
          <t>Đạt</t>
        </is>
      </c>
      <c r="J3945" s="16" t="n">
        <v>0</v>
      </c>
    </row>
    <row r="3946">
      <c r="A3946" s="16" t="n">
        <v>3942</v>
      </c>
      <c r="B3946" s="16" t="inlineStr">
        <is>
          <t>Frontend</t>
        </is>
      </c>
      <c r="C3946" s="17" t="inlineStr">
        <is>
          <t>web-platform</t>
        </is>
      </c>
      <c r="D3946" s="16" t="inlineStr">
        <is>
          <t>Unit</t>
        </is>
      </c>
      <c r="E3946" s="17" t="inlineStr">
        <is>
          <t>components.test.tsx</t>
        </is>
      </c>
      <c r="F3946" s="17" t="inlineStr">
        <is>
          <t>SuperAdminGate — quyền hiển thị khu vực nền tảng</t>
        </is>
      </c>
      <c r="G3946" s="17" t="inlineStr">
        <is>
          <t>trong lúc chưa biết quyền thì hiện khung chờ, không lộ nội dung</t>
        </is>
      </c>
      <c r="H3946" s="17" t="inlineStr">
        <is>
          <t>SuperAdminGate — quyền hiển thị khu vực nền tảng trong lúc chưa biết quyền thì hiện khung chờ, không lộ nội dung</t>
        </is>
      </c>
      <c r="I3946" s="16" t="inlineStr">
        <is>
          <t>Đạt</t>
        </is>
      </c>
      <c r="J3946" s="16" t="n">
        <v>0.062</v>
      </c>
    </row>
    <row r="3947">
      <c r="A3947" s="16" t="n">
        <v>3943</v>
      </c>
      <c r="B3947" s="16" t="inlineStr">
        <is>
          <t>Frontend</t>
        </is>
      </c>
      <c r="C3947" s="17" t="inlineStr">
        <is>
          <t>web-platform</t>
        </is>
      </c>
      <c r="D3947" s="16" t="inlineStr">
        <is>
          <t>Unit</t>
        </is>
      </c>
      <c r="E3947" s="17" t="inlineStr">
        <is>
          <t>components.test.tsx</t>
        </is>
      </c>
      <c r="F3947" s="17" t="inlineStr">
        <is>
          <t>SuperAdminGate — quyền hiển thị khu vực nền tảng</t>
        </is>
      </c>
      <c r="G3947" s="17" t="inlineStr">
        <is>
          <t>có PLATFORM_ORG_MANAGE thì hiện nội dung</t>
        </is>
      </c>
      <c r="H3947" s="17" t="inlineStr">
        <is>
          <t>SuperAdminGate — quyền hiển thị khu vực nền tảng có PLATFORM_ORG_MANAGE thì hiện nội dung</t>
        </is>
      </c>
      <c r="I3947" s="16" t="inlineStr">
        <is>
          <t>Đạt</t>
        </is>
      </c>
      <c r="J3947" s="16" t="n">
        <v>0.03</v>
      </c>
    </row>
    <row r="3948">
      <c r="A3948" s="16" t="n">
        <v>3944</v>
      </c>
      <c r="B3948" s="16" t="inlineStr">
        <is>
          <t>Frontend</t>
        </is>
      </c>
      <c r="C3948" s="17" t="inlineStr">
        <is>
          <t>web-platform</t>
        </is>
      </c>
      <c r="D3948" s="16" t="inlineStr">
        <is>
          <t>Unit</t>
        </is>
      </c>
      <c r="E3948" s="17" t="inlineStr">
        <is>
          <t>components.test.tsx</t>
        </is>
      </c>
      <c r="F3948" s="17" t="inlineStr">
        <is>
          <t>SuperAdminGate — quyền hiển thị khu vực nền tảng</t>
        </is>
      </c>
      <c r="G3948" s="17" t="inlineStr">
        <is>
          <t>người thường (có quyền tổ chức nhưng không có quyền nền tảng) thấy thông báo, không thấy nội dung</t>
        </is>
      </c>
      <c r="H3948" s="17" t="inlineStr">
        <is>
          <t>SuperAdminGate — quyền hiển thị khu vực nền tảng người thường (có quyền tổ chức nhưng không có quyền nền tảng) thấy thông báo, không thấy nội dung</t>
        </is>
      </c>
      <c r="I3948" s="16" t="inlineStr">
        <is>
          <t>Đạt</t>
        </is>
      </c>
      <c r="J3948" s="16" t="n">
        <v>0.022</v>
      </c>
    </row>
    <row r="3949">
      <c r="A3949" s="16" t="n">
        <v>3945</v>
      </c>
      <c r="B3949" s="16" t="inlineStr">
        <is>
          <t>Frontend</t>
        </is>
      </c>
      <c r="C3949" s="17" t="inlineStr">
        <is>
          <t>web-platform</t>
        </is>
      </c>
      <c r="D3949" s="16" t="inlineStr">
        <is>
          <t>Unit</t>
        </is>
      </c>
      <c r="E3949" s="17" t="inlineStr">
        <is>
          <t>components.test.tsx</t>
        </is>
      </c>
      <c r="F3949" s="17" t="inlineStr">
        <is>
          <t>SuperAdminGate — quyền hiển thị khu vực nền tảng</t>
        </is>
      </c>
      <c r="G3949" s="17" t="inlineStr">
        <is>
          <t>cờ superAdmin một mình không đủ: phải có đúng quyền PLATFORM_ORG_MANAGE</t>
        </is>
      </c>
      <c r="H3949" s="17" t="inlineStr">
        <is>
          <t>SuperAdminGate — quyền hiển thị khu vực nền tảng cờ superAdmin một mình không đủ: phải có đúng quyền PLATFORM_ORG_MANAGE</t>
        </is>
      </c>
      <c r="I3949" s="16" t="inlineStr">
        <is>
          <t>Đạt</t>
        </is>
      </c>
      <c r="J3949" s="16" t="n">
        <v>0.024</v>
      </c>
    </row>
    <row r="3950">
      <c r="A3950" s="16" t="n">
        <v>3946</v>
      </c>
      <c r="B3950" s="16" t="inlineStr">
        <is>
          <t>Frontend</t>
        </is>
      </c>
      <c r="C3950" s="17" t="inlineStr">
        <is>
          <t>web-platform</t>
        </is>
      </c>
      <c r="D3950" s="16" t="inlineStr">
        <is>
          <t>Unit</t>
        </is>
      </c>
      <c r="E3950" s="17" t="inlineStr">
        <is>
          <t>components.test.tsx</t>
        </is>
      </c>
      <c r="F3950" s="17" t="inlineStr">
        <is>
          <t>SuperAdminGate — quyền hiển thị khu vực nền tảng</t>
        </is>
      </c>
      <c r="G3950" s="17" t="inlineStr">
        <is>
          <t>gọi quyền lỗi thì hiện lỗi chứ KHÔNG bảo là thiếu quyền</t>
        </is>
      </c>
      <c r="H3950" s="17" t="inlineStr">
        <is>
          <t>SuperAdminGate — quyền hiển thị khu vực nền tảng gọi quyền lỗi thì hiện lỗi chứ KHÔNG bảo là thiếu quyền</t>
        </is>
      </c>
      <c r="I3950" s="16" t="inlineStr">
        <is>
          <t>Đạt</t>
        </is>
      </c>
      <c r="J3950" s="16" t="n">
        <v>0.175</v>
      </c>
    </row>
    <row r="3951">
      <c r="A3951" s="16" t="n">
        <v>3947</v>
      </c>
      <c r="B3951" s="16" t="inlineStr">
        <is>
          <t>Frontend</t>
        </is>
      </c>
      <c r="C3951" s="17" t="inlineStr">
        <is>
          <t>web-platform</t>
        </is>
      </c>
      <c r="D3951" s="16" t="inlineStr">
        <is>
          <t>Unit</t>
        </is>
      </c>
      <c r="E3951" s="17" t="inlineStr">
        <is>
          <t>components.test.tsx</t>
        </is>
      </c>
      <c r="F3951" s="17" t="inlineStr">
        <is>
          <t>OrganizationBalancePanel</t>
        </is>
      </c>
      <c r="G3951" s="17" t="inlineStr">
        <is>
          <t>hiện bốn tài khoản tách riêng, mỗi số tiền đúng nhãn, và gọi đúng endpoint</t>
        </is>
      </c>
      <c r="H3951" s="17" t="inlineStr">
        <is>
          <t>OrganizationBalancePanel hiện bốn tài khoản tách riêng, mỗi số tiền đúng nhãn, và gọi đúng endpoint</t>
        </is>
      </c>
      <c r="I3951" s="16" t="inlineStr">
        <is>
          <t>Đạt</t>
        </is>
      </c>
      <c r="J3951" s="16" t="n">
        <v>0.129</v>
      </c>
    </row>
    <row r="3952">
      <c r="A3952" s="16" t="n">
        <v>3948</v>
      </c>
      <c r="B3952" s="16" t="inlineStr">
        <is>
          <t>Frontend</t>
        </is>
      </c>
      <c r="C3952" s="17" t="inlineStr">
        <is>
          <t>web-platform</t>
        </is>
      </c>
      <c r="D3952" s="16" t="inlineStr">
        <is>
          <t>Unit</t>
        </is>
      </c>
      <c r="E3952" s="17" t="inlineStr">
        <is>
          <t>components.test.tsx</t>
        </is>
      </c>
      <c r="F3952" s="17" t="inlineStr">
        <is>
          <t>OrganizationBalancePanel</t>
        </is>
      </c>
      <c r="G3952" s="17" t="inlineStr">
        <is>
          <t>lỗi thì hiện khối lỗi kèm thử lại, và KHÔNG vẽ bốn số 0</t>
        </is>
      </c>
      <c r="H3952" s="17" t="inlineStr">
        <is>
          <t>OrganizationBalancePanel lỗi thì hiện khối lỗi kèm thử lại, và KHÔNG vẽ bốn số 0</t>
        </is>
      </c>
      <c r="I3952" s="16" t="inlineStr">
        <is>
          <t>Đạt</t>
        </is>
      </c>
      <c r="J3952" s="16" t="n">
        <v>0.06</v>
      </c>
    </row>
    <row r="3953">
      <c r="A3953" s="16" t="n">
        <v>3949</v>
      </c>
      <c r="B3953" s="16" t="inlineStr">
        <is>
          <t>Frontend</t>
        </is>
      </c>
      <c r="C3953" s="17" t="inlineStr">
        <is>
          <t>web-platform</t>
        </is>
      </c>
      <c r="D3953" s="16" t="inlineStr">
        <is>
          <t>Unit</t>
        </is>
      </c>
      <c r="E3953" s="17" t="inlineStr">
        <is>
          <t>components.test.tsx</t>
        </is>
      </c>
      <c r="F3953" s="17" t="inlineStr">
        <is>
          <t>OrganizationBalancePanel</t>
        </is>
      </c>
      <c r="G3953" s="17" t="inlineStr">
        <is>
          <t>404 (ledger-service chưa chạy) cũng hiện lỗi chứ không vẽ số dư</t>
        </is>
      </c>
      <c r="H3953" s="17" t="inlineStr">
        <is>
          <t>OrganizationBalancePanel 404 (ledger-service chưa chạy) cũng hiện lỗi chứ không vẽ số dư</t>
        </is>
      </c>
      <c r="I3953" s="16" t="inlineStr">
        <is>
          <t>Đạt</t>
        </is>
      </c>
      <c r="J3953" s="16" t="n">
        <v>0.058</v>
      </c>
    </row>
    <row r="3954">
      <c r="A3954" s="16" t="n">
        <v>3950</v>
      </c>
      <c r="B3954" s="16" t="inlineStr">
        <is>
          <t>Frontend</t>
        </is>
      </c>
      <c r="C3954" s="17" t="inlineStr">
        <is>
          <t>web-platform</t>
        </is>
      </c>
      <c r="D3954" s="16" t="inlineStr">
        <is>
          <t>Unit</t>
        </is>
      </c>
      <c r="E3954" s="17" t="inlineStr">
        <is>
          <t>components.test.tsx</t>
        </is>
      </c>
      <c r="F3954" s="17" t="inlineStr">
        <is>
          <t>OrganizationBalancePanel</t>
        </is>
      </c>
      <c r="G3954" s="17" t="inlineStr">
        <is>
          <t>bấm thử lại hỏi lại server và hiện số dư khi server đã hồi phục</t>
        </is>
      </c>
      <c r="H3954" s="17" t="inlineStr">
        <is>
          <t>OrganizationBalancePanel bấm thử lại hỏi lại server và hiện số dư khi server đã hồi phục</t>
        </is>
      </c>
      <c r="I3954" s="16" t="inlineStr">
        <is>
          <t>Đạt</t>
        </is>
      </c>
      <c r="J3954" s="16" t="n">
        <v>0.168</v>
      </c>
    </row>
    <row r="3955">
      <c r="A3955" s="16" t="n">
        <v>3951</v>
      </c>
      <c r="B3955" s="16" t="inlineStr">
        <is>
          <t>Frontend</t>
        </is>
      </c>
      <c r="C3955" s="17" t="inlineStr">
        <is>
          <t>web-platform</t>
        </is>
      </c>
      <c r="D3955" s="16" t="inlineStr">
        <is>
          <t>Unit</t>
        </is>
      </c>
      <c r="E3955" s="17" t="inlineStr">
        <is>
          <t>components.test.tsx</t>
        </is>
      </c>
      <c r="F3955" s="17" t="inlineStr">
        <is>
          <t>UserAccountDialog</t>
        </is>
      </c>
      <c r="G3955" s="17" t="inlineStr">
        <is>
          <t>tiêu đề dùng họ tên; thiếu họ tên thì dùng email, thiếu cả hai thì dùng userId</t>
        </is>
      </c>
      <c r="H3955" s="17" t="inlineStr">
        <is>
          <t>UserAccountDialog tiêu đề dùng họ tên; thiếu họ tên thì dùng email, thiếu cả hai thì dùng userId</t>
        </is>
      </c>
      <c r="I3955" s="16" t="inlineStr">
        <is>
          <t>Đạt</t>
        </is>
      </c>
      <c r="J3955" s="16" t="n">
        <v>0.116</v>
      </c>
    </row>
    <row r="3956">
      <c r="A3956" s="16" t="n">
        <v>3952</v>
      </c>
      <c r="B3956" s="16" t="inlineStr">
        <is>
          <t>Frontend</t>
        </is>
      </c>
      <c r="C3956" s="17" t="inlineStr">
        <is>
          <t>web-platform</t>
        </is>
      </c>
      <c r="D3956" s="16" t="inlineStr">
        <is>
          <t>Unit</t>
        </is>
      </c>
      <c r="E3956" s="17" t="inlineStr">
        <is>
          <t>components.test.tsx</t>
        </is>
      </c>
      <c r="F3956" s="17" t="inlineStr">
        <is>
          <t>UserAccountDialog</t>
        </is>
      </c>
      <c r="G3956" s="17" t="inlineStr">
        <is>
          <t>nút Vô hiệu hoá bị khoá cho tới khi có lý do; chỉ khoảng trắng không tính</t>
        </is>
      </c>
      <c r="H3956" s="17" t="inlineStr">
        <is>
          <t>UserAccountDialog nút Vô hiệu hoá bị khoá cho tới khi có lý do; chỉ khoảng trắng không tính</t>
        </is>
      </c>
      <c r="I3956" s="16" t="inlineStr">
        <is>
          <t>Đạt</t>
        </is>
      </c>
      <c r="J3956" s="16" t="n">
        <v>0.408</v>
      </c>
    </row>
    <row r="3957">
      <c r="A3957" s="16" t="n">
        <v>3953</v>
      </c>
      <c r="B3957" s="16" t="inlineStr">
        <is>
          <t>Frontend</t>
        </is>
      </c>
      <c r="C3957" s="17" t="inlineStr">
        <is>
          <t>web-platform</t>
        </is>
      </c>
      <c r="D3957" s="16" t="inlineStr">
        <is>
          <t>Unit</t>
        </is>
      </c>
      <c r="E3957" s="17" t="inlineStr">
        <is>
          <t>components.test.tsx</t>
        </is>
      </c>
      <c r="F3957" s="17" t="inlineStr">
        <is>
          <t>UserAccountDialog</t>
        </is>
      </c>
      <c r="G3957" s="17" t="inlineStr">
        <is>
          <t>vô hiệu hoá: gửi lý do đã cắt khoảng trắng, đóng hộp thoại khi thành công</t>
        </is>
      </c>
      <c r="H3957" s="17" t="inlineStr">
        <is>
          <t>UserAccountDialog vô hiệu hoá: gửi lý do đã cắt khoảng trắng, đóng hộp thoại khi thành công</t>
        </is>
      </c>
      <c r="I3957" s="16" t="inlineStr">
        <is>
          <t>Đạt</t>
        </is>
      </c>
      <c r="J3957" s="16" t="n">
        <v>0.342</v>
      </c>
    </row>
    <row r="3958">
      <c r="A3958" s="16" t="n">
        <v>3954</v>
      </c>
      <c r="B3958" s="16" t="inlineStr">
        <is>
          <t>Frontend</t>
        </is>
      </c>
      <c r="C3958" s="17" t="inlineStr">
        <is>
          <t>web-platform</t>
        </is>
      </c>
      <c r="D3958" s="16" t="inlineStr">
        <is>
          <t>Unit</t>
        </is>
      </c>
      <c r="E3958" s="17" t="inlineStr">
        <is>
          <t>components.test.tsx</t>
        </is>
      </c>
      <c r="F3958" s="17" t="inlineStr">
        <is>
          <t>UserAccountDialog</t>
        </is>
      </c>
      <c r="G3958" s="17" t="inlineStr">
        <is>
          <t>khôi phục không cần lý do</t>
        </is>
      </c>
      <c r="H3958" s="17" t="inlineStr">
        <is>
          <t>UserAccountDialog khôi phục không cần lý do</t>
        </is>
      </c>
      <c r="I3958" s="16" t="inlineStr">
        <is>
          <t>Đạt</t>
        </is>
      </c>
      <c r="J3958" s="16" t="n">
        <v>0.108</v>
      </c>
    </row>
    <row r="3959">
      <c r="A3959" s="16" t="n">
        <v>3955</v>
      </c>
      <c r="B3959" s="16" t="inlineStr">
        <is>
          <t>Frontend</t>
        </is>
      </c>
      <c r="C3959" s="17" t="inlineStr">
        <is>
          <t>web-platform</t>
        </is>
      </c>
      <c r="D3959" s="16" t="inlineStr">
        <is>
          <t>Unit</t>
        </is>
      </c>
      <c r="E3959" s="17" t="inlineStr">
        <is>
          <t>components.test.tsx</t>
        </is>
      </c>
      <c r="F3959" s="17" t="inlineStr">
        <is>
          <t>UserAccountDialog</t>
        </is>
      </c>
      <c r="G3959" s="17" t="inlineStr">
        <is>
          <t>server từ chối (403) thì giữ hộp thoại mở và không báo thành công</t>
        </is>
      </c>
      <c r="H3959" s="17" t="inlineStr">
        <is>
          <t>UserAccountDialog server từ chối (403) thì giữ hộp thoại mở và không báo thành công</t>
        </is>
      </c>
      <c r="I3959" s="16" t="inlineStr">
        <is>
          <t>Đạt</t>
        </is>
      </c>
      <c r="J3959" s="16" t="n">
        <v>0.194</v>
      </c>
    </row>
    <row r="3960">
      <c r="A3960" s="16" t="n">
        <v>3956</v>
      </c>
      <c r="B3960" s="16" t="inlineStr">
        <is>
          <t>Frontend</t>
        </is>
      </c>
      <c r="C3960" s="17" t="inlineStr">
        <is>
          <t>web-platform</t>
        </is>
      </c>
      <c r="D3960" s="16" t="inlineStr">
        <is>
          <t>Unit</t>
        </is>
      </c>
      <c r="E3960" s="17" t="inlineStr">
        <is>
          <t>components.test.tsx</t>
        </is>
      </c>
      <c r="F3960" s="17" t="inlineStr">
        <is>
          <t>UserAccountDialog</t>
        </is>
      </c>
      <c r="G3960" s="17" t="inlineStr">
        <is>
          <t>nút Đóng gọi onClose</t>
        </is>
      </c>
      <c r="H3960" s="17" t="inlineStr">
        <is>
          <t>UserAccountDialog nút Đóng gọi onClose</t>
        </is>
      </c>
      <c r="I3960" s="16" t="inlineStr">
        <is>
          <t>Đạt</t>
        </is>
      </c>
      <c r="J3960" s="16" t="n">
        <v>0.081</v>
      </c>
    </row>
    <row r="3961">
      <c r="A3961" s="16" t="n">
        <v>3957</v>
      </c>
      <c r="B3961" s="16" t="inlineStr">
        <is>
          <t>Frontend</t>
        </is>
      </c>
      <c r="C3961" s="17" t="inlineStr">
        <is>
          <t>web-platform</t>
        </is>
      </c>
      <c r="D3961" s="16" t="inlineStr">
        <is>
          <t>Unit</t>
        </is>
      </c>
      <c r="E3961" s="17" t="inlineStr">
        <is>
          <t>concert-templates.test.tsx</t>
        </is>
      </c>
      <c r="F3961" s="17" t="inlineStr">
        <is>
          <t>nhãn và tông màu trạng thái khung</t>
        </is>
      </c>
      <c r="G3961" s="17" t="inlineStr">
        <is>
          <t>DRAFT → nhãn "Nháp", tông neutral</t>
        </is>
      </c>
      <c r="H3961" s="17" t="inlineStr">
        <is>
          <t>nhãn và tông màu trạng thái khung DRAFT → nhãn "Nháp", tông neutral</t>
        </is>
      </c>
      <c r="I3961" s="16" t="inlineStr">
        <is>
          <t>Đạt</t>
        </is>
      </c>
      <c r="J3961" s="16" t="n">
        <v>0.002</v>
      </c>
    </row>
    <row r="3962">
      <c r="A3962" s="16" t="n">
        <v>3958</v>
      </c>
      <c r="B3962" s="16" t="inlineStr">
        <is>
          <t>Frontend</t>
        </is>
      </c>
      <c r="C3962" s="17" t="inlineStr">
        <is>
          <t>web-platform</t>
        </is>
      </c>
      <c r="D3962" s="16" t="inlineStr">
        <is>
          <t>Unit</t>
        </is>
      </c>
      <c r="E3962" s="17" t="inlineStr">
        <is>
          <t>concert-templates.test.tsx</t>
        </is>
      </c>
      <c r="F3962" s="17" t="inlineStr">
        <is>
          <t>nhãn và tông màu trạng thái khung</t>
        </is>
      </c>
      <c r="G3962" s="17" t="inlineStr">
        <is>
          <t>ACTIVE → nhãn "Đang mở", tông success</t>
        </is>
      </c>
      <c r="H3962" s="17" t="inlineStr">
        <is>
          <t>nhãn và tông màu trạng thái khung ACTIVE → nhãn "Đang mở", tông success</t>
        </is>
      </c>
      <c r="I3962" s="16" t="inlineStr">
        <is>
          <t>Đạt</t>
        </is>
      </c>
      <c r="J3962" s="16" t="n">
        <v>0</v>
      </c>
    </row>
    <row r="3963">
      <c r="A3963" s="16" t="n">
        <v>3959</v>
      </c>
      <c r="B3963" s="16" t="inlineStr">
        <is>
          <t>Frontend</t>
        </is>
      </c>
      <c r="C3963" s="17" t="inlineStr">
        <is>
          <t>web-platform</t>
        </is>
      </c>
      <c r="D3963" s="16" t="inlineStr">
        <is>
          <t>Unit</t>
        </is>
      </c>
      <c r="E3963" s="17" t="inlineStr">
        <is>
          <t>concert-templates.test.tsx</t>
        </is>
      </c>
      <c r="F3963" s="17" t="inlineStr">
        <is>
          <t>nhãn và tông màu trạng thái khung</t>
        </is>
      </c>
      <c r="G3963" s="17" t="inlineStr">
        <is>
          <t>ARCHIVED → nhãn "Đã lưu trữ", tông warn</t>
        </is>
      </c>
      <c r="H3963" s="17" t="inlineStr">
        <is>
          <t>nhãn và tông màu trạng thái khung ARCHIVED → nhãn "Đã lưu trữ", tông warn</t>
        </is>
      </c>
      <c r="I3963" s="16" t="inlineStr">
        <is>
          <t>Đạt</t>
        </is>
      </c>
      <c r="J3963" s="16" t="n">
        <v>0</v>
      </c>
    </row>
    <row r="3964">
      <c r="A3964" s="16" t="n">
        <v>3960</v>
      </c>
      <c r="B3964" s="16" t="inlineStr">
        <is>
          <t>Frontend</t>
        </is>
      </c>
      <c r="C3964" s="17" t="inlineStr">
        <is>
          <t>web-platform</t>
        </is>
      </c>
      <c r="D3964" s="16" t="inlineStr">
        <is>
          <t>Unit</t>
        </is>
      </c>
      <c r="E3964" s="17" t="inlineStr">
        <is>
          <t>concert-templates.test.tsx</t>
        </is>
      </c>
      <c r="F3964" s="17" t="inlineStr">
        <is>
          <t>nhãn và tông màu trạng thái khung</t>
        </is>
      </c>
      <c r="G3964" s="17" t="inlineStr">
        <is>
          <t>đủ nhãn cho cả ba trạng thái, không thiếu cái nào</t>
        </is>
      </c>
      <c r="H3964" s="17" t="inlineStr">
        <is>
          <t>nhãn và tông màu trạng thái khung đủ nhãn cho cả ba trạng thái, không thiếu cái nào</t>
        </is>
      </c>
      <c r="I3964" s="16" t="inlineStr">
        <is>
          <t>Đạt</t>
        </is>
      </c>
      <c r="J3964" s="16" t="n">
        <v>0.001</v>
      </c>
    </row>
    <row r="3965">
      <c r="A3965" s="16" t="n">
        <v>3961</v>
      </c>
      <c r="B3965" s="16" t="inlineStr">
        <is>
          <t>Frontend</t>
        </is>
      </c>
      <c r="C3965" s="17" t="inlineStr">
        <is>
          <t>web-platform</t>
        </is>
      </c>
      <c r="D3965" s="16" t="inlineStr">
        <is>
          <t>Unit</t>
        </is>
      </c>
      <c r="E3965" s="17" t="inlineStr">
        <is>
          <t>concert-templates.test.tsx</t>
        </is>
      </c>
      <c r="F3965" s="17" t="inlineStr">
        <is>
          <t>usePlatformTemplates</t>
        </is>
      </c>
      <c r="G3965" s="17" t="inlineStr">
        <is>
          <t>không lọc thì gọi danh sách trần, không kèm ?status</t>
        </is>
      </c>
      <c r="H3965" s="17" t="inlineStr">
        <is>
          <t>usePlatformTemplates không lọc thì gọi danh sách trần, không kèm ?status</t>
        </is>
      </c>
      <c r="I3965" s="16" t="inlineStr">
        <is>
          <t>Đạt</t>
        </is>
      </c>
      <c r="J3965" s="16" t="n">
        <v>0.111</v>
      </c>
    </row>
    <row r="3966">
      <c r="A3966" s="16" t="n">
        <v>3962</v>
      </c>
      <c r="B3966" s="16" t="inlineStr">
        <is>
          <t>Frontend</t>
        </is>
      </c>
      <c r="C3966" s="17" t="inlineStr">
        <is>
          <t>web-platform</t>
        </is>
      </c>
      <c r="D3966" s="16" t="inlineStr">
        <is>
          <t>Unit</t>
        </is>
      </c>
      <c r="E3966" s="17" t="inlineStr">
        <is>
          <t>concert-templates.test.tsx</t>
        </is>
      </c>
      <c r="F3966" s="17" t="inlineStr">
        <is>
          <t>usePlatformTemplates</t>
        </is>
      </c>
      <c r="G3966" s="17" t="inlineStr">
        <is>
          <t>lọc theo trạng thái thì thêm ?status=</t>
        </is>
      </c>
      <c r="H3966" s="17" t="inlineStr">
        <is>
          <t>usePlatformTemplates lọc theo trạng thái thì thêm ?status=</t>
        </is>
      </c>
      <c r="I3966" s="16" t="inlineStr">
        <is>
          <t>Đạt</t>
        </is>
      </c>
      <c r="J3966" s="16" t="n">
        <v>0.075</v>
      </c>
    </row>
    <row r="3967">
      <c r="A3967" s="16" t="n">
        <v>3963</v>
      </c>
      <c r="B3967" s="16" t="inlineStr">
        <is>
          <t>Frontend</t>
        </is>
      </c>
      <c r="C3967" s="17" t="inlineStr">
        <is>
          <t>web-platform</t>
        </is>
      </c>
      <c r="D3967" s="16" t="inlineStr">
        <is>
          <t>Unit</t>
        </is>
      </c>
      <c r="E3967" s="17" t="inlineStr">
        <is>
          <t>concert-templates.test.tsx</t>
        </is>
      </c>
      <c r="F3967" s="17" t="inlineStr">
        <is>
          <t>usePlatformTemplates</t>
        </is>
      </c>
      <c r="G3967" s="17" t="inlineStr">
        <is>
          <t>lỗi server đi vào trạng thái lỗi chứ không trả danh sách rỗng</t>
        </is>
      </c>
      <c r="H3967" s="17" t="inlineStr">
        <is>
          <t>usePlatformTemplates lỗi server đi vào trạng thái lỗi chứ không trả danh sách rỗng</t>
        </is>
      </c>
      <c r="I3967" s="16" t="inlineStr">
        <is>
          <t>Đạt</t>
        </is>
      </c>
      <c r="J3967" s="16" t="n">
        <v>0.078</v>
      </c>
    </row>
    <row r="3968">
      <c r="A3968" s="16" t="n">
        <v>3964</v>
      </c>
      <c r="B3968" s="16" t="inlineStr">
        <is>
          <t>Frontend</t>
        </is>
      </c>
      <c r="C3968" s="17" t="inlineStr">
        <is>
          <t>web-platform</t>
        </is>
      </c>
      <c r="D3968" s="16" t="inlineStr">
        <is>
          <t>Unit</t>
        </is>
      </c>
      <c r="E3968" s="17" t="inlineStr">
        <is>
          <t>concert-templates.test.tsx</t>
        </is>
      </c>
      <c r="F3968" s="17" t="inlineStr">
        <is>
          <t>usePlatformTemplate</t>
        </is>
      </c>
      <c r="G3968" s="17" t="inlineStr">
        <is>
          <t>đọc chi tiết theo id</t>
        </is>
      </c>
      <c r="H3968" s="17" t="inlineStr">
        <is>
          <t>usePlatformTemplate đọc chi tiết theo id</t>
        </is>
      </c>
      <c r="I3968" s="16" t="inlineStr">
        <is>
          <t>Đạt</t>
        </is>
      </c>
      <c r="J3968" s="16" t="n">
        <v>0.077</v>
      </c>
    </row>
    <row r="3969">
      <c r="A3969" s="16" t="n">
        <v>3965</v>
      </c>
      <c r="B3969" s="16" t="inlineStr">
        <is>
          <t>Frontend</t>
        </is>
      </c>
      <c r="C3969" s="17" t="inlineStr">
        <is>
          <t>web-platform</t>
        </is>
      </c>
      <c r="D3969" s="16" t="inlineStr">
        <is>
          <t>Unit</t>
        </is>
      </c>
      <c r="E3969" s="17" t="inlineStr">
        <is>
          <t>concert-templates.test.tsx</t>
        </is>
      </c>
      <c r="F3969" s="17" t="inlineStr">
        <is>
          <t>các lệnh ghi khung</t>
        </is>
      </c>
      <c r="G3969" s="17" t="inlineStr">
        <is>
          <t>tạo khung: POST body đúng; kết quả ghi thẳng vào cache chi tiết và làm hỏng cache danh sách</t>
        </is>
      </c>
      <c r="H3969" s="17" t="inlineStr">
        <is>
          <t>các lệnh ghi khung tạo khung: POST body đúng; kết quả ghi thẳng vào cache chi tiết và làm hỏng cache danh sách</t>
        </is>
      </c>
      <c r="I3969" s="16" t="inlineStr">
        <is>
          <t>Đạt</t>
        </is>
      </c>
      <c r="J3969" s="16" t="n">
        <v>0.079</v>
      </c>
    </row>
    <row r="3970">
      <c r="A3970" s="16" t="n">
        <v>3966</v>
      </c>
      <c r="B3970" s="16" t="inlineStr">
        <is>
          <t>Frontend</t>
        </is>
      </c>
      <c r="C3970" s="17" t="inlineStr">
        <is>
          <t>web-platform</t>
        </is>
      </c>
      <c r="D3970" s="16" t="inlineStr">
        <is>
          <t>Unit</t>
        </is>
      </c>
      <c r="E3970" s="17" t="inlineStr">
        <is>
          <t>concert-templates.test.tsx</t>
        </is>
      </c>
      <c r="F3970" s="17" t="inlineStr">
        <is>
          <t>các lệnh ghi khung</t>
        </is>
      </c>
      <c r="G3970" s="17" t="inlineStr">
        <is>
          <t>sửa khung dùng PATCH, thay cả tập khu dùng PUT .../zones</t>
        </is>
      </c>
      <c r="H3970" s="17" t="inlineStr">
        <is>
          <t>các lệnh ghi khung sửa khung dùng PATCH, thay cả tập khu dùng PUT .../zones</t>
        </is>
      </c>
      <c r="I3970" s="16" t="inlineStr">
        <is>
          <t>Đạt</t>
        </is>
      </c>
      <c r="J3970" s="16" t="n">
        <v>0.159</v>
      </c>
    </row>
    <row r="3971">
      <c r="A3971" s="16" t="n">
        <v>3967</v>
      </c>
      <c r="B3971" s="16" t="inlineStr">
        <is>
          <t>Frontend</t>
        </is>
      </c>
      <c r="C3971" s="17" t="inlineStr">
        <is>
          <t>web-platform</t>
        </is>
      </c>
      <c r="D3971" s="16" t="inlineStr">
        <is>
          <t>Unit</t>
        </is>
      </c>
      <c r="E3971" s="17" t="inlineStr">
        <is>
          <t>concert-templates.test.tsx</t>
        </is>
      </c>
      <c r="F3971" s="17" t="inlineStr">
        <is>
          <t>các lệnh ghi khung</t>
        </is>
      </c>
      <c r="G3971" s="17" t="inlineStr">
        <is>
          <t>đổi trạng thái activate là POST .../%s không body</t>
        </is>
      </c>
      <c r="H3971" s="17" t="inlineStr">
        <is>
          <t>các lệnh ghi khung đổi trạng thái activate là POST .../%s không body</t>
        </is>
      </c>
      <c r="I3971" s="16" t="inlineStr">
        <is>
          <t>Đạt</t>
        </is>
      </c>
      <c r="J3971" s="16" t="n">
        <v>0.07199999999999999</v>
      </c>
    </row>
    <row r="3972">
      <c r="A3972" s="16" t="n">
        <v>3968</v>
      </c>
      <c r="B3972" s="16" t="inlineStr">
        <is>
          <t>Frontend</t>
        </is>
      </c>
      <c r="C3972" s="17" t="inlineStr">
        <is>
          <t>web-platform</t>
        </is>
      </c>
      <c r="D3972" s="16" t="inlineStr">
        <is>
          <t>Unit</t>
        </is>
      </c>
      <c r="E3972" s="17" t="inlineStr">
        <is>
          <t>concert-templates.test.tsx</t>
        </is>
      </c>
      <c r="F3972" s="17" t="inlineStr">
        <is>
          <t>các lệnh ghi khung</t>
        </is>
      </c>
      <c r="G3972" s="17" t="inlineStr">
        <is>
          <t>đổi trạng thái archive là POST .../%s không body</t>
        </is>
      </c>
      <c r="H3972" s="17" t="inlineStr">
        <is>
          <t>các lệnh ghi khung đổi trạng thái archive là POST .../%s không body</t>
        </is>
      </c>
      <c r="I3972" s="16" t="inlineStr">
        <is>
          <t>Đạt</t>
        </is>
      </c>
      <c r="J3972" s="16" t="n">
        <v>0.062</v>
      </c>
    </row>
    <row r="3973">
      <c r="A3973" s="16" t="n">
        <v>3969</v>
      </c>
      <c r="B3973" s="16" t="inlineStr">
        <is>
          <t>Frontend</t>
        </is>
      </c>
      <c r="C3973" s="17" t="inlineStr">
        <is>
          <t>web-platform</t>
        </is>
      </c>
      <c r="D3973" s="16" t="inlineStr">
        <is>
          <t>Unit</t>
        </is>
      </c>
      <c r="E3973" s="17" t="inlineStr">
        <is>
          <t>concert-templates.test.tsx</t>
        </is>
      </c>
      <c r="F3973" s="17" t="inlineStr">
        <is>
          <t>các lệnh ghi khung</t>
        </is>
      </c>
      <c r="G3973" s="17" t="inlineStr">
        <is>
          <t>đổi trạng thái draft là POST .../%s không body</t>
        </is>
      </c>
      <c r="H3973" s="17" t="inlineStr">
        <is>
          <t>các lệnh ghi khung đổi trạng thái draft là POST .../%s không body</t>
        </is>
      </c>
      <c r="I3973" s="16" t="inlineStr">
        <is>
          <t>Đạt</t>
        </is>
      </c>
      <c r="J3973" s="16" t="n">
        <v>0.076</v>
      </c>
    </row>
    <row r="3974">
      <c r="A3974" s="16" t="n">
        <v>3970</v>
      </c>
      <c r="B3974" s="16" t="inlineStr">
        <is>
          <t>Frontend</t>
        </is>
      </c>
      <c r="C3974" s="17" t="inlineStr">
        <is>
          <t>web-platform</t>
        </is>
      </c>
      <c r="D3974" s="16" t="inlineStr">
        <is>
          <t>Unit</t>
        </is>
      </c>
      <c r="E3974" s="17" t="inlineStr">
        <is>
          <t>concert-templates.test.tsx</t>
        </is>
      </c>
      <c r="F3974" s="17" t="inlineStr">
        <is>
          <t>các lệnh ghi khung</t>
        </is>
      </c>
      <c r="G3974" s="17" t="inlineStr">
        <is>
          <t>xoá khung: DELETE, chỉ làm hỏng cache danh sách</t>
        </is>
      </c>
      <c r="H3974" s="17" t="inlineStr">
        <is>
          <t>các lệnh ghi khung xoá khung: DELETE, chỉ làm hỏng cache danh sách</t>
        </is>
      </c>
      <c r="I3974" s="16" t="inlineStr">
        <is>
          <t>Đạt</t>
        </is>
      </c>
      <c r="J3974" s="16" t="n">
        <v>0.078</v>
      </c>
    </row>
    <row r="3975">
      <c r="A3975" s="16" t="n">
        <v>3971</v>
      </c>
      <c r="B3975" s="16" t="inlineStr">
        <is>
          <t>Frontend</t>
        </is>
      </c>
      <c r="C3975" s="17" t="inlineStr">
        <is>
          <t>web-platform</t>
        </is>
      </c>
      <c r="D3975" s="16" t="inlineStr">
        <is>
          <t>Unit</t>
        </is>
      </c>
      <c r="E3975" s="17" t="inlineStr">
        <is>
          <t>concert-templates.test.tsx</t>
        </is>
      </c>
      <c r="F3975" s="17" t="inlineStr">
        <is>
          <t>các lệnh ghi khung</t>
        </is>
      </c>
      <c r="G3975" s="17" t="inlineStr">
        <is>
          <t>server từ chối (khung đang được dùng) thì mutation báo lỗi</t>
        </is>
      </c>
      <c r="H3975" s="17" t="inlineStr">
        <is>
          <t>các lệnh ghi khung server từ chối (khung đang được dùng) thì mutation báo lỗi</t>
        </is>
      </c>
      <c r="I3975" s="16" t="inlineStr">
        <is>
          <t>Đạt</t>
        </is>
      </c>
      <c r="J3975" s="16" t="n">
        <v>0.078</v>
      </c>
    </row>
    <row r="3976">
      <c r="A3976" s="16" t="n">
        <v>3972</v>
      </c>
      <c r="B3976" s="16" t="inlineStr">
        <is>
          <t>Frontend</t>
        </is>
      </c>
      <c r="C3976" s="17" t="inlineStr">
        <is>
          <t>web-platform</t>
        </is>
      </c>
      <c r="D3976" s="16" t="inlineStr">
        <is>
          <t>Unit</t>
        </is>
      </c>
      <c r="E3976" s="17" t="inlineStr">
        <is>
          <t>platform-users.test.tsx</t>
        </is>
      </c>
      <c r="F3976" s="17" t="inlineStr">
        <is>
          <t>useUserLifecycle</t>
        </is>
      </c>
      <c r="G3976" s="17" t="inlineStr">
        <is>
          <t>vô hiệu hoá: POST .../disable kèm lý do</t>
        </is>
      </c>
      <c r="H3976" s="17" t="inlineStr">
        <is>
          <t>useUserLifecycle vô hiệu hoá: POST .../disable kèm lý do</t>
        </is>
      </c>
      <c r="I3976" s="16" t="inlineStr">
        <is>
          <t>Đạt</t>
        </is>
      </c>
      <c r="J3976" s="16" t="n">
        <v>0.101</v>
      </c>
    </row>
    <row r="3977">
      <c r="A3977" s="16" t="n">
        <v>3973</v>
      </c>
      <c r="B3977" s="16" t="inlineStr">
        <is>
          <t>Frontend</t>
        </is>
      </c>
      <c r="C3977" s="17" t="inlineStr">
        <is>
          <t>web-platform</t>
        </is>
      </c>
      <c r="D3977" s="16" t="inlineStr">
        <is>
          <t>Unit</t>
        </is>
      </c>
      <c r="E3977" s="17" t="inlineStr">
        <is>
          <t>platform-users.test.tsx</t>
        </is>
      </c>
      <c r="F3977" s="17" t="inlineStr">
        <is>
          <t>useUserLifecycle</t>
        </is>
      </c>
      <c r="G3977" s="17" t="inlineStr">
        <is>
          <t>khôi phục: POST .../enable không body</t>
        </is>
      </c>
      <c r="H3977" s="17" t="inlineStr">
        <is>
          <t>useUserLifecycle khôi phục: POST .../enable không body</t>
        </is>
      </c>
      <c r="I3977" s="16" t="inlineStr">
        <is>
          <t>Đạt</t>
        </is>
      </c>
      <c r="J3977" s="16" t="n">
        <v>0.076</v>
      </c>
    </row>
    <row r="3978">
      <c r="A3978" s="16" t="n">
        <v>3974</v>
      </c>
      <c r="B3978" s="16" t="inlineStr">
        <is>
          <t>Frontend</t>
        </is>
      </c>
      <c r="C3978" s="17" t="inlineStr">
        <is>
          <t>web-platform</t>
        </is>
      </c>
      <c r="D3978" s="16" t="inlineStr">
        <is>
          <t>Unit</t>
        </is>
      </c>
      <c r="E3978" s="17" t="inlineStr">
        <is>
          <t>platform-users.test.tsx</t>
        </is>
      </c>
      <c r="F3978" s="17" t="inlineStr">
        <is>
          <t>useUserLifecycle</t>
        </is>
      </c>
      <c r="G3978" s="17" t="inlineStr">
        <is>
          <t>thành công thì làm hỏng cache nhật ký nền tảng (mỗi lệnh ghi một dòng nhật ký)</t>
        </is>
      </c>
      <c r="H3978" s="17" t="inlineStr">
        <is>
          <t>useUserLifecycle thành công thì làm hỏng cache nhật ký nền tảng (mỗi lệnh ghi một dòng nhật ký)</t>
        </is>
      </c>
      <c r="I3978" s="16" t="inlineStr">
        <is>
          <t>Đạt</t>
        </is>
      </c>
      <c r="J3978" s="16" t="n">
        <v>0.077</v>
      </c>
    </row>
    <row r="3979">
      <c r="A3979" s="16" t="n">
        <v>3975</v>
      </c>
      <c r="B3979" s="16" t="inlineStr">
        <is>
          <t>Frontend</t>
        </is>
      </c>
      <c r="C3979" s="17" t="inlineStr">
        <is>
          <t>web-platform</t>
        </is>
      </c>
      <c r="D3979" s="16" t="inlineStr">
        <is>
          <t>Unit</t>
        </is>
      </c>
      <c r="E3979" s="17" t="inlineStr">
        <is>
          <t>platform-users.test.tsx</t>
        </is>
      </c>
      <c r="F3979" s="17" t="inlineStr">
        <is>
          <t>useUserLifecycle</t>
        </is>
      </c>
      <c r="G3979" s="17" t="inlineStr">
        <is>
          <t>tự khoá chính mình bị server từ chối 403 thì mutation báo lỗi và không làm hỏng cache</t>
        </is>
      </c>
      <c r="H3979" s="17" t="inlineStr">
        <is>
          <t>useUserLifecycle tự khoá chính mình bị server từ chối 403 thì mutation báo lỗi và không làm hỏng cache</t>
        </is>
      </c>
      <c r="I3979" s="16" t="inlineStr">
        <is>
          <t>Đạt</t>
        </is>
      </c>
      <c r="J3979" s="16" t="n">
        <v>0.076</v>
      </c>
    </row>
    <row r="3980">
      <c r="A3980" s="16" t="n">
        <v>3976</v>
      </c>
      <c r="B3980" s="16" t="inlineStr">
        <is>
          <t>Frontend</t>
        </is>
      </c>
      <c r="C3980" s="17" t="inlineStr">
        <is>
          <t>web-platform</t>
        </is>
      </c>
      <c r="D3980" s="16" t="inlineStr">
        <is>
          <t>Unit</t>
        </is>
      </c>
      <c r="E3980" s="17" t="inlineStr">
        <is>
          <t>audit.test.tsx</t>
        </is>
      </c>
      <c r="F3980" s="17" t="inlineStr">
        <is>
          <t>Nhật ký nền tảng — quyền xem</t>
        </is>
      </c>
      <c r="G3980" s="17" t="inlineStr">
        <is>
          <t>thiếu PLATFORM_AUDIT_READ: hiện thông báo thiếu quyền và KHÔNG gọi API nhật ký</t>
        </is>
      </c>
      <c r="H3980" s="17" t="inlineStr">
        <is>
          <t>Nhật ký nền tảng — quyền xem thiếu PLATFORM_AUDIT_READ: hiện thông báo thiếu quyền và KHÔNG gọi API nhật ký</t>
        </is>
      </c>
      <c r="I3980" s="16" t="inlineStr">
        <is>
          <t>Đạt</t>
        </is>
      </c>
      <c r="J3980" s="16" t="n">
        <v>0.068</v>
      </c>
    </row>
    <row r="3981">
      <c r="A3981" s="16" t="n">
        <v>3977</v>
      </c>
      <c r="B3981" s="16" t="inlineStr">
        <is>
          <t>Frontend</t>
        </is>
      </c>
      <c r="C3981" s="17" t="inlineStr">
        <is>
          <t>web-platform</t>
        </is>
      </c>
      <c r="D3981" s="16" t="inlineStr">
        <is>
          <t>Unit</t>
        </is>
      </c>
      <c r="E3981" s="17" t="inlineStr">
        <is>
          <t>audit.test.tsx</t>
        </is>
      </c>
      <c r="F3981" s="17" t="inlineStr">
        <is>
          <t>Nhật ký nền tảng — quyền xem</t>
        </is>
      </c>
      <c r="G3981" s="17" t="inlineStr">
        <is>
          <t>superadmin có quyền nền tảng đúng mới thấy bảng nhật ký</t>
        </is>
      </c>
      <c r="H3981" s="17" t="inlineStr">
        <is>
          <t>Nhật ký nền tảng — quyền xem superadmin có quyền nền tảng đúng mới thấy bảng nhật ký</t>
        </is>
      </c>
      <c r="I3981" s="16" t="inlineStr">
        <is>
          <t>Đạt</t>
        </is>
      </c>
      <c r="J3981" s="16" t="n">
        <v>0.234</v>
      </c>
    </row>
    <row r="3982">
      <c r="A3982" s="16" t="n">
        <v>3978</v>
      </c>
      <c r="B3982" s="16" t="inlineStr">
        <is>
          <t>Frontend</t>
        </is>
      </c>
      <c r="C3982" s="17" t="inlineStr">
        <is>
          <t>web-platform</t>
        </is>
      </c>
      <c r="D3982" s="16" t="inlineStr">
        <is>
          <t>Unit</t>
        </is>
      </c>
      <c r="E3982" s="17" t="inlineStr">
        <is>
          <t>audit.test.tsx</t>
        </is>
      </c>
      <c r="F3982" s="17" t="inlineStr">
        <is>
          <t>Nhật ký nền tảng — hiển thị dòng</t>
        </is>
      </c>
      <c r="G3982" s="17" t="inlineStr">
        <is>
          <t>hiện nhãn hành động tiếng Việt, rút gọn id còn 8 ký tự, liên kết sang tổ chức</t>
        </is>
      </c>
      <c r="H3982" s="17" t="inlineStr">
        <is>
          <t>Nhật ký nền tảng — hiển thị dòng hiện nhãn hành động tiếng Việt, rút gọn id còn 8 ký tự, liên kết sang tổ chức</t>
        </is>
      </c>
      <c r="I3982" s="16" t="inlineStr">
        <is>
          <t>Đạt</t>
        </is>
      </c>
      <c r="J3982" s="16" t="n">
        <v>0.176</v>
      </c>
    </row>
    <row r="3983">
      <c r="A3983" s="16" t="n">
        <v>3979</v>
      </c>
      <c r="B3983" s="16" t="inlineStr">
        <is>
          <t>Frontend</t>
        </is>
      </c>
      <c r="C3983" s="17" t="inlineStr">
        <is>
          <t>web-platform</t>
        </is>
      </c>
      <c r="D3983" s="16" t="inlineStr">
        <is>
          <t>Unit</t>
        </is>
      </c>
      <c r="E3983" s="17" t="inlineStr">
        <is>
          <t>audit.test.tsx</t>
        </is>
      </c>
      <c r="F3983" s="17" t="inlineStr">
        <is>
          <t>Nhật ký nền tảng — hiển thị dòng</t>
        </is>
      </c>
      <c r="G3983" s="17" t="inlineStr">
        <is>
          <t>thao tác không thuộc tổ chức ghi "Nền tảng", không có người thực hiện ghi "Hệ thống"</t>
        </is>
      </c>
      <c r="H3983" s="17" t="inlineStr">
        <is>
          <t>Nhật ký nền tảng — hiển thị dòng thao tác không thuộc tổ chức ghi "Nền tảng", không có người thực hiện ghi "Hệ thống"</t>
        </is>
      </c>
      <c r="I3983" s="16" t="inlineStr">
        <is>
          <t>Đạt</t>
        </is>
      </c>
      <c r="J3983" s="16" t="n">
        <v>0.122</v>
      </c>
    </row>
    <row r="3984">
      <c r="A3984" s="16" t="n">
        <v>3980</v>
      </c>
      <c r="B3984" s="16" t="inlineStr">
        <is>
          <t>Frontend</t>
        </is>
      </c>
      <c r="C3984" s="17" t="inlineStr">
        <is>
          <t>web-platform</t>
        </is>
      </c>
      <c r="D3984" s="16" t="inlineStr">
        <is>
          <t>Unit</t>
        </is>
      </c>
      <c r="E3984" s="17" t="inlineStr">
        <is>
          <t>audit.test.tsx</t>
        </is>
      </c>
      <c r="F3984" s="17" t="inlineStr">
        <is>
          <t>Nhật ký nền tảng — hiển thị dòng</t>
        </is>
      </c>
      <c r="G3984" s="17" t="inlineStr">
        <is>
          <t>hành động lạ chưa có nhãn thì hiện nguyên mã thay vì để trống</t>
        </is>
      </c>
      <c r="H3984" s="17" t="inlineStr">
        <is>
          <t>Nhật ký nền tảng — hiển thị dòng hành động lạ chưa có nhãn thì hiện nguyên mã thay vì để trống</t>
        </is>
      </c>
      <c r="I3984" s="16" t="inlineStr">
        <is>
          <t>Đạt</t>
        </is>
      </c>
      <c r="J3984" s="16" t="n">
        <v>0.144</v>
      </c>
    </row>
    <row r="3985">
      <c r="A3985" s="16" t="n">
        <v>3981</v>
      </c>
      <c r="B3985" s="16" t="inlineStr">
        <is>
          <t>Frontend</t>
        </is>
      </c>
      <c r="C3985" s="17" t="inlineStr">
        <is>
          <t>web-platform</t>
        </is>
      </c>
      <c r="D3985" s="16" t="inlineStr">
        <is>
          <t>Unit</t>
        </is>
      </c>
      <c r="E3985" s="17" t="inlineStr">
        <is>
          <t>audit.test.tsx</t>
        </is>
      </c>
      <c r="F3985" s="17" t="inlineStr">
        <is>
          <t>Nhật ký nền tảng — hiển thị dòng</t>
        </is>
      </c>
      <c r="G3985" s="17" t="inlineStr">
        <is>
          <t>chưa có dòng nào và chưa lọc: báo "Chưa có thao tác nào được ghi"</t>
        </is>
      </c>
      <c r="H3985" s="17" t="inlineStr">
        <is>
          <t>Nhật ký nền tảng — hiển thị dòng chưa có dòng nào và chưa lọc: báo "Chưa có thao tác nào được ghi"</t>
        </is>
      </c>
      <c r="I3985" s="16" t="inlineStr">
        <is>
          <t>Đạt</t>
        </is>
      </c>
      <c r="J3985" s="16" t="n">
        <v>0.103</v>
      </c>
    </row>
    <row r="3986">
      <c r="A3986" s="16" t="n">
        <v>3982</v>
      </c>
      <c r="B3986" s="16" t="inlineStr">
        <is>
          <t>Frontend</t>
        </is>
      </c>
      <c r="C3986" s="17" t="inlineStr">
        <is>
          <t>web-platform</t>
        </is>
      </c>
      <c r="D3986" s="16" t="inlineStr">
        <is>
          <t>Unit</t>
        </is>
      </c>
      <c r="E3986" s="17" t="inlineStr">
        <is>
          <t>audit.test.tsx</t>
        </is>
      </c>
      <c r="F3986" s="17" t="inlineStr">
        <is>
          <t>Nhật ký nền tảng — bộ lọc gửi lên server</t>
        </is>
      </c>
      <c r="G3986" s="17" t="inlineStr">
        <is>
          <t>chọn hành động gửi ?action= và quay về trang đầu; thông báo rỗng đổi theo bộ lọc</t>
        </is>
      </c>
      <c r="H3986" s="17" t="inlineStr">
        <is>
          <t>Nhật ký nền tảng — bộ lọc gửi lên server chọn hành động gửi ?action= và quay về trang đầu; thông báo rỗng đổi theo bộ lọc</t>
        </is>
      </c>
      <c r="I3986" s="16" t="inlineStr">
        <is>
          <t>Đạt</t>
        </is>
      </c>
      <c r="J3986" s="16" t="n">
        <v>0.589</v>
      </c>
    </row>
    <row r="3987">
      <c r="A3987" s="16" t="n">
        <v>3983</v>
      </c>
      <c r="B3987" s="16" t="inlineStr">
        <is>
          <t>Frontend</t>
        </is>
      </c>
      <c r="C3987" s="17" t="inlineStr">
        <is>
          <t>web-platform</t>
        </is>
      </c>
      <c r="D3987" s="16" t="inlineStr">
        <is>
          <t>Unit</t>
        </is>
      </c>
      <c r="E3987" s="17" t="inlineStr">
        <is>
          <t>audit.test.tsx</t>
        </is>
      </c>
      <c r="F3987" s="17" t="inlineStr">
        <is>
          <t>Nhật ký nền tảng — bộ lọc gửi lên server</t>
        </is>
      </c>
      <c r="G3987" s="17" t="inlineStr">
        <is>
          <t>khoảng "today" gửi from/to cách nhau 1 ngày, tròn nửa đêm giờ Việt Nam</t>
        </is>
      </c>
      <c r="H3987" s="17" t="inlineStr">
        <is>
          <t>Nhật ký nền tảng — bộ lọc gửi lên server khoảng "today" gửi from/to cách nhau 1 ngày, tròn nửa đêm giờ Việt Nam</t>
        </is>
      </c>
      <c r="I3987" s="16" t="inlineStr">
        <is>
          <t>Đạt</t>
        </is>
      </c>
      <c r="J3987" s="16" t="n">
        <v>0.151</v>
      </c>
    </row>
    <row r="3988">
      <c r="A3988" s="16" t="n">
        <v>3984</v>
      </c>
      <c r="B3988" s="16" t="inlineStr">
        <is>
          <t>Frontend</t>
        </is>
      </c>
      <c r="C3988" s="17" t="inlineStr">
        <is>
          <t>web-platform</t>
        </is>
      </c>
      <c r="D3988" s="16" t="inlineStr">
        <is>
          <t>Unit</t>
        </is>
      </c>
      <c r="E3988" s="17" t="inlineStr">
        <is>
          <t>audit.test.tsx</t>
        </is>
      </c>
      <c r="F3988" s="17" t="inlineStr">
        <is>
          <t>Nhật ký nền tảng — bộ lọc gửi lên server</t>
        </is>
      </c>
      <c r="G3988" s="17" t="inlineStr">
        <is>
          <t>khoảng "7d" gửi from/to cách nhau 7 ngày, tròn nửa đêm giờ Việt Nam</t>
        </is>
      </c>
      <c r="H3988" s="17" t="inlineStr">
        <is>
          <t>Nhật ký nền tảng — bộ lọc gửi lên server khoảng "7d" gửi from/to cách nhau 7 ngày, tròn nửa đêm giờ Việt Nam</t>
        </is>
      </c>
      <c r="I3988" s="16" t="inlineStr">
        <is>
          <t>Đạt</t>
        </is>
      </c>
      <c r="J3988" s="16" t="n">
        <v>0.138</v>
      </c>
    </row>
    <row r="3989">
      <c r="A3989" s="16" t="n">
        <v>3985</v>
      </c>
      <c r="B3989" s="16" t="inlineStr">
        <is>
          <t>Frontend</t>
        </is>
      </c>
      <c r="C3989" s="17" t="inlineStr">
        <is>
          <t>web-platform</t>
        </is>
      </c>
      <c r="D3989" s="16" t="inlineStr">
        <is>
          <t>Unit</t>
        </is>
      </c>
      <c r="E3989" s="17" t="inlineStr">
        <is>
          <t>audit.test.tsx</t>
        </is>
      </c>
      <c r="F3989" s="17" t="inlineStr">
        <is>
          <t>Nhật ký nền tảng — bộ lọc gửi lên server</t>
        </is>
      </c>
      <c r="G3989" s="17" t="inlineStr">
        <is>
          <t>khoảng "30d" gửi from/to cách nhau 30 ngày, tròn nửa đêm giờ Việt Nam</t>
        </is>
      </c>
      <c r="H3989" s="17" t="inlineStr">
        <is>
          <t>Nhật ký nền tảng — bộ lọc gửi lên server khoảng "30d" gửi from/to cách nhau 30 ngày, tròn nửa đêm giờ Việt Nam</t>
        </is>
      </c>
      <c r="I3989" s="16" t="inlineStr">
        <is>
          <t>Đạt</t>
        </is>
      </c>
      <c r="J3989" s="16" t="n">
        <v>0.169</v>
      </c>
    </row>
    <row r="3990">
      <c r="A3990" s="16" t="n">
        <v>3986</v>
      </c>
      <c r="B3990" s="16" t="inlineStr">
        <is>
          <t>Frontend</t>
        </is>
      </c>
      <c r="C3990" s="17" t="inlineStr">
        <is>
          <t>web-platform</t>
        </is>
      </c>
      <c r="D3990" s="16" t="inlineStr">
        <is>
          <t>Unit</t>
        </is>
      </c>
      <c r="E3990" s="17" t="inlineStr">
        <is>
          <t>audit.test.tsx</t>
        </is>
      </c>
      <c r="F3990" s="17" t="inlineStr">
        <is>
          <t>Nhật ký nền tảng — bộ lọc gửi lên server</t>
        </is>
      </c>
      <c r="G3990" s="17" t="inlineStr">
        <is>
          <t>chọn lại "Mọi lúc" quay về dữ liệu không giới hạn thời gian (khoá cache không dính from/to)</t>
        </is>
      </c>
      <c r="H3990" s="17" t="inlineStr">
        <is>
          <t>Nhật ký nền tảng — bộ lọc gửi lên server chọn lại "Mọi lúc" quay về dữ liệu không giới hạn thời gian (khoá cache không dính from/to)</t>
        </is>
      </c>
      <c r="I3990" s="16" t="inlineStr">
        <is>
          <t>Đạt</t>
        </is>
      </c>
      <c r="J3990" s="16" t="n">
        <v>0.298</v>
      </c>
    </row>
    <row r="3991">
      <c r="A3991" s="16" t="n">
        <v>3987</v>
      </c>
      <c r="B3991" s="16" t="inlineStr">
        <is>
          <t>Frontend</t>
        </is>
      </c>
      <c r="C3991" s="17" t="inlineStr">
        <is>
          <t>web-platform</t>
        </is>
      </c>
      <c r="D3991" s="16" t="inlineStr">
        <is>
          <t>Unit</t>
        </is>
      </c>
      <c r="E3991" s="17" t="inlineStr">
        <is>
          <t>audit.test.tsx</t>
        </is>
      </c>
      <c r="F3991" s="17" t="inlineStr">
        <is>
          <t>Nhật ký nền tảng — bộ lọc gửi lên server</t>
        </is>
      </c>
      <c r="G3991" s="17" t="inlineStr">
        <is>
          <t>phân trang: trang đầu khoá "Trang trước"; ít hơn 50 dòng thì khoá "Trang sau"</t>
        </is>
      </c>
      <c r="H3991" s="17" t="inlineStr">
        <is>
          <t>Nhật ký nền tảng — bộ lọc gửi lên server phân trang: trang đầu khoá "Trang trước"; ít hơn 50 dòng thì khoá "Trang sau"</t>
        </is>
      </c>
      <c r="I3991" s="16" t="inlineStr">
        <is>
          <t>Đạt</t>
        </is>
      </c>
      <c r="J3991" s="16" t="n">
        <v>0.068</v>
      </c>
    </row>
    <row r="3992">
      <c r="A3992" s="16" t="n">
        <v>3988</v>
      </c>
      <c r="B3992" s="16" t="inlineStr">
        <is>
          <t>Frontend</t>
        </is>
      </c>
      <c r="C3992" s="17" t="inlineStr">
        <is>
          <t>web-platform</t>
        </is>
      </c>
      <c r="D3992" s="16" t="inlineStr">
        <is>
          <t>Unit</t>
        </is>
      </c>
      <c r="E3992" s="17" t="inlineStr">
        <is>
          <t>event-rules.test.tsx</t>
        </is>
      </c>
      <c r="F3992" s="17" t="inlineStr">
        <is>
          <t>Quy định sự kiện — chọn sự kiện</t>
        </is>
      </c>
      <c r="G3992" s="17" t="inlineStr">
        <is>
          <t>ban đầu chưa chọn sự kiện thì chỉ hiện gợi ý chọn, chưa gọi API quy định</t>
        </is>
      </c>
      <c r="H3992" s="17" t="inlineStr">
        <is>
          <t>Quy định sự kiện — chọn sự kiện ban đầu chưa chọn sự kiện thì chỉ hiện gợi ý chọn, chưa gọi API quy định</t>
        </is>
      </c>
      <c r="I3992" s="16" t="inlineStr">
        <is>
          <t>Đạt</t>
        </is>
      </c>
      <c r="J3992" s="16" t="n">
        <v>0.081</v>
      </c>
    </row>
    <row r="3993">
      <c r="A3993" s="16" t="n">
        <v>3989</v>
      </c>
      <c r="B3993" s="16" t="inlineStr">
        <is>
          <t>Frontend</t>
        </is>
      </c>
      <c r="C3993" s="17" t="inlineStr">
        <is>
          <t>web-platform</t>
        </is>
      </c>
      <c r="D3993" s="16" t="inlineStr">
        <is>
          <t>Unit</t>
        </is>
      </c>
      <c r="E3993" s="17" t="inlineStr">
        <is>
          <t>event-rules.test.tsx</t>
        </is>
      </c>
      <c r="F3993" s="17" t="inlineStr">
        <is>
          <t>Quy định sự kiện — chọn sự kiện</t>
        </is>
      </c>
      <c r="G3993" s="17" t="inlineStr">
        <is>
          <t>ô Sự kiện bị khoá cho tới khi chọn tổ chức; chọn tổ chức rồi mới tải danh sách sự kiện</t>
        </is>
      </c>
      <c r="H3993" s="17" t="inlineStr">
        <is>
          <t>Quy định sự kiện — chọn sự kiện ô Sự kiện bị khoá cho tới khi chọn tổ chức; chọn tổ chức rồi mới tải danh sách sự kiện</t>
        </is>
      </c>
      <c r="I3993" s="16" t="inlineStr">
        <is>
          <t>Đạt</t>
        </is>
      </c>
      <c r="J3993" s="16" t="n">
        <v>0.668</v>
      </c>
    </row>
    <row r="3994">
      <c r="A3994" s="16" t="n">
        <v>3990</v>
      </c>
      <c r="B3994" s="16" t="inlineStr">
        <is>
          <t>Frontend</t>
        </is>
      </c>
      <c r="C3994" s="17" t="inlineStr">
        <is>
          <t>web-platform</t>
        </is>
      </c>
      <c r="D3994" s="16" t="inlineStr">
        <is>
          <t>Unit</t>
        </is>
      </c>
      <c r="E3994" s="17" t="inlineStr">
        <is>
          <t>event-rules.test.tsx</t>
        </is>
      </c>
      <c r="F3994" s="17" t="inlineStr">
        <is>
          <t>Quy định sự kiện — chọn sự kiện</t>
        </is>
      </c>
      <c r="G3994" s="17" t="inlineStr">
        <is>
          <t>nút Mở chỉ bật với UUID hợp lệ; mã sai hiện cảnh báo</t>
        </is>
      </c>
      <c r="H3994" s="17" t="inlineStr">
        <is>
          <t>Quy định sự kiện — chọn sự kiện nút Mở chỉ bật với UUID hợp lệ; mã sai hiện cảnh báo</t>
        </is>
      </c>
      <c r="I3994" s="16" t="inlineStr">
        <is>
          <t>Đạt</t>
        </is>
      </c>
      <c r="J3994" s="16" t="n">
        <v>1.106</v>
      </c>
    </row>
    <row r="3995">
      <c r="A3995" s="16" t="n">
        <v>3991</v>
      </c>
      <c r="B3995" s="16" t="inlineStr">
        <is>
          <t>Frontend</t>
        </is>
      </c>
      <c r="C3995" s="17" t="inlineStr">
        <is>
          <t>web-platform</t>
        </is>
      </c>
      <c r="D3995" s="16" t="inlineStr">
        <is>
          <t>Unit</t>
        </is>
      </c>
      <c r="E3995" s="17" t="inlineStr">
        <is>
          <t>event-rules.test.tsx</t>
        </is>
      </c>
      <c r="F3995" s="17" t="inlineStr">
        <is>
          <t>Quy định sự kiện — soạn và lưu</t>
        </is>
      </c>
      <c r="G3995" s="17" t="inlineStr">
        <is>
          <t>đã có quy định: hiện huy hiệu trạng thái, nạp nội dung vào form</t>
        </is>
      </c>
      <c r="H3995" s="17" t="inlineStr">
        <is>
          <t>Quy định sự kiện — soạn và lưu đã có quy định: hiện huy hiệu trạng thái, nạp nội dung vào form</t>
        </is>
      </c>
      <c r="I3995" s="16" t="inlineStr">
        <is>
          <t>Đạt</t>
        </is>
      </c>
      <c r="J3995" s="16" t="n">
        <v>0.723</v>
      </c>
    </row>
    <row r="3996">
      <c r="A3996" s="16" t="n">
        <v>3992</v>
      </c>
      <c r="B3996" s="16" t="inlineStr">
        <is>
          <t>Frontend</t>
        </is>
      </c>
      <c r="C3996" s="17" t="inlineStr">
        <is>
          <t>web-platform</t>
        </is>
      </c>
      <c r="D3996" s="16" t="inlineStr">
        <is>
          <t>Unit</t>
        </is>
      </c>
      <c r="E3996" s="17" t="inlineStr">
        <is>
          <t>event-rules.test.tsx</t>
        </is>
      </c>
      <c r="F3996" s="17" t="inlineStr">
        <is>
          <t>Quy định sự kiện — soạn và lưu</t>
        </is>
      </c>
      <c r="G3996" s="17" t="inlineStr">
        <is>
          <t>chưa có quy định (404 EVENT_RULES_NOT_FOUND) không phải lỗi: hiện form soạn mới, các nút bị khoá khi trống</t>
        </is>
      </c>
      <c r="H3996" s="17" t="inlineStr">
        <is>
          <t>Quy định sự kiện — soạn và lưu chưa có quy định (404 EVENT_RULES_NOT_FOUND) không phải lỗi: hiện form soạn mới, các nút bị khoá khi trống</t>
        </is>
      </c>
      <c r="I3996" s="16" t="inlineStr">
        <is>
          <t>Đạt</t>
        </is>
      </c>
      <c r="J3996" s="16" t="n">
        <v>0.705</v>
      </c>
    </row>
    <row r="3997">
      <c r="A3997" s="16" t="n">
        <v>3993</v>
      </c>
      <c r="B3997" s="16" t="inlineStr">
        <is>
          <t>Frontend</t>
        </is>
      </c>
      <c r="C3997" s="17" t="inlineStr">
        <is>
          <t>web-platform</t>
        </is>
      </c>
      <c r="D3997" s="16" t="inlineStr">
        <is>
          <t>Unit</t>
        </is>
      </c>
      <c r="E3997" s="17" t="inlineStr">
        <is>
          <t>event-rules.test.tsx</t>
        </is>
      </c>
      <c r="F3997" s="17" t="inlineStr">
        <is>
          <t>Quy định sự kiện — soạn và lưu</t>
        </is>
      </c>
      <c r="G3997" s="17" t="inlineStr">
        <is>
          <t>lỗi khác 404 thì hiện khối lỗi kèm thử lại, không mở form để ghi đè nhầm</t>
        </is>
      </c>
      <c r="H3997" s="17" t="inlineStr">
        <is>
          <t>Quy định sự kiện — soạn và lưu lỗi khác 404 thì hiện khối lỗi kèm thử lại, không mở form để ghi đè nhầm</t>
        </is>
      </c>
      <c r="I3997" s="16" t="inlineStr">
        <is>
          <t>Đạt</t>
        </is>
      </c>
      <c r="J3997" s="16" t="n">
        <v>0.71</v>
      </c>
    </row>
    <row r="3998">
      <c r="A3998" s="16" t="n">
        <v>3994</v>
      </c>
      <c r="B3998" s="16" t="inlineStr">
        <is>
          <t>Frontend</t>
        </is>
      </c>
      <c r="C3998" s="17" t="inlineStr">
        <is>
          <t>web-platform</t>
        </is>
      </c>
      <c r="D3998" s="16" t="inlineStr">
        <is>
          <t>Unit</t>
        </is>
      </c>
      <c r="E3998" s="17" t="inlineStr">
        <is>
          <t>event-rules.test.tsx</t>
        </is>
      </c>
      <c r="F3998" s="17" t="inlineStr">
        <is>
          <t>Quy định sự kiện — soạn và lưu</t>
        </is>
      </c>
      <c r="G3998" s="17" t="inlineStr">
        <is>
          <t>soạn mới: lưu nháp gửi nội dung đã cắt khoảng trắng, published=false, chính sách hoàn vé mặc định false/0</t>
        </is>
      </c>
      <c r="H3998" s="17" t="inlineStr">
        <is>
          <t>Quy định sự kiện — soạn và lưu soạn mới: lưu nháp gửi nội dung đã cắt khoảng trắng, published=false, chính sách hoàn vé mặc định false/0</t>
        </is>
      </c>
      <c r="I3998" s="16" t="inlineStr">
        <is>
          <t>Đạt</t>
        </is>
      </c>
      <c r="J3998" s="16" t="n">
        <v>1.53</v>
      </c>
    </row>
    <row r="3999">
      <c r="A3999" s="16" t="n">
        <v>3995</v>
      </c>
      <c r="B3999" s="16" t="inlineStr">
        <is>
          <t>Frontend</t>
        </is>
      </c>
      <c r="C3999" s="17" t="inlineStr">
        <is>
          <t>web-platform</t>
        </is>
      </c>
      <c r="D3999" s="16" t="inlineStr">
        <is>
          <t>Unit</t>
        </is>
      </c>
      <c r="E3999" s="17" t="inlineStr">
        <is>
          <t>event-rules.test.tsx</t>
        </is>
      </c>
      <c r="F3999" s="17" t="inlineStr">
        <is>
          <t>Quy định sự kiện — soạn và lưu</t>
        </is>
      </c>
      <c r="G3999" s="17" t="inlineStr">
        <is>
          <t>sửa quy định đã có: GIỮ NGUYÊN chính sách hoàn vé đang lưu (48 giờ, cho hoàn) khi công bố</t>
        </is>
      </c>
      <c r="H3999" s="17" t="inlineStr">
        <is>
          <t>Quy định sự kiện — soạn và lưu sửa quy định đã có: GIỮ NGUYÊN chính sách hoàn vé đang lưu (48 giờ, cho hoàn) khi công bố</t>
        </is>
      </c>
      <c r="I3999" s="16" t="inlineStr">
        <is>
          <t>Đạt</t>
        </is>
      </c>
      <c r="J3999" s="16" t="n">
        <v>1.134</v>
      </c>
    </row>
    <row r="4000">
      <c r="A4000" s="16" t="n">
        <v>3996</v>
      </c>
      <c r="B4000" s="16" t="inlineStr">
        <is>
          <t>Frontend</t>
        </is>
      </c>
      <c r="C4000" s="17" t="inlineStr">
        <is>
          <t>web-platform</t>
        </is>
      </c>
      <c r="D4000" s="16" t="inlineStr">
        <is>
          <t>Unit</t>
        </is>
      </c>
      <c r="E4000" s="17" t="inlineStr">
        <is>
          <t>event-rules.test.tsx</t>
        </is>
      </c>
      <c r="F4000" s="17" t="inlineStr">
        <is>
          <t>Quy định sự kiện — soạn và lưu</t>
        </is>
      </c>
      <c r="G4000" s="17" t="inlineStr">
        <is>
          <t>xoá hết nội dung thì Lưu nháp và Công bố đều bị khoá; chỉ khoảng trắng cũng không tính</t>
        </is>
      </c>
      <c r="H4000" s="17" t="inlineStr">
        <is>
          <t>Quy định sự kiện — soạn và lưu xoá hết nội dung thì Lưu nháp và Công bố đều bị khoá; chỉ khoảng trắng cũng không tính</t>
        </is>
      </c>
      <c r="I4000" s="16" t="inlineStr">
        <is>
          <t>Đạt</t>
        </is>
      </c>
      <c r="J4000" s="16" t="n">
        <v>0.838</v>
      </c>
    </row>
    <row r="4001">
      <c r="A4001" s="16" t="n">
        <v>3997</v>
      </c>
      <c r="B4001" s="16" t="inlineStr">
        <is>
          <t>Frontend</t>
        </is>
      </c>
      <c r="C4001" s="17" t="inlineStr">
        <is>
          <t>web-platform</t>
        </is>
      </c>
      <c r="D4001" s="16" t="inlineStr">
        <is>
          <t>Unit</t>
        </is>
      </c>
      <c r="E4001" s="17" t="inlineStr">
        <is>
          <t>event-rules.test.tsx</t>
        </is>
      </c>
      <c r="F4001" s="17" t="inlineStr">
        <is>
          <t>Quy định sự kiện — soạn và lưu</t>
        </is>
      </c>
      <c r="G4001" s="17" t="inlineStr">
        <is>
          <t>bộ đếm ký tự cập nhật theo nội dung đang gõ</t>
        </is>
      </c>
      <c r="H4001" s="17" t="inlineStr">
        <is>
          <t>Quy định sự kiện — soạn và lưu bộ đếm ký tự cập nhật theo nội dung đang gõ</t>
        </is>
      </c>
      <c r="I4001" s="16" t="inlineStr">
        <is>
          <t>Đạt</t>
        </is>
      </c>
      <c r="J4001" s="16" t="n">
        <v>0.822</v>
      </c>
    </row>
    <row r="4002">
      <c r="A4002" s="16" t="n">
        <v>3998</v>
      </c>
      <c r="B4002" s="16" t="inlineStr">
        <is>
          <t>Frontend</t>
        </is>
      </c>
      <c r="C4002" s="17" t="inlineStr">
        <is>
          <t>web-platform</t>
        </is>
      </c>
      <c r="D4002" s="16" t="inlineStr">
        <is>
          <t>Unit</t>
        </is>
      </c>
      <c r="E4002" s="17" t="inlineStr">
        <is>
          <t>knowledge.test.tsx</t>
        </is>
      </c>
      <c r="F4002" s="17" t="inlineStr">
        <is>
          <t>Kho tri thức — danh sách</t>
        </is>
      </c>
      <c r="G4002" s="17" t="inlineStr">
        <is>
          <t>hiện số đoạn trong tiêu đề và từng đoạn</t>
        </is>
      </c>
      <c r="H4002" s="17" t="inlineStr">
        <is>
          <t>Kho tri thức — danh sách hiện số đoạn trong tiêu đề và từng đoạn</t>
        </is>
      </c>
      <c r="I4002" s="16" t="inlineStr">
        <is>
          <t>Đạt</t>
        </is>
      </c>
      <c r="J4002" s="16" t="n">
        <v>0.415</v>
      </c>
    </row>
    <row r="4003">
      <c r="A4003" s="16" t="n">
        <v>3999</v>
      </c>
      <c r="B4003" s="16" t="inlineStr">
        <is>
          <t>Frontend</t>
        </is>
      </c>
      <c r="C4003" s="17" t="inlineStr">
        <is>
          <t>web-platform</t>
        </is>
      </c>
      <c r="D4003" s="16" t="inlineStr">
        <is>
          <t>Unit</t>
        </is>
      </c>
      <c r="E4003" s="17" t="inlineStr">
        <is>
          <t>knowledge.test.tsx</t>
        </is>
      </c>
      <c r="F4003" s="17" t="inlineStr">
        <is>
          <t>Kho tri thức — danh sách</t>
        </is>
      </c>
      <c r="G4003" s="17" t="inlineStr">
        <is>
          <t>kho trống nói rõ hệ quả (trợ lý "chưa tra được")</t>
        </is>
      </c>
      <c r="H4003" s="17" t="inlineStr">
        <is>
          <t>Kho tri thức — danh sách kho trống nói rõ hệ quả (trợ lý "chưa tra được")</t>
        </is>
      </c>
      <c r="I4003" s="16" t="inlineStr">
        <is>
          <t>Đạt</t>
        </is>
      </c>
      <c r="J4003" s="16" t="n">
        <v>0.067</v>
      </c>
    </row>
    <row r="4004">
      <c r="A4004" s="16" t="n">
        <v>4000</v>
      </c>
      <c r="B4004" s="16" t="inlineStr">
        <is>
          <t>Frontend</t>
        </is>
      </c>
      <c r="C4004" s="17" t="inlineStr">
        <is>
          <t>web-platform</t>
        </is>
      </c>
      <c r="D4004" s="16" t="inlineStr">
        <is>
          <t>Unit</t>
        </is>
      </c>
      <c r="E4004" s="17" t="inlineStr">
        <is>
          <t>knowledge.test.tsx</t>
        </is>
      </c>
      <c r="F4004" s="17" t="inlineStr">
        <is>
          <t>Kho tri thức — danh sách</t>
        </is>
      </c>
      <c r="G4004" s="17" t="inlineStr">
        <is>
          <t>API lỗi hiện thử lại chứ không bảo kho trống</t>
        </is>
      </c>
      <c r="H4004" s="17" t="inlineStr">
        <is>
          <t>Kho tri thức — danh sách API lỗi hiện thử lại chứ không bảo kho trống</t>
        </is>
      </c>
      <c r="I4004" s="16" t="inlineStr">
        <is>
          <t>Đạt</t>
        </is>
      </c>
      <c r="J4004" s="16" t="n">
        <v>0.152</v>
      </c>
    </row>
    <row r="4005">
      <c r="A4005" s="16" t="n">
        <v>4001</v>
      </c>
      <c r="B4005" s="16" t="inlineStr">
        <is>
          <t>Frontend</t>
        </is>
      </c>
      <c r="C4005" s="17" t="inlineStr">
        <is>
          <t>web-platform</t>
        </is>
      </c>
      <c r="D4005" s="16" t="inlineStr">
        <is>
          <t>Unit</t>
        </is>
      </c>
      <c r="E4005" s="17" t="inlineStr">
        <is>
          <t>knowledge.test.tsx</t>
        </is>
      </c>
      <c r="F4005" s="17" t="inlineStr">
        <is>
          <t>Kho tri thức — danh sách</t>
        </is>
      </c>
      <c r="G4005" s="17" t="inlineStr">
        <is>
          <t>xoá một đoạn gọi DELETE đúng id và báo thành công</t>
        </is>
      </c>
      <c r="H4005" s="17" t="inlineStr">
        <is>
          <t>Kho tri thức — danh sách xoá một đoạn gọi DELETE đúng id và báo thành công</t>
        </is>
      </c>
      <c r="I4005" s="16" t="inlineStr">
        <is>
          <t>Đạt</t>
        </is>
      </c>
      <c r="J4005" s="16" t="n">
        <v>0.261</v>
      </c>
    </row>
    <row r="4006">
      <c r="A4006" s="16" t="n">
        <v>4002</v>
      </c>
      <c r="B4006" s="16" t="inlineStr">
        <is>
          <t>Frontend</t>
        </is>
      </c>
      <c r="C4006" s="17" t="inlineStr">
        <is>
          <t>web-platform</t>
        </is>
      </c>
      <c r="D4006" s="16" t="inlineStr">
        <is>
          <t>Unit</t>
        </is>
      </c>
      <c r="E4006" s="17" t="inlineStr">
        <is>
          <t>knowledge.test.tsx</t>
        </is>
      </c>
      <c r="F4006" s="17" t="inlineStr">
        <is>
          <t>Kho tri thức — thêm đoạn</t>
        </is>
      </c>
      <c r="G4006" s="17" t="inlineStr">
        <is>
          <t>nút Thêm vào kho khoá khi thiếu tiêu đề hoặc nội dung (kể cả chỉ khoảng trắng)</t>
        </is>
      </c>
      <c r="H4006" s="17" t="inlineStr">
        <is>
          <t>Kho tri thức — thêm đoạn nút Thêm vào kho khoá khi thiếu tiêu đề hoặc nội dung (kể cả chỉ khoảng trắng)</t>
        </is>
      </c>
      <c r="I4006" s="16" t="inlineStr">
        <is>
          <t>Đạt</t>
        </is>
      </c>
      <c r="J4006" s="16" t="n">
        <v>0.571</v>
      </c>
    </row>
    <row r="4007">
      <c r="A4007" s="16" t="n">
        <v>4003</v>
      </c>
      <c r="B4007" s="16" t="inlineStr">
        <is>
          <t>Frontend</t>
        </is>
      </c>
      <c r="C4007" s="17" t="inlineStr">
        <is>
          <t>web-platform</t>
        </is>
      </c>
      <c r="D4007" s="16" t="inlineStr">
        <is>
          <t>Unit</t>
        </is>
      </c>
      <c r="E4007" s="17" t="inlineStr">
        <is>
          <t>knowledge.test.tsx</t>
        </is>
      </c>
      <c r="F4007" s="17" t="inlineStr">
        <is>
          <t>Kho tri thức — thêm đoạn</t>
        </is>
      </c>
      <c r="G4007" s="17" t="inlineStr">
        <is>
          <t>gửi tiêu đề/nội dung đã cắt khoảng trắng, xoá form và báo thành công</t>
        </is>
      </c>
      <c r="H4007" s="17" t="inlineStr">
        <is>
          <t>Kho tri thức — thêm đoạn gửi tiêu đề/nội dung đã cắt khoảng trắng, xoá form và báo thành công</t>
        </is>
      </c>
      <c r="I4007" s="16" t="inlineStr">
        <is>
          <t>Đạt</t>
        </is>
      </c>
      <c r="J4007" s="16" t="n">
        <v>0.968</v>
      </c>
    </row>
    <row r="4008">
      <c r="A4008" s="16" t="n">
        <v>4004</v>
      </c>
      <c r="B4008" s="16" t="inlineStr">
        <is>
          <t>Frontend</t>
        </is>
      </c>
      <c r="C4008" s="17" t="inlineStr">
        <is>
          <t>web-platform</t>
        </is>
      </c>
      <c r="D4008" s="16" t="inlineStr">
        <is>
          <t>Unit</t>
        </is>
      </c>
      <c r="E4008" s="17" t="inlineStr">
        <is>
          <t>knowledge.test.tsx</t>
        </is>
      </c>
      <c r="F4008" s="17" t="inlineStr">
        <is>
          <t>Kho tri thức — thử một câu hỏi</t>
        </is>
      </c>
      <c r="G4008" s="17" t="inlineStr">
        <is>
          <t>chưa gõ gì thì không gọi API preview; gõ xong mới gọi MỘT lần (hoãn 800ms) với câu hỏi đã mã hoá</t>
        </is>
      </c>
      <c r="H4008" s="17" t="inlineStr">
        <is>
          <t>Kho tri thức — thử một câu hỏi chưa gõ gì thì không gọi API preview; gõ xong mới gọi MỘT lần (hoãn 800ms) với câu hỏi đã mã hoá</t>
        </is>
      </c>
      <c r="I4008" s="16" t="inlineStr">
        <is>
          <t>Đạt</t>
        </is>
      </c>
      <c r="J4008" s="16" t="n">
        <v>1.146</v>
      </c>
    </row>
    <row r="4009">
      <c r="A4009" s="16" t="n">
        <v>4005</v>
      </c>
      <c r="B4009" s="16" t="inlineStr">
        <is>
          <t>Frontend</t>
        </is>
      </c>
      <c r="C4009" s="17" t="inlineStr">
        <is>
          <t>web-platform</t>
        </is>
      </c>
      <c r="D4009" s="16" t="inlineStr">
        <is>
          <t>Unit</t>
        </is>
      </c>
      <c r="E4009" s="17" t="inlineStr">
        <is>
          <t>knowledge.test.tsx</t>
        </is>
      </c>
      <c r="F4009" s="17" t="inlineStr">
        <is>
          <t>Kho tri thức — thử một câu hỏi</t>
        </is>
      </c>
      <c r="G4009" s="17" t="inlineStr">
        <is>
          <t>đoạn vượt ngưỡng ghi "Dùng", đoạn không vượt ghi "Bị loại", khoảng cách làm tròn 3 số</t>
        </is>
      </c>
      <c r="H4009" s="17" t="inlineStr">
        <is>
          <t>Kho tri thức — thử một câu hỏi đoạn vượt ngưỡng ghi "Dùng", đoạn không vượt ghi "Bị loại", khoảng cách làm tròn 3 số</t>
        </is>
      </c>
      <c r="I4009" s="16" t="inlineStr">
        <is>
          <t>Đạt</t>
        </is>
      </c>
      <c r="J4009" s="16" t="n">
        <v>1.026</v>
      </c>
    </row>
    <row r="4010">
      <c r="A4010" s="16" t="n">
        <v>4006</v>
      </c>
      <c r="B4010" s="16" t="inlineStr">
        <is>
          <t>Frontend</t>
        </is>
      </c>
      <c r="C4010" s="17" t="inlineStr">
        <is>
          <t>web-platform</t>
        </is>
      </c>
      <c r="D4010" s="16" t="inlineStr">
        <is>
          <t>Unit</t>
        </is>
      </c>
      <c r="E4010" s="17" t="inlineStr">
        <is>
          <t>knowledge.test.tsx</t>
        </is>
      </c>
      <c r="F4010" s="17" t="inlineStr">
        <is>
          <t>Kho tri thức — thử một câu hỏi</t>
        </is>
      </c>
      <c r="G4010" s="17" t="inlineStr">
        <is>
          <t>mọi đoạn đều "Bị loại" thì cảnh báo trợ lý sẽ trả lời không kèm tri thức nền</t>
        </is>
      </c>
      <c r="H4010" s="17" t="inlineStr">
        <is>
          <t>Kho tri thức — thử một câu hỏi mọi đoạn đều "Bị loại" thì cảnh báo trợ lý sẽ trả lời không kèm tri thức nền</t>
        </is>
      </c>
      <c r="I4010" s="16" t="inlineStr">
        <is>
          <t>Đạt</t>
        </is>
      </c>
      <c r="J4010" s="16" t="n">
        <v>0.997</v>
      </c>
    </row>
    <row r="4011">
      <c r="A4011" s="16" t="n">
        <v>4007</v>
      </c>
      <c r="B4011" s="16" t="inlineStr">
        <is>
          <t>Frontend</t>
        </is>
      </c>
      <c r="C4011" s="17" t="inlineStr">
        <is>
          <t>web-platform</t>
        </is>
      </c>
      <c r="D4011" s="16" t="inlineStr">
        <is>
          <t>Unit</t>
        </is>
      </c>
      <c r="E4011" s="17" t="inlineStr">
        <is>
          <t>organizations.test.tsx</t>
        </is>
      </c>
      <c r="F4011" s="17" t="inlineStr">
        <is>
          <t>Trang Tổ chức — danh sách, lọc, sắp xếp</t>
        </is>
      </c>
      <c r="G4011" s="17" t="inlineStr">
        <is>
          <t>mặc định sắp theo tên (theo thứ tự chữ cái tiếng Việt) và đếm số liệu đầu trang</t>
        </is>
      </c>
      <c r="H4011" s="17" t="inlineStr">
        <is>
          <t>Trang Tổ chức — danh sách, lọc, sắp xếp mặc định sắp theo tên (theo thứ tự chữ cái tiếng Việt) và đếm số liệu đầu trang</t>
        </is>
      </c>
      <c r="I4011" s="16" t="inlineStr">
        <is>
          <t>Đạt</t>
        </is>
      </c>
      <c r="J4011" s="16" t="n">
        <v>0.6820000000000001</v>
      </c>
    </row>
    <row r="4012">
      <c r="A4012" s="16" t="n">
        <v>4008</v>
      </c>
      <c r="B4012" s="16" t="inlineStr">
        <is>
          <t>Frontend</t>
        </is>
      </c>
      <c r="C4012" s="17" t="inlineStr">
        <is>
          <t>web-platform</t>
        </is>
      </c>
      <c r="D4012" s="16" t="inlineStr">
        <is>
          <t>Unit</t>
        </is>
      </c>
      <c r="E4012" s="17" t="inlineStr">
        <is>
          <t>organizations.test.tsx</t>
        </is>
      </c>
      <c r="F4012" s="17" t="inlineStr">
        <is>
          <t>Trang Tổ chức — danh sách, lọc, sắp xếp</t>
        </is>
      </c>
      <c r="G4012" s="17" t="inlineStr">
        <is>
          <t>dòng 0 thành viên hiện nhãn "Chưa có" thay vì số 0</t>
        </is>
      </c>
      <c r="H4012" s="17" t="inlineStr">
        <is>
          <t>Trang Tổ chức — danh sách, lọc, sắp xếp dòng 0 thành viên hiện nhãn "Chưa có" thay vì số 0</t>
        </is>
      </c>
      <c r="I4012" s="16" t="inlineStr">
        <is>
          <t>Đạt</t>
        </is>
      </c>
      <c r="J4012" s="16" t="n">
        <v>0.14</v>
      </c>
    </row>
    <row r="4013">
      <c r="A4013" s="16" t="n">
        <v>4009</v>
      </c>
      <c r="B4013" s="16" t="inlineStr">
        <is>
          <t>Frontend</t>
        </is>
      </c>
      <c r="C4013" s="17" t="inlineStr">
        <is>
          <t>web-platform</t>
        </is>
      </c>
      <c r="D4013" s="16" t="inlineStr">
        <is>
          <t>Unit</t>
        </is>
      </c>
      <c r="E4013" s="17" t="inlineStr">
        <is>
          <t>organizations.test.tsx</t>
        </is>
      </c>
      <c r="F4013" s="17" t="inlineStr">
        <is>
          <t>Trang Tổ chức — danh sách, lọc, sắp xếp</t>
        </is>
      </c>
      <c r="G4013" s="17" t="inlineStr">
        <is>
          <t>lọc trạng thái trên URL: SUSPENDED chỉ còn tổ chức đang khoá</t>
        </is>
      </c>
      <c r="H4013" s="17" t="inlineStr">
        <is>
          <t>Trang Tổ chức — danh sách, lọc, sắp xếp lọc trạng thái trên URL: SUSPENDED chỉ còn tổ chức đang khoá</t>
        </is>
      </c>
      <c r="I4013" s="16" t="inlineStr">
        <is>
          <t>Đạt</t>
        </is>
      </c>
      <c r="J4013" s="16" t="n">
        <v>0.163</v>
      </c>
    </row>
    <row r="4014">
      <c r="A4014" s="16" t="n">
        <v>4010</v>
      </c>
      <c r="B4014" s="16" t="inlineStr">
        <is>
          <t>Frontend</t>
        </is>
      </c>
      <c r="C4014" s="17" t="inlineStr">
        <is>
          <t>web-platform</t>
        </is>
      </c>
      <c r="D4014" s="16" t="inlineStr">
        <is>
          <t>Unit</t>
        </is>
      </c>
      <c r="E4014" s="17" t="inlineStr">
        <is>
          <t>organizations.test.tsx</t>
        </is>
      </c>
      <c r="F4014" s="17" t="inlineStr">
        <is>
          <t>Trang Tổ chức — danh sách, lọc, sắp xếp</t>
        </is>
      </c>
      <c r="G4014" s="17" t="inlineStr">
        <is>
          <t>lọc quy mô none</t>
        </is>
      </c>
      <c r="H4014" s="17" t="inlineStr">
        <is>
          <t>Trang Tổ chức — danh sách, lọc, sắp xếp lọc quy mô none</t>
        </is>
      </c>
      <c r="I4014" s="16" t="inlineStr">
        <is>
          <t>Đạt</t>
        </is>
      </c>
      <c r="J4014" s="16" t="n">
        <v>0.126</v>
      </c>
    </row>
    <row r="4015">
      <c r="A4015" s="16" t="n">
        <v>4011</v>
      </c>
      <c r="B4015" s="16" t="inlineStr">
        <is>
          <t>Frontend</t>
        </is>
      </c>
      <c r="C4015" s="17" t="inlineStr">
        <is>
          <t>web-platform</t>
        </is>
      </c>
      <c r="D4015" s="16" t="inlineStr">
        <is>
          <t>Unit</t>
        </is>
      </c>
      <c r="E4015" s="17" t="inlineStr">
        <is>
          <t>organizations.test.tsx</t>
        </is>
      </c>
      <c r="F4015" s="17" t="inlineStr">
        <is>
          <t>Trang Tổ chức — danh sách, lọc, sắp xếp</t>
        </is>
      </c>
      <c r="G4015" s="17" t="inlineStr">
        <is>
          <t>lọc quy mô small</t>
        </is>
      </c>
      <c r="H4015" s="17" t="inlineStr">
        <is>
          <t>Trang Tổ chức — danh sách, lọc, sắp xếp lọc quy mô small</t>
        </is>
      </c>
      <c r="I4015" s="16" t="inlineStr">
        <is>
          <t>Đạt</t>
        </is>
      </c>
      <c r="J4015" s="16" t="n">
        <v>0.14</v>
      </c>
    </row>
    <row r="4016">
      <c r="A4016" s="16" t="n">
        <v>4012</v>
      </c>
      <c r="B4016" s="16" t="inlineStr">
        <is>
          <t>Frontend</t>
        </is>
      </c>
      <c r="C4016" s="17" t="inlineStr">
        <is>
          <t>web-platform</t>
        </is>
      </c>
      <c r="D4016" s="16" t="inlineStr">
        <is>
          <t>Unit</t>
        </is>
      </c>
      <c r="E4016" s="17" t="inlineStr">
        <is>
          <t>organizations.test.tsx</t>
        </is>
      </c>
      <c r="F4016" s="17" t="inlineStr">
        <is>
          <t>Trang Tổ chức — danh sách, lọc, sắp xếp</t>
        </is>
      </c>
      <c r="G4016" s="17" t="inlineStr">
        <is>
          <t>lọc quy mô large</t>
        </is>
      </c>
      <c r="H4016" s="17" t="inlineStr">
        <is>
          <t>Trang Tổ chức — danh sách, lọc, sắp xếp lọc quy mô large</t>
        </is>
      </c>
      <c r="I4016" s="16" t="inlineStr">
        <is>
          <t>Đạt</t>
        </is>
      </c>
      <c r="J4016" s="16" t="n">
        <v>0.136</v>
      </c>
    </row>
    <row r="4017">
      <c r="A4017" s="16" t="n">
        <v>4013</v>
      </c>
      <c r="B4017" s="16" t="inlineStr">
        <is>
          <t>Frontend</t>
        </is>
      </c>
      <c r="C4017" s="17" t="inlineStr">
        <is>
          <t>web-platform</t>
        </is>
      </c>
      <c r="D4017" s="16" t="inlineStr">
        <is>
          <t>Unit</t>
        </is>
      </c>
      <c r="E4017" s="17" t="inlineStr">
        <is>
          <t>organizations.test.tsx</t>
        </is>
      </c>
      <c r="F4017" s="17" t="inlineStr">
        <is>
          <t>Trang Tổ chức — danh sách, lọc, sắp xếp</t>
        </is>
      </c>
      <c r="G4017" s="17" t="inlineStr">
        <is>
          <t>giá trị lạ trên URL rơi về "không lọc" chứ không ra bảng trống</t>
        </is>
      </c>
      <c r="H4017" s="17" t="inlineStr">
        <is>
          <t>Trang Tổ chức — danh sách, lọc, sắp xếp giá trị lạ trên URL rơi về "không lọc" chứ không ra bảng trống</t>
        </is>
      </c>
      <c r="I4017" s="16" t="inlineStr">
        <is>
          <t>Đạt</t>
        </is>
      </c>
      <c r="J4017" s="16" t="n">
        <v>0.19</v>
      </c>
    </row>
    <row r="4018">
      <c r="A4018" s="16" t="n">
        <v>4014</v>
      </c>
      <c r="B4018" s="16" t="inlineStr">
        <is>
          <t>Frontend</t>
        </is>
      </c>
      <c r="C4018" s="17" t="inlineStr">
        <is>
          <t>web-platform</t>
        </is>
      </c>
      <c r="D4018" s="16" t="inlineStr">
        <is>
          <t>Unit</t>
        </is>
      </c>
      <c r="E4018" s="17" t="inlineStr">
        <is>
          <t>organizations.test.tsx</t>
        </is>
      </c>
      <c r="F4018" s="17" t="inlineStr">
        <is>
          <t>Trang Tổ chức — danh sách, lọc, sắp xếp</t>
        </is>
      </c>
      <c r="G4018" s="17" t="inlineStr">
        <is>
          <t>tìm không dấu theo tên, đường dẫn hoặc mã; không khớp thì báo và cho xoá bộ lọc</t>
        </is>
      </c>
      <c r="H4018" s="17" t="inlineStr">
        <is>
          <t>Trang Tổ chức — danh sách, lọc, sắp xếp tìm không dấu theo tên, đường dẫn hoặc mã; không khớp thì báo và cho xoá bộ lọc</t>
        </is>
      </c>
      <c r="I4018" s="16" t="inlineStr">
        <is>
          <t>Đạt</t>
        </is>
      </c>
      <c r="J4018" s="16" t="n">
        <v>1.176</v>
      </c>
    </row>
    <row r="4019">
      <c r="A4019" s="16" t="n">
        <v>4015</v>
      </c>
      <c r="B4019" s="16" t="inlineStr">
        <is>
          <t>Frontend</t>
        </is>
      </c>
      <c r="C4019" s="17" t="inlineStr">
        <is>
          <t>web-platform</t>
        </is>
      </c>
      <c r="D4019" s="16" t="inlineStr">
        <is>
          <t>Unit</t>
        </is>
      </c>
      <c r="E4019" s="17" t="inlineStr">
        <is>
          <t>organizations.test.tsx</t>
        </is>
      </c>
      <c r="F4019" s="17" t="inlineStr">
        <is>
          <t>Trang Tổ chức — danh sách, lọc, sắp xếp</t>
        </is>
      </c>
      <c r="G4019" s="17" t="inlineStr">
        <is>
          <t>sắp theo thành viên giảm dần và theo trạng thái (đang khoá lên đầu)</t>
        </is>
      </c>
      <c r="H4019" s="17" t="inlineStr">
        <is>
          <t>Trang Tổ chức — danh sách, lọc, sắp xếp sắp theo thành viên giảm dần và theo trạng thái (đang khoá lên đầu)</t>
        </is>
      </c>
      <c r="I4019" s="16" t="inlineStr">
        <is>
          <t>Đạt</t>
        </is>
      </c>
      <c r="J4019" s="16" t="n">
        <v>0.36</v>
      </c>
    </row>
    <row r="4020">
      <c r="A4020" s="16" t="n">
        <v>4016</v>
      </c>
      <c r="B4020" s="16" t="inlineStr">
        <is>
          <t>Frontend</t>
        </is>
      </c>
      <c r="C4020" s="17" t="inlineStr">
        <is>
          <t>web-platform</t>
        </is>
      </c>
      <c r="D4020" s="16" t="inlineStr">
        <is>
          <t>Unit</t>
        </is>
      </c>
      <c r="E4020" s="17" t="inlineStr">
        <is>
          <t>organizations.test.tsx</t>
        </is>
      </c>
      <c r="F4020" s="17" t="inlineStr">
        <is>
          <t>Trang Tổ chức — danh sách, lọc, sắp xếp</t>
        </is>
      </c>
      <c r="G4020" s="17" t="inlineStr">
        <is>
          <t>bấm tiêu đề cột đang sắp thì đảo chiều, cột khác thì về chiều xuôi</t>
        </is>
      </c>
      <c r="H4020" s="17" t="inlineStr">
        <is>
          <t>Trang Tổ chức — danh sách, lọc, sắp xếp bấm tiêu đề cột đang sắp thì đảo chiều, cột khác thì về chiều xuôi</t>
        </is>
      </c>
      <c r="I4020" s="16" t="inlineStr">
        <is>
          <t>Đạt</t>
        </is>
      </c>
      <c r="J4020" s="16" t="n">
        <v>0.419</v>
      </c>
    </row>
    <row r="4021">
      <c r="A4021" s="16" t="n">
        <v>4017</v>
      </c>
      <c r="B4021" s="16" t="inlineStr">
        <is>
          <t>Frontend</t>
        </is>
      </c>
      <c r="C4021" s="17" t="inlineStr">
        <is>
          <t>web-platform</t>
        </is>
      </c>
      <c r="D4021" s="16" t="inlineStr">
        <is>
          <t>Unit</t>
        </is>
      </c>
      <c r="E4021" s="17" t="inlineStr">
        <is>
          <t>organizations.test.tsx</t>
        </is>
      </c>
      <c r="F4021" s="17" t="inlineStr">
        <is>
          <t>Trang Tổ chức — danh sách, lọc, sắp xếp</t>
        </is>
      </c>
      <c r="G4021" s="17" t="inlineStr">
        <is>
          <t>đổi bộ lọc trạng thái ghi URL và xoá chỉ số cửa sổ (win)</t>
        </is>
      </c>
      <c r="H4021" s="17" t="inlineStr">
        <is>
          <t>Trang Tổ chức — danh sách, lọc, sắp xếp đổi bộ lọc trạng thái ghi URL và xoá chỉ số cửa sổ (win)</t>
        </is>
      </c>
      <c r="I4021" s="16" t="inlineStr">
        <is>
          <t>Đạt</t>
        </is>
      </c>
      <c r="J4021" s="16" t="n">
        <v>0.173</v>
      </c>
    </row>
    <row r="4022">
      <c r="A4022" s="16" t="n">
        <v>4018</v>
      </c>
      <c r="B4022" s="16" t="inlineStr">
        <is>
          <t>Frontend</t>
        </is>
      </c>
      <c r="C4022" s="17" t="inlineStr">
        <is>
          <t>web-platform</t>
        </is>
      </c>
      <c r="D4022" s="16" t="inlineStr">
        <is>
          <t>Unit</t>
        </is>
      </c>
      <c r="E4022" s="17" t="inlineStr">
        <is>
          <t>organizations.test.tsx</t>
        </is>
      </c>
      <c r="F4022" s="17" t="inlineStr">
        <is>
          <t>Trang Tổ chức — danh sách, lọc, sắp xếp</t>
        </is>
      </c>
      <c r="G4022" s="17" t="inlineStr">
        <is>
          <t>cửa sổ thứ n gọi API với offset = n × 200</t>
        </is>
      </c>
      <c r="H4022" s="17" t="inlineStr">
        <is>
          <t>Trang Tổ chức — danh sách, lọc, sắp xếp cửa sổ thứ n gọi API với offset = n × 200</t>
        </is>
      </c>
      <c r="I4022" s="16" t="inlineStr">
        <is>
          <t>Đạt</t>
        </is>
      </c>
      <c r="J4022" s="16" t="n">
        <v>0.078</v>
      </c>
    </row>
    <row r="4023">
      <c r="A4023" s="16" t="n">
        <v>4019</v>
      </c>
      <c r="B4023" s="16" t="inlineStr">
        <is>
          <t>Frontend</t>
        </is>
      </c>
      <c r="C4023" s="17" t="inlineStr">
        <is>
          <t>web-platform</t>
        </is>
      </c>
      <c r="D4023" s="16" t="inlineStr">
        <is>
          <t>Unit</t>
        </is>
      </c>
      <c r="E4023" s="17" t="inlineStr">
        <is>
          <t>organizations.test.tsx</t>
        </is>
      </c>
      <c r="F4023" s="17" t="inlineStr">
        <is>
          <t>Trang Tổ chức — danh sách, lọc, sắp xếp</t>
        </is>
      </c>
      <c r="G4023" s="17" t="inlineStr">
        <is>
          <t>API lỗi hiện khối lỗi, không hiện bảng trống</t>
        </is>
      </c>
      <c r="H4023" s="17" t="inlineStr">
        <is>
          <t>Trang Tổ chức — danh sách, lọc, sắp xếp API lỗi hiện khối lỗi, không hiện bảng trống</t>
        </is>
      </c>
      <c r="I4023" s="16" t="inlineStr">
        <is>
          <t>Đạt</t>
        </is>
      </c>
      <c r="J4023" s="16" t="n">
        <v>0.234</v>
      </c>
    </row>
    <row r="4024">
      <c r="A4024" s="16" t="n">
        <v>4020</v>
      </c>
      <c r="B4024" s="16" t="inlineStr">
        <is>
          <t>Frontend</t>
        </is>
      </c>
      <c r="C4024" s="17" t="inlineStr">
        <is>
          <t>web-platform</t>
        </is>
      </c>
      <c r="D4024" s="16" t="inlineStr">
        <is>
          <t>Unit</t>
        </is>
      </c>
      <c r="E4024" s="17" t="inlineStr">
        <is>
          <t>organizations.test.tsx</t>
        </is>
      </c>
      <c r="F4024" s="17" t="inlineStr">
        <is>
          <t>Trang Tổ chức — quyền thao tác</t>
        </is>
      </c>
      <c r="G4024" s="17" t="inlineStr">
        <is>
          <t>có PLATFORM_ORG_MANAGE: thấy nút Tạo tổ chức và Khoá/Mở khoá đúng theo trạng thái</t>
        </is>
      </c>
      <c r="H4024" s="17" t="inlineStr">
        <is>
          <t>Trang Tổ chức — quyền thao tác có PLATFORM_ORG_MANAGE: thấy nút Tạo tổ chức và Khoá/Mở khoá đúng theo trạng thái</t>
        </is>
      </c>
      <c r="I4024" s="16" t="inlineStr">
        <is>
          <t>Đạt</t>
        </is>
      </c>
      <c r="J4024" s="16" t="n">
        <v>0.296</v>
      </c>
    </row>
    <row r="4025">
      <c r="A4025" s="16" t="n">
        <v>4021</v>
      </c>
      <c r="B4025" s="16" t="inlineStr">
        <is>
          <t>Frontend</t>
        </is>
      </c>
      <c r="C4025" s="17" t="inlineStr">
        <is>
          <t>web-platform</t>
        </is>
      </c>
      <c r="D4025" s="16" t="inlineStr">
        <is>
          <t>Unit</t>
        </is>
      </c>
      <c r="E4025" s="17" t="inlineStr">
        <is>
          <t>organizations.test.tsx</t>
        </is>
      </c>
      <c r="F4025" s="17" t="inlineStr">
        <is>
          <t>Trang Tổ chức — quyền thao tác</t>
        </is>
      </c>
      <c r="G4025" s="17" t="inlineStr">
        <is>
          <t>không có quyền quản lý: ẩn Tạo tổ chức và mọi nút Khoá/Mở khoá, vẫn có Chi tiết</t>
        </is>
      </c>
      <c r="H4025" s="17" t="inlineStr">
        <is>
          <t>Trang Tổ chức — quyền thao tác không có quyền quản lý: ẩn Tạo tổ chức và mọi nút Khoá/Mở khoá, vẫn có Chi tiết</t>
        </is>
      </c>
      <c r="I4025" s="16" t="inlineStr">
        <is>
          <t>Đạt</t>
        </is>
      </c>
      <c r="J4025" s="16" t="n">
        <v>0.185</v>
      </c>
    </row>
    <row r="4026">
      <c r="A4026" s="16" t="n">
        <v>4022</v>
      </c>
      <c r="B4026" s="16" t="inlineStr">
        <is>
          <t>Frontend</t>
        </is>
      </c>
      <c r="C4026" s="17" t="inlineStr">
        <is>
          <t>web-platform</t>
        </is>
      </c>
      <c r="D4026" s="16" t="inlineStr">
        <is>
          <t>Unit</t>
        </is>
      </c>
      <c r="E4026" s="17" t="inlineStr">
        <is>
          <t>organizations.test.tsx</t>
        </is>
      </c>
      <c r="F4026" s="17" t="inlineStr">
        <is>
          <t>Trang Tổ chức — quyền thao tác</t>
        </is>
      </c>
      <c r="G4026" s="17" t="inlineStr">
        <is>
          <t>khoá tổ chức: hỏi xác nhận, gọi POST .../suspend rồi báo thành công</t>
        </is>
      </c>
      <c r="H4026" s="17" t="inlineStr">
        <is>
          <t>Trang Tổ chức — quyền thao tác khoá tổ chức: hỏi xác nhận, gọi POST .../suspend rồi báo thành công</t>
        </is>
      </c>
      <c r="I4026" s="16" t="inlineStr">
        <is>
          <t>Đạt</t>
        </is>
      </c>
      <c r="J4026" s="16" t="n">
        <v>0.32</v>
      </c>
    </row>
    <row r="4027">
      <c r="A4027" s="16" t="n">
        <v>4023</v>
      </c>
      <c r="B4027" s="16" t="inlineStr">
        <is>
          <t>Frontend</t>
        </is>
      </c>
      <c r="C4027" s="17" t="inlineStr">
        <is>
          <t>web-platform</t>
        </is>
      </c>
      <c r="D4027" s="16" t="inlineStr">
        <is>
          <t>Unit</t>
        </is>
      </c>
      <c r="E4027" s="17" t="inlineStr">
        <is>
          <t>organizations.test.tsx</t>
        </is>
      </c>
      <c r="F4027" s="17" t="inlineStr">
        <is>
          <t>Trang Tổ chức — quyền thao tác</t>
        </is>
      </c>
      <c r="G4027" s="17" t="inlineStr">
        <is>
          <t>mở khoá tổ chức đang khoá gọi POST .../activate</t>
        </is>
      </c>
      <c r="H4027" s="17" t="inlineStr">
        <is>
          <t>Trang Tổ chức — quyền thao tác mở khoá tổ chức đang khoá gọi POST .../activate</t>
        </is>
      </c>
      <c r="I4027" s="16" t="inlineStr">
        <is>
          <t>Đạt</t>
        </is>
      </c>
      <c r="J4027" s="16" t="n">
        <v>0.294</v>
      </c>
    </row>
    <row r="4028">
      <c r="A4028" s="16" t="n">
        <v>4024</v>
      </c>
      <c r="B4028" s="16" t="inlineStr">
        <is>
          <t>Frontend</t>
        </is>
      </c>
      <c r="C4028" s="17" t="inlineStr">
        <is>
          <t>web-platform</t>
        </is>
      </c>
      <c r="D4028" s="16" t="inlineStr">
        <is>
          <t>Unit</t>
        </is>
      </c>
      <c r="E4028" s="17" t="inlineStr">
        <is>
          <t>organizations.test.tsx</t>
        </is>
      </c>
      <c r="F4028" s="17" t="inlineStr">
        <is>
          <t>Trang Tổ chức — quyền thao tác</t>
        </is>
      </c>
      <c r="G4028" s="17" t="inlineStr">
        <is>
          <t>bấm Khoá không kích hoạt điều hướng của cả dòng</t>
        </is>
      </c>
      <c r="H4028" s="17" t="inlineStr">
        <is>
          <t>Trang Tổ chức — quyền thao tác bấm Khoá không kích hoạt điều hướng của cả dòng</t>
        </is>
      </c>
      <c r="I4028" s="16" t="inlineStr">
        <is>
          <t>Đạt</t>
        </is>
      </c>
      <c r="J4028" s="16" t="n">
        <v>0.234</v>
      </c>
    </row>
    <row r="4029">
      <c r="A4029" s="16" t="n">
        <v>4025</v>
      </c>
      <c r="B4029" s="16" t="inlineStr">
        <is>
          <t>Frontend</t>
        </is>
      </c>
      <c r="C4029" s="17" t="inlineStr">
        <is>
          <t>web-platform</t>
        </is>
      </c>
      <c r="D4029" s="16" t="inlineStr">
        <is>
          <t>Unit</t>
        </is>
      </c>
      <c r="E4029" s="17" t="inlineStr">
        <is>
          <t>organizations.test.tsx</t>
        </is>
      </c>
      <c r="F4029" s="17" t="inlineStr">
        <is>
          <t>Trang Tổ chức — quyền thao tác</t>
        </is>
      </c>
      <c r="G4029" s="17" t="inlineStr">
        <is>
          <t>tạo tổ chức: gửi tên/email đã cắt khoảng trắng, bỏ slug trống, rồi hiện mã lời mời một lần</t>
        </is>
      </c>
      <c r="H4029" s="17" t="inlineStr">
        <is>
          <t>Trang Tổ chức — quyền thao tác tạo tổ chức: gửi tên/email đã cắt khoảng trắng, bỏ slug trống, rồi hiện mã lời mời một lần</t>
        </is>
      </c>
      <c r="I4029" s="16" t="inlineStr">
        <is>
          <t>Đạt</t>
        </is>
      </c>
      <c r="J4029" s="16" t="n">
        <v>1.101</v>
      </c>
    </row>
    <row r="4030">
      <c r="A4030" s="16" t="n">
        <v>4026</v>
      </c>
      <c r="B4030" s="16" t="inlineStr">
        <is>
          <t>Frontend</t>
        </is>
      </c>
      <c r="C4030" s="17" t="inlineStr">
        <is>
          <t>web-platform</t>
        </is>
      </c>
      <c r="D4030" s="16" t="inlineStr">
        <is>
          <t>Unit</t>
        </is>
      </c>
      <c r="E4030" s="17" t="inlineStr">
        <is>
          <t>support.test.tsx</t>
        </is>
      </c>
      <c r="F4030" s="17" t="inlineStr">
        <is>
          <t>Bàn hỗ trợ — hàng đợi</t>
        </is>
      </c>
      <c r="G4030" s="17" t="inlineStr">
        <is>
          <t>mặc định lọc "Đang chờ" và gọi API với status=OPEN, không kèm q</t>
        </is>
      </c>
      <c r="H4030" s="17" t="inlineStr">
        <is>
          <t>Bàn hỗ trợ — hàng đợi mặc định lọc "Đang chờ" và gọi API với status=OPEN, không kèm q</t>
        </is>
      </c>
      <c r="I4030" s="16" t="inlineStr">
        <is>
          <t>Đạt</t>
        </is>
      </c>
      <c r="J4030" s="16" t="n">
        <v>0.363</v>
      </c>
    </row>
    <row r="4031">
      <c r="A4031" s="16" t="n">
        <v>4027</v>
      </c>
      <c r="B4031" s="16" t="inlineStr">
        <is>
          <t>Frontend</t>
        </is>
      </c>
      <c r="C4031" s="17" t="inlineStr">
        <is>
          <t>web-platform</t>
        </is>
      </c>
      <c r="D4031" s="16" t="inlineStr">
        <is>
          <t>Unit</t>
        </is>
      </c>
      <c r="E4031" s="17" t="inlineStr">
        <is>
          <t>support.test.tsx</t>
        </is>
      </c>
      <c r="F4031" s="17" t="inlineStr">
        <is>
          <t>Bàn hỗ trợ — hàng đợi</t>
        </is>
      </c>
      <c r="G4031" s="17" t="inlineStr">
        <is>
          <t>đổi tab gửi status tương ứng; tab không phải "Đang chờ" rỗng thì dùng câu khác</t>
        </is>
      </c>
      <c r="H4031" s="17" t="inlineStr">
        <is>
          <t>Bàn hỗ trợ — hàng đợi đổi tab gửi status tương ứng; tab không phải "Đang chờ" rỗng thì dùng câu khác</t>
        </is>
      </c>
      <c r="I4031" s="16" t="inlineStr">
        <is>
          <t>Đạt</t>
        </is>
      </c>
      <c r="J4031" s="16" t="n">
        <v>0.281</v>
      </c>
    </row>
    <row r="4032">
      <c r="A4032" s="16" t="n">
        <v>4028</v>
      </c>
      <c r="B4032" s="16" t="inlineStr">
        <is>
          <t>Frontend</t>
        </is>
      </c>
      <c r="C4032" s="17" t="inlineStr">
        <is>
          <t>web-platform</t>
        </is>
      </c>
      <c r="D4032" s="16" t="inlineStr">
        <is>
          <t>Unit</t>
        </is>
      </c>
      <c r="E4032" s="17" t="inlineStr">
        <is>
          <t>support.test.tsx</t>
        </is>
      </c>
      <c r="F4032" s="17" t="inlineStr">
        <is>
          <t>Bàn hỗ trợ — hàng đợi</t>
        </is>
      </c>
      <c r="G4032" s="17" t="inlineStr">
        <is>
          <t>gõ tìm kiếm được hoãn 300ms: một lần gõ ra một request có q đã cắt khoảng trắng; không khớp thì báo từ khoá</t>
        </is>
      </c>
      <c r="H4032" s="17" t="inlineStr">
        <is>
          <t>Bàn hỗ trợ — hàng đợi gõ tìm kiếm được hoãn 300ms: một lần gõ ra một request có q đã cắt khoảng trắng; không khớp thì báo từ khoá</t>
        </is>
      </c>
      <c r="I4032" s="16" t="inlineStr">
        <is>
          <t>Đạt</t>
        </is>
      </c>
      <c r="J4032" s="16" t="n">
        <v>0.582</v>
      </c>
    </row>
    <row r="4033">
      <c r="A4033" s="16" t="n">
        <v>4029</v>
      </c>
      <c r="B4033" s="16" t="inlineStr">
        <is>
          <t>Frontend</t>
        </is>
      </c>
      <c r="C4033" s="17" t="inlineStr">
        <is>
          <t>web-platform</t>
        </is>
      </c>
      <c r="D4033" s="16" t="inlineStr">
        <is>
          <t>Unit</t>
        </is>
      </c>
      <c r="E4033" s="17" t="inlineStr">
        <is>
          <t>support.test.tsx</t>
        </is>
      </c>
      <c r="F4033" s="17" t="inlineStr">
        <is>
          <t>Bàn hỗ trợ — hàng đợi</t>
        </is>
      </c>
      <c r="G4033" s="17" t="inlineStr">
        <is>
          <t>mỗi dòng hiện nhãn nguồn chuyển, ý định (ẩn với GENERAL), tên/email khách, thời gian chờ và người nhận</t>
        </is>
      </c>
      <c r="H4033" s="17" t="inlineStr">
        <is>
          <t>Bàn hỗ trợ — hàng đợi mỗi dòng hiện nhãn nguồn chuyển, ý định (ẩn với GENERAL), tên/email khách, thời gian chờ và người nhận</t>
        </is>
      </c>
      <c r="I4033" s="16" t="inlineStr">
        <is>
          <t>Đạt</t>
        </is>
      </c>
      <c r="J4033" s="16" t="n">
        <v>0.07000000000000001</v>
      </c>
    </row>
    <row r="4034">
      <c r="A4034" s="16" t="n">
        <v>4030</v>
      </c>
      <c r="B4034" s="16" t="inlineStr">
        <is>
          <t>Frontend</t>
        </is>
      </c>
      <c r="C4034" s="17" t="inlineStr">
        <is>
          <t>web-platform</t>
        </is>
      </c>
      <c r="D4034" s="16" t="inlineStr">
        <is>
          <t>Unit</t>
        </is>
      </c>
      <c r="E4034" s="17" t="inlineStr">
        <is>
          <t>support.test.tsx</t>
        </is>
      </c>
      <c r="F4034" s="17" t="inlineStr">
        <is>
          <t>Bàn hỗ trợ — hàng đợi</t>
        </is>
      </c>
      <c r="G4034" s="17" t="inlineStr">
        <is>
          <t>API lỗi hiện thử lại thay vì "Không có ai đang chờ"</t>
        </is>
      </c>
      <c r="H4034" s="17" t="inlineStr">
        <is>
          <t>Bàn hỗ trợ — hàng đợi API lỗi hiện thử lại thay vì "Không có ai đang chờ"</t>
        </is>
      </c>
      <c r="I4034" s="16" t="inlineStr">
        <is>
          <t>Đạt</t>
        </is>
      </c>
      <c r="J4034" s="16" t="n">
        <v>0.081</v>
      </c>
    </row>
    <row r="4035">
      <c r="A4035" s="16" t="n">
        <v>4031</v>
      </c>
      <c r="B4035" s="16" t="inlineStr">
        <is>
          <t>Frontend</t>
        </is>
      </c>
      <c r="C4035" s="17" t="inlineStr">
        <is>
          <t>web-platform</t>
        </is>
      </c>
      <c r="D4035" s="16" t="inlineStr">
        <is>
          <t>Unit</t>
        </is>
      </c>
      <c r="E4035" s="17" t="inlineStr">
        <is>
          <t>support.test.tsx</t>
        </is>
      </c>
      <c r="F4035" s="17" t="inlineStr">
        <is>
          <t>Bàn hỗ trợ — hội thoại</t>
        </is>
      </c>
      <c r="G4035" s="17" t="inlineStr">
        <is>
          <t>chưa chọn thì gợi ý chọn; phiếu chưa ai nhận hiện nút Nhận phiếu, chưa có ô trả lời</t>
        </is>
      </c>
      <c r="H4035" s="17" t="inlineStr">
        <is>
          <t>Bàn hỗ trợ — hội thoại chưa chọn thì gợi ý chọn; phiếu chưa ai nhận hiện nút Nhận phiếu, chưa có ô trả lời</t>
        </is>
      </c>
      <c r="I4035" s="16" t="inlineStr">
        <is>
          <t>Đạt</t>
        </is>
      </c>
      <c r="J4035" s="16" t="n">
        <v>0.193</v>
      </c>
    </row>
    <row r="4036">
      <c r="A4036" s="16" t="n">
        <v>4032</v>
      </c>
      <c r="B4036" s="16" t="inlineStr">
        <is>
          <t>Frontend</t>
        </is>
      </c>
      <c r="C4036" s="17" t="inlineStr">
        <is>
          <t>web-platform</t>
        </is>
      </c>
      <c r="D4036" s="16" t="inlineStr">
        <is>
          <t>Unit</t>
        </is>
      </c>
      <c r="E4036" s="17" t="inlineStr">
        <is>
          <t>support.test.tsx</t>
        </is>
      </c>
      <c r="F4036" s="17" t="inlineStr">
        <is>
          <t>Bàn hỗ trợ — hội thoại</t>
        </is>
      </c>
      <c r="G4036" s="17" t="inlineStr">
        <is>
          <t>mở hội thoại thì cuộn xuống tin mới nhất</t>
        </is>
      </c>
      <c r="H4036" s="17" t="inlineStr">
        <is>
          <t>Bàn hỗ trợ — hội thoại mở hội thoại thì cuộn xuống tin mới nhất</t>
        </is>
      </c>
      <c r="I4036" s="16" t="inlineStr">
        <is>
          <t>Đạt</t>
        </is>
      </c>
      <c r="J4036" s="16" t="n">
        <v>0.138</v>
      </c>
    </row>
    <row r="4037">
      <c r="A4037" s="16" t="n">
        <v>4033</v>
      </c>
      <c r="B4037" s="16" t="inlineStr">
        <is>
          <t>Frontend</t>
        </is>
      </c>
      <c r="C4037" s="17" t="inlineStr">
        <is>
          <t>web-platform</t>
        </is>
      </c>
      <c r="D4037" s="16" t="inlineStr">
        <is>
          <t>Unit</t>
        </is>
      </c>
      <c r="E4037" s="17" t="inlineStr">
        <is>
          <t>support.test.tsx</t>
        </is>
      </c>
      <c r="F4037" s="17" t="inlineStr">
        <is>
          <t>Bàn hỗ trợ — hội thoại</t>
        </is>
      </c>
      <c r="G4037" s="17" t="inlineStr">
        <is>
          <t>phiếu sự cố hiện checklist theo khung mẫu; phiếu thường không có</t>
        </is>
      </c>
      <c r="H4037" s="17" t="inlineStr">
        <is>
          <t>Bàn hỗ trợ — hội thoại phiếu sự cố hiện checklist theo khung mẫu; phiếu thường không có</t>
        </is>
      </c>
      <c r="I4037" s="16" t="inlineStr">
        <is>
          <t>Đạt</t>
        </is>
      </c>
      <c r="J4037" s="16" t="n">
        <v>0.175</v>
      </c>
    </row>
    <row r="4038">
      <c r="A4038" s="16" t="n">
        <v>4034</v>
      </c>
      <c r="B4038" s="16" t="inlineStr">
        <is>
          <t>Frontend</t>
        </is>
      </c>
      <c r="C4038" s="17" t="inlineStr">
        <is>
          <t>web-platform</t>
        </is>
      </c>
      <c r="D4038" s="16" t="inlineStr">
        <is>
          <t>Unit</t>
        </is>
      </c>
      <c r="E4038" s="17" t="inlineStr">
        <is>
          <t>support.test.tsx</t>
        </is>
      </c>
      <c r="F4038" s="17" t="inlineStr">
        <is>
          <t>Bàn hỗ trợ — hội thoại</t>
        </is>
      </c>
      <c r="G4038" s="17" t="inlineStr">
        <is>
          <t>nhận phiếu gọi POST .../claim; người khác nhận trước (409) thì báo thông tin và đóng hội thoại</t>
        </is>
      </c>
      <c r="H4038" s="17" t="inlineStr">
        <is>
          <t>Bàn hỗ trợ — hội thoại nhận phiếu gọi POST .../claim; người khác nhận trước (409) thì báo thông tin và đóng hội thoại</t>
        </is>
      </c>
      <c r="I4038" s="16" t="inlineStr">
        <is>
          <t>Đạt</t>
        </is>
      </c>
      <c r="J4038" s="16" t="n">
        <v>0.252</v>
      </c>
    </row>
    <row r="4039">
      <c r="A4039" s="16" t="n">
        <v>4035</v>
      </c>
      <c r="B4039" s="16" t="inlineStr">
        <is>
          <t>Frontend</t>
        </is>
      </c>
      <c r="C4039" s="17" t="inlineStr">
        <is>
          <t>web-platform</t>
        </is>
      </c>
      <c r="D4039" s="16" t="inlineStr">
        <is>
          <t>Unit</t>
        </is>
      </c>
      <c r="E4039" s="17" t="inlineStr">
        <is>
          <t>support.test.tsx</t>
        </is>
      </c>
      <c r="F4039" s="17" t="inlineStr">
        <is>
          <t>Bàn hỗ trợ — hội thoại</t>
        </is>
      </c>
      <c r="G4039" s="17" t="inlineStr">
        <is>
          <t>phiếu đã nhận: có ô trả lời; Gửi bị khoá khi trống, gửi đã cắt khoảng trắng, Enter gửi còn Shift+Enter thì không</t>
        </is>
      </c>
      <c r="H4039" s="17" t="inlineStr">
        <is>
          <t>Bàn hỗ trợ — hội thoại phiếu đã nhận: có ô trả lời; Gửi bị khoá khi trống, gửi đã cắt khoảng trắng, Enter gửi còn Shift+Enter thì không</t>
        </is>
      </c>
      <c r="I4039" s="16" t="inlineStr">
        <is>
          <t>Đạt</t>
        </is>
      </c>
      <c r="J4039" s="16" t="n">
        <v>0.747</v>
      </c>
    </row>
    <row r="4040">
      <c r="A4040" s="16" t="n">
        <v>4036</v>
      </c>
      <c r="B4040" s="16" t="inlineStr">
        <is>
          <t>Frontend</t>
        </is>
      </c>
      <c r="C4040" s="17" t="inlineStr">
        <is>
          <t>web-platform</t>
        </is>
      </c>
      <c r="D4040" s="16" t="inlineStr">
        <is>
          <t>Unit</t>
        </is>
      </c>
      <c r="E4040" s="17" t="inlineStr">
        <is>
          <t>support.test.tsx</t>
        </is>
      </c>
      <c r="F4040" s="17" t="inlineStr">
        <is>
          <t>Bàn hỗ trợ — hội thoại</t>
        </is>
      </c>
      <c r="G4040" s="17" t="inlineStr">
        <is>
          <t>Đánh dấu đã xong gọi POST .../resolve rồi đóng hội thoại</t>
        </is>
      </c>
      <c r="H4040" s="17" t="inlineStr">
        <is>
          <t>Bàn hỗ trợ — hội thoại Đánh dấu đã xong gọi POST .../resolve rồi đóng hội thoại</t>
        </is>
      </c>
      <c r="I4040" s="16" t="inlineStr">
        <is>
          <t>Đạt</t>
        </is>
      </c>
      <c r="J4040" s="16" t="n">
        <v>0.234</v>
      </c>
    </row>
    <row r="4041">
      <c r="A4041" s="16" t="n">
        <v>4037</v>
      </c>
      <c r="B4041" s="16" t="inlineStr">
        <is>
          <t>Frontend</t>
        </is>
      </c>
      <c r="C4041" s="17" t="inlineStr">
        <is>
          <t>web-platform</t>
        </is>
      </c>
      <c r="D4041" s="16" t="inlineStr">
        <is>
          <t>Unit</t>
        </is>
      </c>
      <c r="E4041" s="17" t="inlineStr">
        <is>
          <t>template-detail.test.tsx</t>
        </is>
      </c>
      <c r="F4041" s="17" t="inlineStr">
        <is>
          <t>Chi tiết khung — nút theo trạng thái</t>
        </is>
      </c>
      <c r="G4041" s="17" t="inlineStr">
        <is>
          <t>Nháp có khu: có "Mở cho tổ chức" và "Lưu trữ", không có "Về nháp"</t>
        </is>
      </c>
      <c r="H4041" s="17" t="inlineStr">
        <is>
          <t>Chi tiết khung — nút theo trạng thái Nháp có khu: có "Mở cho tổ chức" và "Lưu trữ", không có "Về nháp"</t>
        </is>
      </c>
      <c r="I4041" s="16" t="inlineStr">
        <is>
          <t>Đạt</t>
        </is>
      </c>
      <c r="J4041" s="16" t="n">
        <v>0.538</v>
      </c>
    </row>
    <row r="4042">
      <c r="A4042" s="16" t="n">
        <v>4038</v>
      </c>
      <c r="B4042" s="16" t="inlineStr">
        <is>
          <t>Frontend</t>
        </is>
      </c>
      <c r="C4042" s="17" t="inlineStr">
        <is>
          <t>web-platform</t>
        </is>
      </c>
      <c r="D4042" s="16" t="inlineStr">
        <is>
          <t>Unit</t>
        </is>
      </c>
      <c r="E4042" s="17" t="inlineStr">
        <is>
          <t>template-detail.test.tsx</t>
        </is>
      </c>
      <c r="F4042" s="17" t="inlineStr">
        <is>
          <t>Chi tiết khung — nút theo trạng thái</t>
        </is>
      </c>
      <c r="G4042" s="17" t="inlineStr">
        <is>
          <t>Nháp nhưng chưa có khu: nút mở bị khoá kèm lý do</t>
        </is>
      </c>
      <c r="H4042" s="17" t="inlineStr">
        <is>
          <t>Chi tiết khung — nút theo trạng thái Nháp nhưng chưa có khu: nút mở bị khoá kèm lý do</t>
        </is>
      </c>
      <c r="I4042" s="16" t="inlineStr">
        <is>
          <t>Đạt</t>
        </is>
      </c>
      <c r="J4042" s="16" t="n">
        <v>0.15</v>
      </c>
    </row>
    <row r="4043">
      <c r="A4043" s="16" t="n">
        <v>4039</v>
      </c>
      <c r="B4043" s="16" t="inlineStr">
        <is>
          <t>Frontend</t>
        </is>
      </c>
      <c r="C4043" s="17" t="inlineStr">
        <is>
          <t>web-platform</t>
        </is>
      </c>
      <c r="D4043" s="16" t="inlineStr">
        <is>
          <t>Unit</t>
        </is>
      </c>
      <c r="E4043" s="17" t="inlineStr">
        <is>
          <t>template-detail.test.tsx</t>
        </is>
      </c>
      <c r="F4043" s="17" t="inlineStr">
        <is>
          <t>Chi tiết khung — nút theo trạng thái</t>
        </is>
      </c>
      <c r="G4043" s="17" t="inlineStr">
        <is>
          <t>Đang mở: có "Về nháp để sửa" và cảnh báo, không có "Mở cho tổ chức"</t>
        </is>
      </c>
      <c r="H4043" s="17" t="inlineStr">
        <is>
          <t>Chi tiết khung — nút theo trạng thái Đang mở: có "Về nháp để sửa" và cảnh báo, không có "Mở cho tổ chức"</t>
        </is>
      </c>
      <c r="I4043" s="16" t="inlineStr">
        <is>
          <t>Đạt</t>
        </is>
      </c>
      <c r="J4043" s="16" t="n">
        <v>0.142</v>
      </c>
    </row>
    <row r="4044">
      <c r="A4044" s="16" t="n">
        <v>4040</v>
      </c>
      <c r="B4044" s="16" t="inlineStr">
        <is>
          <t>Frontend</t>
        </is>
      </c>
      <c r="C4044" s="17" t="inlineStr">
        <is>
          <t>web-platform</t>
        </is>
      </c>
      <c r="D4044" s="16" t="inlineStr">
        <is>
          <t>Unit</t>
        </is>
      </c>
      <c r="E4044" s="17" t="inlineStr">
        <is>
          <t>template-detail.test.tsx</t>
        </is>
      </c>
      <c r="F4044" s="17" t="inlineStr">
        <is>
          <t>Chi tiết khung — nút theo trạng thái</t>
        </is>
      </c>
      <c r="G4044" s="17" t="inlineStr">
        <is>
          <t>Đã lưu trữ: không còn nút "Lưu trữ", vẫn mở lại được</t>
        </is>
      </c>
      <c r="H4044" s="17" t="inlineStr">
        <is>
          <t>Chi tiết khung — nút theo trạng thái Đã lưu trữ: không còn nút "Lưu trữ", vẫn mở lại được</t>
        </is>
      </c>
      <c r="I4044" s="16" t="inlineStr">
        <is>
          <t>Đạt</t>
        </is>
      </c>
      <c r="J4044" s="16" t="n">
        <v>0.12</v>
      </c>
    </row>
    <row r="4045">
      <c r="A4045" s="16" t="n">
        <v>4041</v>
      </c>
      <c r="B4045" s="16" t="inlineStr">
        <is>
          <t>Frontend</t>
        </is>
      </c>
      <c r="C4045" s="17" t="inlineStr">
        <is>
          <t>web-platform</t>
        </is>
      </c>
      <c r="D4045" s="16" t="inlineStr">
        <is>
          <t>Unit</t>
        </is>
      </c>
      <c r="E4045" s="17" t="inlineStr">
        <is>
          <t>template-detail.test.tsx</t>
        </is>
      </c>
      <c r="F4045" s="17" t="inlineStr">
        <is>
          <t>Chi tiết khung — nút theo trạng thái</t>
        </is>
      </c>
      <c r="G4045" s="17" t="inlineStr">
        <is>
          <t>bấm Lưu trữ gọi POST .../archive và báo thành công</t>
        </is>
      </c>
      <c r="H4045" s="17" t="inlineStr">
        <is>
          <t>Chi tiết khung — nút theo trạng thái bấm Lưu trữ gọi POST .../archive và báo thành công</t>
        </is>
      </c>
      <c r="I4045" s="16" t="inlineStr">
        <is>
          <t>Đạt</t>
        </is>
      </c>
      <c r="J4045" s="16" t="n">
        <v>0.174</v>
      </c>
    </row>
    <row r="4046">
      <c r="A4046" s="16" t="n">
        <v>4042</v>
      </c>
      <c r="B4046" s="16" t="inlineStr">
        <is>
          <t>Frontend</t>
        </is>
      </c>
      <c r="C4046" s="17" t="inlineStr">
        <is>
          <t>web-platform</t>
        </is>
      </c>
      <c r="D4046" s="16" t="inlineStr">
        <is>
          <t>Unit</t>
        </is>
      </c>
      <c r="E4046" s="17" t="inlineStr">
        <is>
          <t>template-detail.test.tsx</t>
        </is>
      </c>
      <c r="F4046" s="17" t="inlineStr">
        <is>
          <t>Chi tiết khung — nút theo trạng thái</t>
        </is>
      </c>
      <c r="G4046" s="17" t="inlineStr">
        <is>
          <t>không có sơ đồ khu nào bị "TABLE" thì nút sửa bảng khu bật; có khu bàn thì khoá</t>
        </is>
      </c>
      <c r="H4046" s="17" t="inlineStr">
        <is>
          <t>Chi tiết khung — nút theo trạng thái không có sơ đồ khu nào bị "TABLE" thì nút sửa bảng khu bật; có khu bàn thì khoá</t>
        </is>
      </c>
      <c r="I4046" s="16" t="inlineStr">
        <is>
          <t>Đạt</t>
        </is>
      </c>
      <c r="J4046" s="16" t="n">
        <v>0.207</v>
      </c>
    </row>
    <row r="4047">
      <c r="A4047" s="16" t="n">
        <v>4043</v>
      </c>
      <c r="B4047" s="16" t="inlineStr">
        <is>
          <t>Frontend</t>
        </is>
      </c>
      <c r="C4047" s="17" t="inlineStr">
        <is>
          <t>web-platform</t>
        </is>
      </c>
      <c r="D4047" s="16" t="inlineStr">
        <is>
          <t>Unit</t>
        </is>
      </c>
      <c r="E4047" s="17" t="inlineStr">
        <is>
          <t>template-detail.test.tsx</t>
        </is>
      </c>
      <c r="F4047" s="17" t="inlineStr">
        <is>
          <t>Chi tiết khung — nút theo trạng thái</t>
        </is>
      </c>
      <c r="G4047" s="17" t="inlineStr">
        <is>
          <t>bảng khu hiện loại, số chỗ và giá gợi ý; khu không có giá hiện "—"; sắp theo sortOrder</t>
        </is>
      </c>
      <c r="H4047" s="17" t="inlineStr">
        <is>
          <t>Chi tiết khung — nút theo trạng thái bảng khu hiện loại, số chỗ và giá gợi ý; khu không có giá hiện "—"; sắp theo sortOrder</t>
        </is>
      </c>
      <c r="I4047" s="16" t="inlineStr">
        <is>
          <t>Đạt</t>
        </is>
      </c>
      <c r="J4047" s="16" t="n">
        <v>0.092</v>
      </c>
    </row>
    <row r="4048">
      <c r="A4048" s="16" t="n">
        <v>4044</v>
      </c>
      <c r="B4048" s="16" t="inlineStr">
        <is>
          <t>Frontend</t>
        </is>
      </c>
      <c r="C4048" s="17" t="inlineStr">
        <is>
          <t>web-platform</t>
        </is>
      </c>
      <c r="D4048" s="16" t="inlineStr">
        <is>
          <t>Unit</t>
        </is>
      </c>
      <c r="E4048" s="17" t="inlineStr">
        <is>
          <t>template-detail.test.tsx</t>
        </is>
      </c>
      <c r="F4048" s="17" t="inlineStr">
        <is>
          <t>Chi tiết khung — nút theo trạng thái</t>
        </is>
      </c>
      <c r="G4048" s="17" t="inlineStr">
        <is>
          <t>API lỗi hiện khối lỗi, có đường quay lại danh sách</t>
        </is>
      </c>
      <c r="H4048" s="17" t="inlineStr">
        <is>
          <t>Chi tiết khung — nút theo trạng thái API lỗi hiện khối lỗi, có đường quay lại danh sách</t>
        </is>
      </c>
      <c r="I4048" s="16" t="inlineStr">
        <is>
          <t>Đạt</t>
        </is>
      </c>
      <c r="J4048" s="16" t="n">
        <v>0.04</v>
      </c>
    </row>
    <row r="4049">
      <c r="A4049" s="16" t="n">
        <v>4045</v>
      </c>
      <c r="B4049" s="16" t="inlineStr">
        <is>
          <t>Frontend</t>
        </is>
      </c>
      <c r="C4049" s="17" t="inlineStr">
        <is>
          <t>web-platform</t>
        </is>
      </c>
      <c r="D4049" s="16" t="inlineStr">
        <is>
          <t>Unit</t>
        </is>
      </c>
      <c r="E4049" s="17" t="inlineStr">
        <is>
          <t>template-detail.test.tsx</t>
        </is>
      </c>
      <c r="F4049" s="17" t="inlineStr">
        <is>
          <t>Chi tiết khung — xoá</t>
        </is>
      </c>
      <c r="G4049" s="17" t="inlineStr">
        <is>
          <t>xoá thành công thì báo và quay về danh sách</t>
        </is>
      </c>
      <c r="H4049" s="17" t="inlineStr">
        <is>
          <t>Chi tiết khung — xoá xoá thành công thì báo và quay về danh sách</t>
        </is>
      </c>
      <c r="I4049" s="16" t="inlineStr">
        <is>
          <t>Đạt</t>
        </is>
      </c>
      <c r="J4049" s="16" t="n">
        <v>0.264</v>
      </c>
    </row>
    <row r="4050">
      <c r="A4050" s="16" t="n">
        <v>4046</v>
      </c>
      <c r="B4050" s="16" t="inlineStr">
        <is>
          <t>Frontend</t>
        </is>
      </c>
      <c r="C4050" s="17" t="inlineStr">
        <is>
          <t>web-platform</t>
        </is>
      </c>
      <c r="D4050" s="16" t="inlineStr">
        <is>
          <t>Unit</t>
        </is>
      </c>
      <c r="E4050" s="17" t="inlineStr">
        <is>
          <t>template-detail.test.tsx</t>
        </is>
      </c>
      <c r="F4050" s="17" t="inlineStr">
        <is>
          <t>Chi tiết khung — xoá</t>
        </is>
      </c>
      <c r="G4050" s="17" t="inlineStr">
        <is>
          <t>khung đang được dùng (server từ chối) thì đóng hộp thoại và KHÔNG điều hướng</t>
        </is>
      </c>
      <c r="H4050" s="17" t="inlineStr">
        <is>
          <t>Chi tiết khung — xoá khung đang được dùng (server từ chối) thì đóng hộp thoại và KHÔNG điều hướng</t>
        </is>
      </c>
      <c r="I4050" s="16" t="inlineStr">
        <is>
          <t>Đạt</t>
        </is>
      </c>
      <c r="J4050" s="16" t="n">
        <v>0.277</v>
      </c>
    </row>
    <row r="4051">
      <c r="A4051" s="16" t="n">
        <v>4047</v>
      </c>
      <c r="B4051" s="16" t="inlineStr">
        <is>
          <t>Frontend</t>
        </is>
      </c>
      <c r="C4051" s="17" t="inlineStr">
        <is>
          <t>web-platform</t>
        </is>
      </c>
      <c r="D4051" s="16" t="inlineStr">
        <is>
          <t>Unit</t>
        </is>
      </c>
      <c r="E4051" s="17" t="inlineStr">
        <is>
          <t>template-detail.test.tsx</t>
        </is>
      </c>
      <c r="F4051" s="17" t="inlineStr">
        <is>
          <t>Chi tiết khung — sửa thông tin</t>
        </is>
      </c>
      <c r="G4051" s="17" t="inlineStr">
        <is>
          <t>thể loại cũ không còn trong danh mục vẫn được giữ làm lựa chọn; lưu gửi PATCH với giá trị đã cắt khoảng trắng</t>
        </is>
      </c>
      <c r="H4051" s="17" t="inlineStr">
        <is>
          <t>Chi tiết khung — sửa thông tin thể loại cũ không còn trong danh mục vẫn được giữ làm lựa chọn; lưu gửi PATCH với giá trị đã cắt khoảng trắng</t>
        </is>
      </c>
      <c r="I4051" s="16" t="inlineStr">
        <is>
          <t>Đạt</t>
        </is>
      </c>
      <c r="J4051" s="16" t="n">
        <v>0.605</v>
      </c>
    </row>
    <row r="4052">
      <c r="A4052" s="16" t="n">
        <v>4048</v>
      </c>
      <c r="B4052" s="16" t="inlineStr">
        <is>
          <t>Frontend</t>
        </is>
      </c>
      <c r="C4052" s="17" t="inlineStr">
        <is>
          <t>web-platform</t>
        </is>
      </c>
      <c r="D4052" s="16" t="inlineStr">
        <is>
          <t>Unit</t>
        </is>
      </c>
      <c r="E4052" s="17" t="inlineStr">
        <is>
          <t>template-detail.test.tsx</t>
        </is>
      </c>
      <c r="F4052" s="17" t="inlineStr">
        <is>
          <t>Chi tiết khung — sửa bảng khu</t>
        </is>
      </c>
      <c r="G4052" s="17" t="inlineStr">
        <is>
          <t>lưu nguyên bảng cũ: gửi lại đủ hình học khu và sân khấu, đánh sortOrder theo thứ tự</t>
        </is>
      </c>
      <c r="H4052" s="17" t="inlineStr">
        <is>
          <t>Chi tiết khung — sửa bảng khu lưu nguyên bảng cũ: gửi lại đủ hình học khu và sân khấu, đánh sortOrder theo thứ tự</t>
        </is>
      </c>
      <c r="I4052" s="16" t="inlineStr">
        <is>
          <t>Đạt</t>
        </is>
      </c>
      <c r="J4052" s="16" t="n">
        <v>0.294</v>
      </c>
    </row>
    <row r="4053">
      <c r="A4053" s="16" t="n">
        <v>4049</v>
      </c>
      <c r="B4053" s="16" t="inlineStr">
        <is>
          <t>Frontend</t>
        </is>
      </c>
      <c r="C4053" s="17" t="inlineStr">
        <is>
          <t>web-platform</t>
        </is>
      </c>
      <c r="D4053" s="16" t="inlineStr">
        <is>
          <t>Unit</t>
        </is>
      </c>
      <c r="E4053" s="17" t="inlineStr">
        <is>
          <t>template-detail.test.tsx</t>
        </is>
      </c>
      <c r="F4053" s="17" t="inlineStr">
        <is>
          <t>Chi tiết khung — sửa bảng khu</t>
        </is>
      </c>
      <c r="G4053" s="17" t="inlineStr">
        <is>
          <t>thêm khu mới đứng: nhãn "(mới)", gửi capacity và bỏ hàng/ghế, không kèm hình học</t>
        </is>
      </c>
      <c r="H4053" s="17" t="inlineStr">
        <is>
          <t>Chi tiết khung — sửa bảng khu thêm khu mới đứng: nhãn "(mới)", gửi capacity và bỏ hàng/ghế, không kèm hình học</t>
        </is>
      </c>
      <c r="I4053" s="16" t="inlineStr">
        <is>
          <t>Đạt</t>
        </is>
      </c>
      <c r="J4053" s="16" t="n">
        <v>1.062</v>
      </c>
    </row>
    <row r="4054">
      <c r="A4054" s="16" t="n">
        <v>4050</v>
      </c>
      <c r="B4054" s="16" t="inlineStr">
        <is>
          <t>Frontend</t>
        </is>
      </c>
      <c r="C4054" s="17" t="inlineStr">
        <is>
          <t>web-platform</t>
        </is>
      </c>
      <c r="D4054" s="16" t="inlineStr">
        <is>
          <t>Unit</t>
        </is>
      </c>
      <c r="E4054" s="17" t="inlineStr">
        <is>
          <t>template-detail.test.tsx</t>
        </is>
      </c>
      <c r="F4054" s="17" t="inlineStr">
        <is>
          <t>Chi tiết khung — sửa bảng khu</t>
        </is>
      </c>
      <c r="G4054" s="17" t="inlineStr">
        <is>
          <t>bỏ hết khu rồi lưu: báo lỗi, không gọi API</t>
        </is>
      </c>
      <c r="H4054" s="17" t="inlineStr">
        <is>
          <t>Chi tiết khung — sửa bảng khu bỏ hết khu rồi lưu: báo lỗi, không gọi API</t>
        </is>
      </c>
      <c r="I4054" s="16" t="inlineStr">
        <is>
          <t>Đạt</t>
        </is>
      </c>
      <c r="J4054" s="16" t="n">
        <v>0.37</v>
      </c>
    </row>
    <row r="4055">
      <c r="A4055" s="16" t="n">
        <v>4051</v>
      </c>
      <c r="B4055" s="16" t="inlineStr">
        <is>
          <t>Frontend</t>
        </is>
      </c>
      <c r="C4055" s="17" t="inlineStr">
        <is>
          <t>web-platform</t>
        </is>
      </c>
      <c r="D4055" s="16" t="inlineStr">
        <is>
          <t>Unit</t>
        </is>
      </c>
      <c r="E4055" s="17" t="inlineStr">
        <is>
          <t>template-detail.test.tsx</t>
        </is>
      </c>
      <c r="F4055" s="17" t="inlineStr">
        <is>
          <t>Chi tiết khung — sửa bảng khu</t>
        </is>
      </c>
      <c r="G4055" s="17" t="inlineStr">
        <is>
          <t>mã khu trùng nhau bị chặn trước khi gửi</t>
        </is>
      </c>
      <c r="H4055" s="17" t="inlineStr">
        <is>
          <t>Chi tiết khung — sửa bảng khu mã khu trùng nhau bị chặn trước khi gửi</t>
        </is>
      </c>
      <c r="I4055" s="16" t="inlineStr">
        <is>
          <t>Đạt</t>
        </is>
      </c>
      <c r="J4055" s="16" t="n">
        <v>0.41</v>
      </c>
    </row>
    <row r="4056">
      <c r="A4056" s="16" t="n">
        <v>4052</v>
      </c>
      <c r="B4056" s="16" t="inlineStr">
        <is>
          <t>Frontend</t>
        </is>
      </c>
      <c r="C4056" s="17" t="inlineStr">
        <is>
          <t>web-platform</t>
        </is>
      </c>
      <c r="D4056" s="16" t="inlineStr">
        <is>
          <t>Unit</t>
        </is>
      </c>
      <c r="E4056" s="17" t="inlineStr">
        <is>
          <t>template-detail.test.tsx</t>
        </is>
      </c>
      <c r="F4056" s="17" t="inlineStr">
        <is>
          <t>Chi tiết khung — sửa bảng khu</t>
        </is>
      </c>
      <c r="G4056" s="17" t="inlineStr">
        <is>
          <t>thiếu mã hoặc tên: báo cần cả hai</t>
        </is>
      </c>
      <c r="H4056" s="17" t="inlineStr">
        <is>
          <t>Chi tiết khung — sửa bảng khu thiếu mã hoặc tên: báo cần cả hai</t>
        </is>
      </c>
      <c r="I4056" s="16" t="inlineStr">
        <is>
          <t>Đạt</t>
        </is>
      </c>
      <c r="J4056" s="16" t="n">
        <v>0.266</v>
      </c>
    </row>
    <row r="4057">
      <c r="A4057" s="16" t="n">
        <v>4053</v>
      </c>
      <c r="B4057" s="16" t="inlineStr">
        <is>
          <t>Frontend</t>
        </is>
      </c>
      <c r="C4057" s="17" t="inlineStr">
        <is>
          <t>web-platform</t>
        </is>
      </c>
      <c r="D4057" s="16" t="inlineStr">
        <is>
          <t>Unit</t>
        </is>
      </c>
      <c r="E4057" s="17" t="inlineStr">
        <is>
          <t>template-detail.test.tsx</t>
        </is>
      </c>
      <c r="F4057" s="17" t="inlineStr">
        <is>
          <t>Chi tiết khung — sửa bảng khu</t>
        </is>
      </c>
      <c r="G4057" s="17" t="inlineStr">
        <is>
          <t>khu ngồi thiếu số hàng/ghế và khu đứng thiếu sức chứa đều bị chặn</t>
        </is>
      </c>
      <c r="H4057" s="17" t="inlineStr">
        <is>
          <t>Chi tiết khung — sửa bảng khu khu ngồi thiếu số hàng/ghế và khu đứng thiếu sức chứa đều bị chặn</t>
        </is>
      </c>
      <c r="I4057" s="16" t="inlineStr">
        <is>
          <t>Đạt</t>
        </is>
      </c>
      <c r="J4057" s="16" t="n">
        <v>0.524</v>
      </c>
    </row>
    <row r="4058">
      <c r="A4058" s="16" t="n">
        <v>4054</v>
      </c>
      <c r="B4058" s="16" t="inlineStr">
        <is>
          <t>Frontend</t>
        </is>
      </c>
      <c r="C4058" s="17" t="inlineStr">
        <is>
          <t>web-platform</t>
        </is>
      </c>
      <c r="D4058" s="16" t="inlineStr">
        <is>
          <t>Unit</t>
        </is>
      </c>
      <c r="E4058" s="17" t="inlineStr">
        <is>
          <t>template-detail.test.tsx</t>
        </is>
      </c>
      <c r="F4058" s="17" t="inlineStr">
        <is>
          <t>Chi tiết khung — sửa bảng khu</t>
        </is>
      </c>
      <c r="G4058" s="17" t="inlineStr">
        <is>
          <t>số không nguyên dương (0, âm, thập phân) bị từ chối</t>
        </is>
      </c>
      <c r="H4058" s="17" t="inlineStr">
        <is>
          <t>Chi tiết khung — sửa bảng khu số không nguyên dương (0, âm, thập phân) bị từ chối</t>
        </is>
      </c>
      <c r="I4058" s="16" t="inlineStr">
        <is>
          <t>Đạt</t>
        </is>
      </c>
      <c r="J4058" s="16" t="n">
        <v>0.5639999999999999</v>
      </c>
    </row>
    <row r="4059">
      <c r="A4059" s="16" t="n">
        <v>4055</v>
      </c>
      <c r="B4059" s="16" t="inlineStr">
        <is>
          <t>Frontend</t>
        </is>
      </c>
      <c r="C4059" s="17" t="inlineStr">
        <is>
          <t>web-platform</t>
        </is>
      </c>
      <c r="D4059" s="16" t="inlineStr">
        <is>
          <t>Unit</t>
        </is>
      </c>
      <c r="E4059" s="17" t="inlineStr">
        <is>
          <t>template-detail.test.tsx</t>
        </is>
      </c>
      <c r="F4059" s="17" t="inlineStr">
        <is>
          <t>Chi tiết khung — sửa bảng khu</t>
        </is>
      </c>
      <c r="G4059" s="17" t="inlineStr">
        <is>
          <t>giá gợi ý âm hoặc thập phân bị từ chối; để trống thì gửi null</t>
        </is>
      </c>
      <c r="H4059" s="17" t="inlineStr">
        <is>
          <t>Chi tiết khung — sửa bảng khu giá gợi ý âm hoặc thập phân bị từ chối; để trống thì gửi null</t>
        </is>
      </c>
      <c r="I4059" s="16" t="inlineStr">
        <is>
          <t>Đạt</t>
        </is>
      </c>
      <c r="J4059" s="16" t="n">
        <v>0.596</v>
      </c>
    </row>
    <row r="4060">
      <c r="A4060" s="16" t="n">
        <v>4056</v>
      </c>
      <c r="B4060" s="16" t="inlineStr">
        <is>
          <t>Frontend</t>
        </is>
      </c>
      <c r="C4060" s="17" t="inlineStr">
        <is>
          <t>web-platform</t>
        </is>
      </c>
      <c r="D4060" s="16" t="inlineStr">
        <is>
          <t>Unit</t>
        </is>
      </c>
      <c r="E4060" s="17" t="inlineStr">
        <is>
          <t>template-detail.test.tsx</t>
        </is>
      </c>
      <c r="F4060" s="17" t="inlineStr">
        <is>
          <t>Chi tiết khung — sửa bảng khu</t>
        </is>
      </c>
      <c r="G4060" s="17" t="inlineStr">
        <is>
          <t>Huỷ thoát chế độ sửa mà không gọi API</t>
        </is>
      </c>
      <c r="H4060" s="17" t="inlineStr">
        <is>
          <t>Chi tiết khung — sửa bảng khu Huỷ thoát chế độ sửa mà không gọi API</t>
        </is>
      </c>
      <c r="I4060" s="16" t="inlineStr">
        <is>
          <t>Đạt</t>
        </is>
      </c>
      <c r="J4060" s="16" t="n">
        <v>0.269</v>
      </c>
    </row>
    <row r="4061">
      <c r="A4061" s="16" t="n">
        <v>4057</v>
      </c>
      <c r="B4061" s="16" t="inlineStr">
        <is>
          <t>Frontend</t>
        </is>
      </c>
      <c r="C4061" s="17" t="inlineStr">
        <is>
          <t>web-platform</t>
        </is>
      </c>
      <c r="D4061" s="16" t="inlineStr">
        <is>
          <t>Unit</t>
        </is>
      </c>
      <c r="E4061" s="17" t="inlineStr">
        <is>
          <t>templates.test.tsx</t>
        </is>
      </c>
      <c r="F4061" s="17" t="inlineStr">
        <is>
          <t>Trang Khung mẫu — danh sách</t>
        </is>
      </c>
      <c r="G4061" s="17" t="inlineStr">
        <is>
          <t>hiện tên, mã, nhãn trạng thái tiếng Việt, số khu và sức chứa có dấu phân cách nghìn</t>
        </is>
      </c>
      <c r="H4061" s="17" t="inlineStr">
        <is>
          <t>Trang Khung mẫu — danh sách hiện tên, mã, nhãn trạng thái tiếng Việt, số khu và sức chứa có dấu phân cách nghìn</t>
        </is>
      </c>
      <c r="I4061" s="16" t="inlineStr">
        <is>
          <t>Đạt</t>
        </is>
      </c>
      <c r="J4061" s="16" t="n">
        <v>0.48</v>
      </c>
    </row>
    <row r="4062">
      <c r="A4062" s="16" t="n">
        <v>4058</v>
      </c>
      <c r="B4062" s="16" t="inlineStr">
        <is>
          <t>Frontend</t>
        </is>
      </c>
      <c r="C4062" s="17" t="inlineStr">
        <is>
          <t>web-platform</t>
        </is>
      </c>
      <c r="D4062" s="16" t="inlineStr">
        <is>
          <t>Unit</t>
        </is>
      </c>
      <c r="E4062" s="17" t="inlineStr">
        <is>
          <t>templates.test.tsx</t>
        </is>
      </c>
      <c r="F4062" s="17" t="inlineStr">
        <is>
          <t>Trang Khung mẫu — danh sách</t>
        </is>
      </c>
      <c r="G4062" s="17" t="inlineStr">
        <is>
          <t>thể loại lạ chưa có nhãn thì hiện nguyên mã; trạng thái Nháp/Lưu trữ có nhãn riêng</t>
        </is>
      </c>
      <c r="H4062" s="17" t="inlineStr">
        <is>
          <t>Trang Khung mẫu — danh sách thể loại lạ chưa có nhãn thì hiện nguyên mã; trạng thái Nháp/Lưu trữ có nhãn riêng</t>
        </is>
      </c>
      <c r="I4062" s="16" t="inlineStr">
        <is>
          <t>Đạt</t>
        </is>
      </c>
      <c r="J4062" s="16" t="n">
        <v>0.101</v>
      </c>
    </row>
    <row r="4063">
      <c r="A4063" s="16" t="n">
        <v>4059</v>
      </c>
      <c r="B4063" s="16" t="inlineStr">
        <is>
          <t>Frontend</t>
        </is>
      </c>
      <c r="C4063" s="17" t="inlineStr">
        <is>
          <t>web-platform</t>
        </is>
      </c>
      <c r="D4063" s="16" t="inlineStr">
        <is>
          <t>Unit</t>
        </is>
      </c>
      <c r="E4063" s="17" t="inlineStr">
        <is>
          <t>templates.test.tsx</t>
        </is>
      </c>
      <c r="F4063" s="17" t="inlineStr">
        <is>
          <t>Trang Khung mẫu — danh sách</t>
        </is>
      </c>
      <c r="G4063" s="17" t="inlineStr">
        <is>
          <t>lọc theo trạng thái gửi ?status=, đếm lại, và Xoá bộ lọc quay về danh sách đầy đủ</t>
        </is>
      </c>
      <c r="H4063" s="17" t="inlineStr">
        <is>
          <t>Trang Khung mẫu — danh sách lọc theo trạng thái gửi ?status=, đếm lại, và Xoá bộ lọc quay về danh sách đầy đủ</t>
        </is>
      </c>
      <c r="I4063" s="16" t="inlineStr">
        <is>
          <t>Đạt</t>
        </is>
      </c>
      <c r="J4063" s="16" t="n">
        <v>0.359</v>
      </c>
    </row>
    <row r="4064">
      <c r="A4064" s="16" t="n">
        <v>4060</v>
      </c>
      <c r="B4064" s="16" t="inlineStr">
        <is>
          <t>Frontend</t>
        </is>
      </c>
      <c r="C4064" s="17" t="inlineStr">
        <is>
          <t>web-platform</t>
        </is>
      </c>
      <c r="D4064" s="16" t="inlineStr">
        <is>
          <t>Unit</t>
        </is>
      </c>
      <c r="E4064" s="17" t="inlineStr">
        <is>
          <t>templates.test.tsx</t>
        </is>
      </c>
      <c r="F4064" s="17" t="inlineStr">
        <is>
          <t>Trang Khung mẫu — danh sách</t>
        </is>
      </c>
      <c r="G4064" s="17" t="inlineStr">
        <is>
          <t>không có khung: thông báo rỗng khác nhau khi đang lọc và khi chưa lọc</t>
        </is>
      </c>
      <c r="H4064" s="17" t="inlineStr">
        <is>
          <t>Trang Khung mẫu — danh sách không có khung: thông báo rỗng khác nhau khi đang lọc và khi chưa lọc</t>
        </is>
      </c>
      <c r="I4064" s="16" t="inlineStr">
        <is>
          <t>Đạt</t>
        </is>
      </c>
      <c r="J4064" s="16" t="n">
        <v>0.134</v>
      </c>
    </row>
    <row r="4065">
      <c r="A4065" s="16" t="n">
        <v>4061</v>
      </c>
      <c r="B4065" s="16" t="inlineStr">
        <is>
          <t>Frontend</t>
        </is>
      </c>
      <c r="C4065" s="17" t="inlineStr">
        <is>
          <t>web-platform</t>
        </is>
      </c>
      <c r="D4065" s="16" t="inlineStr">
        <is>
          <t>Unit</t>
        </is>
      </c>
      <c r="E4065" s="17" t="inlineStr">
        <is>
          <t>templates.test.tsx</t>
        </is>
      </c>
      <c r="F4065" s="17" t="inlineStr">
        <is>
          <t>Trang Khung mẫu — danh sách</t>
        </is>
      </c>
      <c r="G4065" s="17" t="inlineStr">
        <is>
          <t>API lỗi hiện khối lỗi kèm thử lại và không hiện bảng</t>
        </is>
      </c>
      <c r="H4065" s="17" t="inlineStr">
        <is>
          <t>Trang Khung mẫu — danh sách API lỗi hiện khối lỗi kèm thử lại và không hiện bảng</t>
        </is>
      </c>
      <c r="I4065" s="16" t="inlineStr">
        <is>
          <t>Đạt</t>
        </is>
      </c>
      <c r="J4065" s="16" t="n">
        <v>0.112</v>
      </c>
    </row>
    <row r="4066">
      <c r="A4066" s="16" t="n">
        <v>4062</v>
      </c>
      <c r="B4066" s="16" t="inlineStr">
        <is>
          <t>Frontend</t>
        </is>
      </c>
      <c r="C4066" s="17" t="inlineStr">
        <is>
          <t>web-platform</t>
        </is>
      </c>
      <c r="D4066" s="16" t="inlineStr">
        <is>
          <t>Unit</t>
        </is>
      </c>
      <c r="E4066" s="17" t="inlineStr">
        <is>
          <t>templates.test.tsx</t>
        </is>
      </c>
      <c r="F4066" s="17" t="inlineStr">
        <is>
          <t>Trang Khung mẫu — tạo khung</t>
        </is>
      </c>
      <c r="G4066" s="17" t="inlineStr">
        <is>
          <t>gửi tên đã cắt khoảng trắng, mô tả trống thành null, rồi chuyển sang trang khai khu</t>
        </is>
      </c>
      <c r="H4066" s="17" t="inlineStr">
        <is>
          <t>Trang Khung mẫu — tạo khung gửi tên đã cắt khoảng trắng, mô tả trống thành null, rồi chuyển sang trang khai khu</t>
        </is>
      </c>
      <c r="I4066" s="16" t="inlineStr">
        <is>
          <t>Đạt</t>
        </is>
      </c>
      <c r="J4066" s="16" t="n">
        <v>0.8179999999999999</v>
      </c>
    </row>
    <row r="4067">
      <c r="A4067" s="16" t="n">
        <v>4063</v>
      </c>
      <c r="B4067" s="16" t="inlineStr">
        <is>
          <t>Frontend</t>
        </is>
      </c>
      <c r="C4067" s="17" t="inlineStr">
        <is>
          <t>web-platform</t>
        </is>
      </c>
      <c r="D4067" s="16" t="inlineStr">
        <is>
          <t>Unit</t>
        </is>
      </c>
      <c r="E4067" s="17" t="inlineStr">
        <is>
          <t>templates.test.tsx</t>
        </is>
      </c>
      <c r="F4067" s="17" t="inlineStr">
        <is>
          <t>Trang Khung mẫu — tạo khung</t>
        </is>
      </c>
      <c r="G4067" s="17" t="inlineStr">
        <is>
          <t>server từ chối (mã trùng) thì giữ hộp thoại, không chuyển trang</t>
        </is>
      </c>
      <c r="H4067" s="17" t="inlineStr">
        <is>
          <t>Trang Khung mẫu — tạo khung server từ chối (mã trùng) thì giữ hộp thoại, không chuyển trang</t>
        </is>
      </c>
      <c r="I4067" s="16" t="inlineStr">
        <is>
          <t>Đạt</t>
        </is>
      </c>
      <c r="J4067" s="16" t="n">
        <v>0.634</v>
      </c>
    </row>
    <row r="4068">
      <c r="A4068" s="16" t="n">
        <v>4064</v>
      </c>
      <c r="B4068" s="16" t="inlineStr">
        <is>
          <t>Frontend</t>
        </is>
      </c>
      <c r="C4068" s="17" t="inlineStr">
        <is>
          <t>web-platform</t>
        </is>
      </c>
      <c r="D4068" s="16" t="inlineStr">
        <is>
          <t>Unit</t>
        </is>
      </c>
      <c r="E4068" s="17" t="inlineStr">
        <is>
          <t>templates.test.tsx</t>
        </is>
      </c>
      <c r="F4068" s="17" t="inlineStr">
        <is>
          <t>Trang Khung mẫu — tạo khung</t>
        </is>
      </c>
      <c r="G4068" s="17" t="inlineStr">
        <is>
          <t>mã khung chứa khoảng trắng hoặc ký tự lạ bị chặn ngay ở biểu mẫu, không gọi API</t>
        </is>
      </c>
      <c r="H4068" s="17" t="inlineStr">
        <is>
          <t>Trang Khung mẫu — tạo khung mã khung chứa khoảng trắng hoặc ký tự lạ bị chặn ngay ở biểu mẫu, không gọi API</t>
        </is>
      </c>
      <c r="I4068" s="16" t="inlineStr">
        <is>
          <t>Đạt</t>
        </is>
      </c>
      <c r="J4068" s="16" t="n">
        <v>0.618</v>
      </c>
    </row>
    <row r="4069">
      <c r="A4069" s="16" t="n">
        <v>4065</v>
      </c>
      <c r="B4069" s="16" t="inlineStr">
        <is>
          <t>Frontend</t>
        </is>
      </c>
      <c r="C4069" s="17" t="inlineStr">
        <is>
          <t>web-platform</t>
        </is>
      </c>
      <c r="D4069" s="16" t="inlineStr">
        <is>
          <t>Unit</t>
        </is>
      </c>
      <c r="E4069" s="17" t="inlineStr">
        <is>
          <t>templates.test.tsx</t>
        </is>
      </c>
      <c r="F4069" s="17" t="inlineStr">
        <is>
          <t>Trang Khung mẫu — tạo khung</t>
        </is>
      </c>
      <c r="G4069" s="17" t="inlineStr">
        <is>
          <t>Huỷ đóng hộp thoại mà không gọi API tạo</t>
        </is>
      </c>
      <c r="H4069" s="17" t="inlineStr">
        <is>
          <t>Trang Khung mẫu — tạo khung Huỷ đóng hộp thoại mà không gọi API tạo</t>
        </is>
      </c>
      <c r="I4069" s="16" t="inlineStr">
        <is>
          <t>Đạt</t>
        </is>
      </c>
      <c r="J4069" s="16" t="n">
        <v>0.197</v>
      </c>
    </row>
    <row r="4070">
      <c r="A4070" s="16" t="n">
        <v>4066</v>
      </c>
      <c r="B4070" s="16" t="inlineStr">
        <is>
          <t>Frontend</t>
        </is>
      </c>
      <c r="C4070" s="17" t="inlineStr">
        <is>
          <t>web-customer (E2E)</t>
        </is>
      </c>
      <c r="D4070" s="16" t="inlineStr">
        <is>
          <t>E2E</t>
        </is>
      </c>
      <c r="E4070" s="17" t="inlineStr">
        <is>
          <t>auth-guard.spec.ts</t>
        </is>
      </c>
      <c r="F4070" s="17" t="inlineStr">
        <is>
          <t>route cần đăng nhập</t>
        </is>
      </c>
      <c r="G4070" s="17" t="inlineStr">
        <is>
          <t>chưa đăng nhập vào /booking/5e55a0a1-0000-4000-8000-000000000001 thì về /login, returnUrl giữ đúng đích</t>
        </is>
      </c>
      <c r="H4070" s="17" t="inlineStr">
        <is>
          <t>chưa đăng nhập vào /booking/5e55a0a1-0000-4000-8000-000000000001 thì về /login, returnUrl giữ đúng đích</t>
        </is>
      </c>
      <c r="I4070" s="16" t="inlineStr">
        <is>
          <t>Đạt</t>
        </is>
      </c>
      <c r="J4070" s="16" t="n">
        <v>1.784</v>
      </c>
    </row>
    <row r="4071">
      <c r="A4071" s="16" t="n">
        <v>4067</v>
      </c>
      <c r="B4071" s="16" t="inlineStr">
        <is>
          <t>Frontend</t>
        </is>
      </c>
      <c r="C4071" s="17" t="inlineStr">
        <is>
          <t>web-customer (E2E)</t>
        </is>
      </c>
      <c r="D4071" s="16" t="inlineStr">
        <is>
          <t>E2E</t>
        </is>
      </c>
      <c r="E4071" s="17" t="inlineStr">
        <is>
          <t>auth-guard.spec.ts</t>
        </is>
      </c>
      <c r="F4071" s="17" t="inlineStr">
        <is>
          <t>route cần đăng nhập</t>
        </is>
      </c>
      <c r="G4071" s="17" t="inlineStr">
        <is>
          <t>chưa đăng nhập vào /me/orders thì về /login, returnUrl giữ đúng đích</t>
        </is>
      </c>
      <c r="H4071" s="17" t="inlineStr">
        <is>
          <t>chưa đăng nhập vào /me/orders thì về /login, returnUrl giữ đúng đích</t>
        </is>
      </c>
      <c r="I4071" s="16" t="inlineStr">
        <is>
          <t>Đạt</t>
        </is>
      </c>
      <c r="J4071" s="16" t="n">
        <v>1.003</v>
      </c>
    </row>
    <row r="4072">
      <c r="A4072" s="16" t="n">
        <v>4068</v>
      </c>
      <c r="B4072" s="16" t="inlineStr">
        <is>
          <t>Frontend</t>
        </is>
      </c>
      <c r="C4072" s="17" t="inlineStr">
        <is>
          <t>web-customer (E2E)</t>
        </is>
      </c>
      <c r="D4072" s="16" t="inlineStr">
        <is>
          <t>E2E</t>
        </is>
      </c>
      <c r="E4072" s="17" t="inlineStr">
        <is>
          <t>auth-guard.spec.ts</t>
        </is>
      </c>
      <c r="F4072" s="17" t="inlineStr">
        <is>
          <t>route cần đăng nhập</t>
        </is>
      </c>
      <c r="G4072" s="17" t="inlineStr">
        <is>
          <t>chưa đăng nhập vào /me/tickets thì về /login, returnUrl giữ đúng đích</t>
        </is>
      </c>
      <c r="H4072" s="17" t="inlineStr">
        <is>
          <t>chưa đăng nhập vào /me/tickets thì về /login, returnUrl giữ đúng đích</t>
        </is>
      </c>
      <c r="I4072" s="16" t="inlineStr">
        <is>
          <t>Đạt</t>
        </is>
      </c>
      <c r="J4072" s="16" t="n">
        <v>1.069</v>
      </c>
    </row>
    <row r="4073">
      <c r="A4073" s="16" t="n">
        <v>4069</v>
      </c>
      <c r="B4073" s="16" t="inlineStr">
        <is>
          <t>Frontend</t>
        </is>
      </c>
      <c r="C4073" s="17" t="inlineStr">
        <is>
          <t>web-customer (E2E)</t>
        </is>
      </c>
      <c r="D4073" s="16" t="inlineStr">
        <is>
          <t>E2E</t>
        </is>
      </c>
      <c r="E4073" s="17" t="inlineStr">
        <is>
          <t>auth-guard.spec.ts</t>
        </is>
      </c>
      <c r="F4073" s="17" t="inlineStr">
        <is>
          <t>route cần đăng nhập</t>
        </is>
      </c>
      <c r="G4073" s="17" t="inlineStr">
        <is>
          <t>chưa đăng nhập vào /orders/0bde0000-0000-4000-8000-000000000001/pay thì về /login, returnUrl giữ đúng đích</t>
        </is>
      </c>
      <c r="H4073" s="17" t="inlineStr">
        <is>
          <t>chưa đăng nhập vào /orders/0bde0000-0000-4000-8000-000000000001/pay thì về /login, returnUrl giữ đúng đích</t>
        </is>
      </c>
      <c r="I4073" s="16" t="inlineStr">
        <is>
          <t>Đạt</t>
        </is>
      </c>
      <c r="J4073" s="16" t="n">
        <v>0.965</v>
      </c>
    </row>
    <row r="4074">
      <c r="A4074" s="16" t="n">
        <v>4070</v>
      </c>
      <c r="B4074" s="16" t="inlineStr">
        <is>
          <t>Frontend</t>
        </is>
      </c>
      <c r="C4074" s="17" t="inlineStr">
        <is>
          <t>web-customer (E2E)</t>
        </is>
      </c>
      <c r="D4074" s="16" t="inlineStr">
        <is>
          <t>E2E</t>
        </is>
      </c>
      <c r="E4074" s="17" t="inlineStr">
        <is>
          <t>auth-guard.spec.ts</t>
        </is>
      </c>
      <c r="F4074" s="17" t="inlineStr">
        <is>
          <t>route cần đăng nhập</t>
        </is>
      </c>
      <c r="G4074" s="17" t="inlineStr">
        <is>
          <t>chưa đăng nhập vào /orders/0bde0000-0000-4000-8000-000000000001/tickets thì về /login, returnUrl giữ đúng đích</t>
        </is>
      </c>
      <c r="H4074" s="17" t="inlineStr">
        <is>
          <t>chưa đăng nhập vào /orders/0bde0000-0000-4000-8000-000000000001/tickets thì về /login, returnUrl giữ đúng đích</t>
        </is>
      </c>
      <c r="I4074" s="16" t="inlineStr">
        <is>
          <t>Đạt</t>
        </is>
      </c>
      <c r="J4074" s="16" t="n">
        <v>1.088</v>
      </c>
    </row>
    <row r="4075">
      <c r="A4075" s="16" t="n">
        <v>4071</v>
      </c>
      <c r="B4075" s="16" t="inlineStr">
        <is>
          <t>Frontend</t>
        </is>
      </c>
      <c r="C4075" s="17" t="inlineStr">
        <is>
          <t>web-customer (E2E)</t>
        </is>
      </c>
      <c r="D4075" s="16" t="inlineStr">
        <is>
          <t>E2E</t>
        </is>
      </c>
      <c r="E4075" s="17" t="inlineStr">
        <is>
          <t>auth-guard.spec.ts</t>
        </is>
      </c>
      <c r="F4075" s="17" t="inlineStr">
        <is>
          <t>route cần đăng nhập</t>
        </is>
      </c>
      <c r="G4075" s="17" t="inlineStr">
        <is>
          <t>chưa đăng nhập vào /account thì về /login, returnUrl giữ đúng đích</t>
        </is>
      </c>
      <c r="H4075" s="17" t="inlineStr">
        <is>
          <t>chưa đăng nhập vào /account thì về /login, returnUrl giữ đúng đích</t>
        </is>
      </c>
      <c r="I4075" s="16" t="inlineStr">
        <is>
          <t>Đạt</t>
        </is>
      </c>
      <c r="J4075" s="16" t="n">
        <v>0.959</v>
      </c>
    </row>
    <row r="4076">
      <c r="A4076" s="16" t="n">
        <v>4072</v>
      </c>
      <c r="B4076" s="16" t="inlineStr">
        <is>
          <t>Frontend</t>
        </is>
      </c>
      <c r="C4076" s="17" t="inlineStr">
        <is>
          <t>web-customer (E2E)</t>
        </is>
      </c>
      <c r="D4076" s="16" t="inlineStr">
        <is>
          <t>E2E</t>
        </is>
      </c>
      <c r="E4076" s="17" t="inlineStr">
        <is>
          <t>auth-guard.spec.ts</t>
        </is>
      </c>
      <c r="F4076" s="17" t="inlineStr">
        <is>
          <t>route cần đăng nhập</t>
        </is>
      </c>
      <c r="G4076" s="17" t="inlineStr">
        <is>
          <t>chưa đăng nhập vào /me/orders?tab=paid&amp;page=2 thì về /login, returnUrl giữ đúng đích</t>
        </is>
      </c>
      <c r="H4076" s="17" t="inlineStr">
        <is>
          <t>chưa đăng nhập vào /me/orders?tab=paid&amp;page=2 thì về /login, returnUrl giữ đúng đích</t>
        </is>
      </c>
      <c r="I4076" s="16" t="inlineStr">
        <is>
          <t>Đạt</t>
        </is>
      </c>
      <c r="J4076" s="16" t="n">
        <v>0.928</v>
      </c>
    </row>
    <row r="4077">
      <c r="A4077" s="16" t="n">
        <v>4073</v>
      </c>
      <c r="B4077" s="16" t="inlineStr">
        <is>
          <t>Frontend</t>
        </is>
      </c>
      <c r="C4077" s="17" t="inlineStr">
        <is>
          <t>web-customer (E2E)</t>
        </is>
      </c>
      <c r="D4077" s="16" t="inlineStr">
        <is>
          <t>E2E</t>
        </is>
      </c>
      <c r="E4077" s="17" t="inlineStr">
        <is>
          <t>auth-guard.spec.ts</t>
        </is>
      </c>
      <c r="F4077" s="17" t="inlineStr">
        <is>
          <t>route cần đăng nhập</t>
        </is>
      </c>
      <c r="G4077" s="17" t="inlineStr">
        <is>
          <t>trang công khai không bị chặn</t>
        </is>
      </c>
      <c r="H4077" s="17" t="inlineStr">
        <is>
          <t>trang công khai không bị chặn</t>
        </is>
      </c>
      <c r="I4077" s="16" t="inlineStr">
        <is>
          <t>Đạt</t>
        </is>
      </c>
      <c r="J4077" s="16" t="n">
        <v>19.308</v>
      </c>
    </row>
    <row r="4078">
      <c r="A4078" s="16" t="n">
        <v>4074</v>
      </c>
      <c r="B4078" s="16" t="inlineStr">
        <is>
          <t>Frontend</t>
        </is>
      </c>
      <c r="C4078" s="17" t="inlineStr">
        <is>
          <t>web-customer (E2E)</t>
        </is>
      </c>
      <c r="D4078" s="16" t="inlineStr">
        <is>
          <t>E2E</t>
        </is>
      </c>
      <c r="E4078" s="17" t="inlineStr">
        <is>
          <t>auth-guard.spec.ts</t>
        </is>
      </c>
      <c r="F4078" s="17" t="inlineStr">
        <is>
          <t>route cần đăng nhập</t>
        </is>
      </c>
      <c r="G4078" s="17" t="inlineStr">
        <is>
          <t>tiền tố gần giống trang công khai (/eventsx) vẫn bị chặn</t>
        </is>
      </c>
      <c r="H4078" s="17" t="inlineStr">
        <is>
          <t>tiền tố gần giống trang công khai (/eventsx) vẫn bị chặn</t>
        </is>
      </c>
      <c r="I4078" s="16" t="inlineStr">
        <is>
          <t>Đạt</t>
        </is>
      </c>
      <c r="J4078" s="16" t="n">
        <v>1.02</v>
      </c>
    </row>
    <row r="4079">
      <c r="A4079" s="16" t="n">
        <v>4075</v>
      </c>
      <c r="B4079" s="16" t="inlineStr">
        <is>
          <t>Frontend</t>
        </is>
      </c>
      <c r="C4079" s="17" t="inlineStr">
        <is>
          <t>web-customer (E2E)</t>
        </is>
      </c>
      <c r="D4079" s="16" t="inlineStr">
        <is>
          <t>E2E</t>
        </is>
      </c>
      <c r="E4079" s="17" t="inlineStr">
        <is>
          <t>auth-guard.spec.ts</t>
        </is>
      </c>
      <c r="F4079" s="17" t="inlineStr">
        <is>
          <t>trang đăng nhập</t>
        </is>
      </c>
      <c r="G4079" s="17" t="inlineStr">
        <is>
          <t>hiện đủ các lối vào: email, Google, tạo tài khoản</t>
        </is>
      </c>
      <c r="H4079" s="17" t="inlineStr">
        <is>
          <t>hiện đủ các lối vào: email, Google, tạo tài khoản</t>
        </is>
      </c>
      <c r="I4079" s="16" t="inlineStr">
        <is>
          <t>Đạt</t>
        </is>
      </c>
      <c r="J4079" s="16" t="n">
        <v>1.024</v>
      </c>
    </row>
    <row r="4080">
      <c r="A4080" s="16" t="n">
        <v>4076</v>
      </c>
      <c r="B4080" s="16" t="inlineStr">
        <is>
          <t>Frontend</t>
        </is>
      </c>
      <c r="C4080" s="17" t="inlineStr">
        <is>
          <t>web-customer (E2E)</t>
        </is>
      </c>
      <c r="D4080" s="16" t="inlineStr">
        <is>
          <t>E2E</t>
        </is>
      </c>
      <c r="E4080" s="17" t="inlineStr">
        <is>
          <t>auth-guard.spec.ts</t>
        </is>
      </c>
      <c r="F4080" s="17" t="inlineStr">
        <is>
          <t>trang đăng nhập</t>
        </is>
      </c>
      <c r="G4080" s="17" t="inlineStr">
        <is>
          <t>returnUrl trỏ ra ngoài (https://site-gia.example/login) bị thay bằng "/"</t>
        </is>
      </c>
      <c r="H4080" s="17" t="inlineStr">
        <is>
          <t>returnUrl trỏ ra ngoài (https://site-gia.example/login) bị thay bằng "/"</t>
        </is>
      </c>
      <c r="I4080" s="16" t="inlineStr">
        <is>
          <t>Đạt</t>
        </is>
      </c>
      <c r="J4080" s="16" t="n">
        <v>0.951</v>
      </c>
    </row>
    <row r="4081">
      <c r="A4081" s="16" t="n">
        <v>4077</v>
      </c>
      <c r="B4081" s="16" t="inlineStr">
        <is>
          <t>Frontend</t>
        </is>
      </c>
      <c r="C4081" s="17" t="inlineStr">
        <is>
          <t>web-customer (E2E)</t>
        </is>
      </c>
      <c r="D4081" s="16" t="inlineStr">
        <is>
          <t>E2E</t>
        </is>
      </c>
      <c r="E4081" s="17" t="inlineStr">
        <is>
          <t>auth-guard.spec.ts</t>
        </is>
      </c>
      <c r="F4081" s="17" t="inlineStr">
        <is>
          <t>trang đăng nhập</t>
        </is>
      </c>
      <c r="G4081" s="17" t="inlineStr">
        <is>
          <t>returnUrl trỏ ra ngoài (//site-gia.example) bị thay bằng "/"</t>
        </is>
      </c>
      <c r="H4081" s="17" t="inlineStr">
        <is>
          <t>returnUrl trỏ ra ngoài (//site-gia.example) bị thay bằng "/"</t>
        </is>
      </c>
      <c r="I4081" s="16" t="inlineStr">
        <is>
          <t>Đạt</t>
        </is>
      </c>
      <c r="J4081" s="16" t="n">
        <v>0.929</v>
      </c>
    </row>
    <row r="4082">
      <c r="A4082" s="16" t="n">
        <v>4078</v>
      </c>
      <c r="B4082" s="16" t="inlineStr">
        <is>
          <t>Frontend</t>
        </is>
      </c>
      <c r="C4082" s="17" t="inlineStr">
        <is>
          <t>web-customer (E2E)</t>
        </is>
      </c>
      <c r="D4082" s="16" t="inlineStr">
        <is>
          <t>E2E</t>
        </is>
      </c>
      <c r="E4082" s="17" t="inlineStr">
        <is>
          <t>auth-guard.spec.ts</t>
        </is>
      </c>
      <c r="F4082" s="17" t="inlineStr">
        <is>
          <t>trang đăng nhập</t>
        </is>
      </c>
      <c r="G4082" s="17" t="inlineStr">
        <is>
          <t>returnUrl trỏ ra ngoài (/\site-gia.example) bị thay bằng "/"</t>
        </is>
      </c>
      <c r="H4082" s="17" t="inlineStr">
        <is>
          <t>returnUrl trỏ ra ngoài (/\site-gia.example) bị thay bằng "/"</t>
        </is>
      </c>
      <c r="I4082" s="16" t="inlineStr">
        <is>
          <t>Đạt</t>
        </is>
      </c>
      <c r="J4082" s="16" t="n">
        <v>1.06</v>
      </c>
    </row>
    <row r="4083">
      <c r="A4083" s="16" t="n">
        <v>4079</v>
      </c>
      <c r="B4083" s="16" t="inlineStr">
        <is>
          <t>Frontend</t>
        </is>
      </c>
      <c r="C4083" s="17" t="inlineStr">
        <is>
          <t>web-customer (E2E)</t>
        </is>
      </c>
      <c r="D4083" s="16" t="inlineStr">
        <is>
          <t>E2E</t>
        </is>
      </c>
      <c r="E4083" s="17" t="inlineStr">
        <is>
          <t>auth-guard.spec.ts</t>
        </is>
      </c>
      <c r="F4083" s="17" t="inlineStr">
        <is>
          <t>trang đăng nhập</t>
        </is>
      </c>
      <c r="G4083" s="17" t="inlineStr">
        <is>
          <t>returnUrl trỏ ra ngoài (javascript:alert(1)) bị thay bằng "/"</t>
        </is>
      </c>
      <c r="H4083" s="17" t="inlineStr">
        <is>
          <t>returnUrl trỏ ra ngoài (javascript:alert(1)) bị thay bằng "/"</t>
        </is>
      </c>
      <c r="I4083" s="16" t="inlineStr">
        <is>
          <t>Đạt</t>
        </is>
      </c>
      <c r="J4083" s="16" t="n">
        <v>1.168</v>
      </c>
    </row>
    <row r="4084">
      <c r="A4084" s="16" t="n">
        <v>4080</v>
      </c>
      <c r="B4084" s="16" t="inlineStr">
        <is>
          <t>Frontend</t>
        </is>
      </c>
      <c r="C4084" s="17" t="inlineStr">
        <is>
          <t>web-customer (E2E)</t>
        </is>
      </c>
      <c r="D4084" s="16" t="inlineStr">
        <is>
          <t>E2E</t>
        </is>
      </c>
      <c r="E4084" s="17" t="inlineStr">
        <is>
          <t>auth-guard.spec.ts</t>
        </is>
      </c>
      <c r="F4084" s="17" t="inlineStr">
        <is>
          <t>trang đăng nhập</t>
        </is>
      </c>
      <c r="G4084" s="17" t="inlineStr">
        <is>
          <t>/auth/start từ trang khác (Sec-Fetch-Site: cross-site) bị đẩy về /login — chặn login CSRF</t>
        </is>
      </c>
      <c r="H4084" s="17" t="inlineStr">
        <is>
          <t>/auth/start từ trang khác (Sec-Fetch-Site: cross-site) bị đẩy về /login — chặn login CSRF</t>
        </is>
      </c>
      <c r="I4084" s="16" t="inlineStr">
        <is>
          <t>Đạt</t>
        </is>
      </c>
      <c r="J4084" s="16" t="n">
        <v>1.058</v>
      </c>
    </row>
    <row r="4085">
      <c r="A4085" s="16" t="n">
        <v>4081</v>
      </c>
      <c r="B4085" s="16" t="inlineStr">
        <is>
          <t>Frontend</t>
        </is>
      </c>
      <c r="C4085" s="17" t="inlineStr">
        <is>
          <t>web-customer (E2E)</t>
        </is>
      </c>
      <c r="D4085" s="16" t="inlineStr">
        <is>
          <t>E2E</t>
        </is>
      </c>
      <c r="E4085" s="17" t="inlineStr">
        <is>
          <t>auth-guard.spec.ts</t>
        </is>
      </c>
      <c r="F4085" s="17" t="inlineStr">
        <is>
          <t>trang đăng nhập</t>
        </is>
      </c>
      <c r="G4085" s="17" t="inlineStr">
        <is>
          <t>/auth/start với returnTo trỏ ra ngoài vẫn quay về trong app sau khi đăng nhập</t>
        </is>
      </c>
      <c r="H4085" s="17" t="inlineStr">
        <is>
          <t>/auth/start với returnTo trỏ ra ngoài vẫn quay về trong app sau khi đăng nhập</t>
        </is>
      </c>
      <c r="I4085" s="16" t="inlineStr">
        <is>
          <t>Đạt</t>
        </is>
      </c>
      <c r="J4085" s="16" t="n">
        <v>2.924</v>
      </c>
    </row>
    <row r="4086">
      <c r="A4086" s="16" t="n">
        <v>4082</v>
      </c>
      <c r="B4086" s="16" t="inlineStr">
        <is>
          <t>Frontend</t>
        </is>
      </c>
      <c r="C4086" s="17" t="inlineStr">
        <is>
          <t>web-customer (E2E)</t>
        </is>
      </c>
      <c r="D4086" s="16" t="inlineStr">
        <is>
          <t>E2E</t>
        </is>
      </c>
      <c r="E4086" s="17" t="inlineStr">
        <is>
          <t>checkout.spec.ts</t>
        </is>
      </c>
      <c r="F4086" s="17" t="inlineStr"/>
      <c r="G4086" s="17" t="inlineStr">
        <is>
          <t>đăng nhập rồi quay về đúng returnUrl; lịch sử đơn hiện đúng trạng thái</t>
        </is>
      </c>
      <c r="H4086" s="17" t="inlineStr">
        <is>
          <t>đăng nhập rồi quay về đúng returnUrl; lịch sử đơn hiện đúng trạng thái</t>
        </is>
      </c>
      <c r="I4086" s="16" t="inlineStr">
        <is>
          <t>Đạt</t>
        </is>
      </c>
      <c r="J4086" s="16" t="n">
        <v>4.056</v>
      </c>
    </row>
    <row r="4087">
      <c r="A4087" s="16" t="n">
        <v>4083</v>
      </c>
      <c r="B4087" s="16" t="inlineStr">
        <is>
          <t>Frontend</t>
        </is>
      </c>
      <c r="C4087" s="17" t="inlineStr">
        <is>
          <t>web-customer (E2E)</t>
        </is>
      </c>
      <c r="D4087" s="16" t="inlineStr">
        <is>
          <t>E2E</t>
        </is>
      </c>
      <c r="E4087" s="17" t="inlineStr">
        <is>
          <t>checkout.spec.ts</t>
        </is>
      </c>
      <c r="F4087" s="17" t="inlineStr"/>
      <c r="G4087" s="17" t="inlineStr">
        <is>
          <t>mua vé: chọn khu → giữ chỗ → đặt đơn → trang thanh toán → tiền về → trang vé</t>
        </is>
      </c>
      <c r="H4087" s="17" t="inlineStr">
        <is>
          <t>mua vé: chọn khu → giữ chỗ → đặt đơn → trang thanh toán → tiền về → trang vé</t>
        </is>
      </c>
      <c r="I4087" s="16" t="inlineStr">
        <is>
          <t>Đạt</t>
        </is>
      </c>
      <c r="J4087" s="16" t="n">
        <v>16.607</v>
      </c>
    </row>
    <row r="4088">
      <c r="A4088" s="16" t="n">
        <v>4084</v>
      </c>
      <c r="B4088" s="16" t="inlineStr">
        <is>
          <t>Frontend</t>
        </is>
      </c>
      <c r="C4088" s="17" t="inlineStr">
        <is>
          <t>web-customer (E2E)</t>
        </is>
      </c>
      <c r="D4088" s="16" t="inlineStr">
        <is>
          <t>E2E</t>
        </is>
      </c>
      <c r="E4088" s="17" t="inlineStr">
        <is>
          <t>checkout.spec.ts</t>
        </is>
      </c>
      <c r="F4088" s="17" t="inlineStr"/>
      <c r="G4088" s="17" t="inlineStr">
        <is>
          <t>huỷ đơn chưa thanh toán từ danh sách đơn</t>
        </is>
      </c>
      <c r="H4088" s="17" t="inlineStr">
        <is>
          <t>huỷ đơn chưa thanh toán từ danh sách đơn</t>
        </is>
      </c>
      <c r="I4088" s="16" t="inlineStr">
        <is>
          <t>Đạt</t>
        </is>
      </c>
      <c r="J4088" s="16" t="n">
        <v>7.414</v>
      </c>
    </row>
    <row r="4089">
      <c r="A4089" s="16" t="n">
        <v>4085</v>
      </c>
      <c r="B4089" s="16" t="inlineStr">
        <is>
          <t>Frontend</t>
        </is>
      </c>
      <c r="C4089" s="17" t="inlineStr">
        <is>
          <t>web-customer (E2E)</t>
        </is>
      </c>
      <c r="D4089" s="16" t="inlineStr">
        <is>
          <t>E2E</t>
        </is>
      </c>
      <c r="E4089" s="17" t="inlineStr">
        <is>
          <t>checkout.spec.ts</t>
        </is>
      </c>
      <c r="F4089" s="17" t="inlineStr"/>
      <c r="G4089" s="17" t="inlineStr">
        <is>
          <t>ví vé hiện vé đã phát của người dùng</t>
        </is>
      </c>
      <c r="H4089" s="17" t="inlineStr">
        <is>
          <t>ví vé hiện vé đã phát của người dùng</t>
        </is>
      </c>
      <c r="I4089" s="16" t="inlineStr">
        <is>
          <t>Đạt</t>
        </is>
      </c>
      <c r="J4089" s="16" t="n">
        <v>6.409</v>
      </c>
    </row>
    <row r="4090">
      <c r="A4090" s="16" t="n">
        <v>4086</v>
      </c>
      <c r="B4090" s="16" t="inlineStr">
        <is>
          <t>Frontend</t>
        </is>
      </c>
      <c r="C4090" s="17" t="inlineStr">
        <is>
          <t>web-customer (E2E)</t>
        </is>
      </c>
      <c r="D4090" s="16" t="inlineStr">
        <is>
          <t>E2E</t>
        </is>
      </c>
      <c r="E4090" s="17" t="inlineStr">
        <is>
          <t>public.spec.ts</t>
        </is>
      </c>
      <c r="F4090" s="17" t="inlineStr">
        <is>
          <t>trang chủ</t>
        </is>
      </c>
      <c r="G4090" s="17" t="inlineStr">
        <is>
          <t>hiện sự kiện từ API, mỗi thẻ dẫn tới trang chi tiết</t>
        </is>
      </c>
      <c r="H4090" s="17" t="inlineStr">
        <is>
          <t>hiện sự kiện từ API, mỗi thẻ dẫn tới trang chi tiết</t>
        </is>
      </c>
      <c r="I4090" s="16" t="inlineStr">
        <is>
          <t>Đạt</t>
        </is>
      </c>
      <c r="J4090" s="16" t="n">
        <v>1.895</v>
      </c>
    </row>
    <row r="4091">
      <c r="A4091" s="16" t="n">
        <v>4087</v>
      </c>
      <c r="B4091" s="16" t="inlineStr">
        <is>
          <t>Frontend</t>
        </is>
      </c>
      <c r="C4091" s="17" t="inlineStr">
        <is>
          <t>web-customer (E2E)</t>
        </is>
      </c>
      <c r="D4091" s="16" t="inlineStr">
        <is>
          <t>E2E</t>
        </is>
      </c>
      <c r="E4091" s="17" t="inlineStr">
        <is>
          <t>public.spec.ts</t>
        </is>
      </c>
      <c r="F4091" s="17" t="inlineStr">
        <is>
          <t>duyệt /events</t>
        </is>
      </c>
      <c r="G4091" s="17" t="inlineStr">
        <is>
          <t>liệt kê đủ sự kiện đang bán kèm tổng số</t>
        </is>
      </c>
      <c r="H4091" s="17" t="inlineStr">
        <is>
          <t>liệt kê đủ sự kiện đang bán kèm tổng số</t>
        </is>
      </c>
      <c r="I4091" s="16" t="inlineStr">
        <is>
          <t>Đạt</t>
        </is>
      </c>
      <c r="J4091" s="16" t="n">
        <v>1.839</v>
      </c>
    </row>
    <row r="4092">
      <c r="A4092" s="16" t="n">
        <v>4088</v>
      </c>
      <c r="B4092" s="16" t="inlineStr">
        <is>
          <t>Frontend</t>
        </is>
      </c>
      <c r="C4092" s="17" t="inlineStr">
        <is>
          <t>web-customer (E2E)</t>
        </is>
      </c>
      <c r="D4092" s="16" t="inlineStr">
        <is>
          <t>E2E</t>
        </is>
      </c>
      <c r="E4092" s="17" t="inlineStr">
        <is>
          <t>public.spec.ts</t>
        </is>
      </c>
      <c r="F4092" s="17" t="inlineStr">
        <is>
          <t>duyệt /events</t>
        </is>
      </c>
      <c r="G4092" s="17" t="inlineStr">
        <is>
          <t>tìm kiếm từ ô ở header: từ khoá đi lên gateway thành `query`, kết quả chỉ còn sự kiện khớp</t>
        </is>
      </c>
      <c r="H4092" s="17" t="inlineStr">
        <is>
          <t>tìm kiếm từ ô ở header: từ khoá đi lên gateway thành `query`, kết quả chỉ còn sự kiện khớp</t>
        </is>
      </c>
      <c r="I4092" s="16" t="inlineStr">
        <is>
          <t>Đạt</t>
        </is>
      </c>
      <c r="J4092" s="16" t="n">
        <v>2.255</v>
      </c>
    </row>
    <row r="4093">
      <c r="A4093" s="16" t="n">
        <v>4089</v>
      </c>
      <c r="B4093" s="16" t="inlineStr">
        <is>
          <t>Frontend</t>
        </is>
      </c>
      <c r="C4093" s="17" t="inlineStr">
        <is>
          <t>web-customer (E2E)</t>
        </is>
      </c>
      <c r="D4093" s="16" t="inlineStr">
        <is>
          <t>E2E</t>
        </is>
      </c>
      <c r="E4093" s="17" t="inlineStr">
        <is>
          <t>public.spec.ts</t>
        </is>
      </c>
      <c r="F4093" s="17" t="inlineStr">
        <is>
          <t>duyệt /events</t>
        </is>
      </c>
      <c r="G4093" s="17" t="inlineStr">
        <is>
          <t>không có kết quả thì hiện trạng thái rỗng có hướng dẫn</t>
        </is>
      </c>
      <c r="H4093" s="17" t="inlineStr">
        <is>
          <t>không có kết quả thì hiện trạng thái rỗng có hướng dẫn</t>
        </is>
      </c>
      <c r="I4093" s="16" t="inlineStr">
        <is>
          <t>Đạt</t>
        </is>
      </c>
      <c r="J4093" s="16" t="n">
        <v>1.221</v>
      </c>
    </row>
    <row r="4094">
      <c r="A4094" s="16" t="n">
        <v>4090</v>
      </c>
      <c r="B4094" s="16" t="inlineStr">
        <is>
          <t>Frontend</t>
        </is>
      </c>
      <c r="C4094" s="17" t="inlineStr">
        <is>
          <t>web-customer (E2E)</t>
        </is>
      </c>
      <c r="D4094" s="16" t="inlineStr">
        <is>
          <t>E2E</t>
        </is>
      </c>
      <c r="E4094" s="17" t="inlineStr">
        <is>
          <t>public.spec.ts</t>
        </is>
      </c>
      <c r="F4094" s="17" t="inlineStr">
        <is>
          <t>duyệt /events</t>
        </is>
      </c>
      <c r="G4094" s="17" t="inlineStr">
        <is>
          <t>chip thể loại lọc bằng `category` và giữ trên URL</t>
        </is>
      </c>
      <c r="H4094" s="17" t="inlineStr">
        <is>
          <t>chip thể loại lọc bằng `category` và giữ trên URL</t>
        </is>
      </c>
      <c r="I4094" s="16" t="inlineStr">
        <is>
          <t>Đạt</t>
        </is>
      </c>
      <c r="J4094" s="16" t="n">
        <v>1.509</v>
      </c>
    </row>
    <row r="4095">
      <c r="A4095" s="16" t="n">
        <v>4091</v>
      </c>
      <c r="B4095" s="16" t="inlineStr">
        <is>
          <t>Frontend</t>
        </is>
      </c>
      <c r="C4095" s="17" t="inlineStr">
        <is>
          <t>web-customer (E2E)</t>
        </is>
      </c>
      <c r="D4095" s="16" t="inlineStr">
        <is>
          <t>E2E</t>
        </is>
      </c>
      <c r="E4095" s="17" t="inlineStr">
        <is>
          <t>public.spec.ts</t>
        </is>
      </c>
      <c r="F4095" s="17" t="inlineStr">
        <is>
          <t>duyệt /events</t>
        </is>
      </c>
      <c r="G4095" s="17" t="inlineStr">
        <is>
          <t>bộ lọc giá "Dưới 500.000đ" gửi minPrice=0, maxPrice=500000 và giữ sự kiện miễn phí</t>
        </is>
      </c>
      <c r="H4095" s="17" t="inlineStr">
        <is>
          <t>bộ lọc giá "Dưới 500.000đ" gửi minPrice=0, maxPrice=500000 và giữ sự kiện miễn phí</t>
        </is>
      </c>
      <c r="I4095" s="16" t="inlineStr">
        <is>
          <t>Đạt</t>
        </is>
      </c>
      <c r="J4095" s="16" t="n">
        <v>1.536</v>
      </c>
    </row>
    <row r="4096">
      <c r="A4096" s="16" t="n">
        <v>4092</v>
      </c>
      <c r="B4096" s="16" t="inlineStr">
        <is>
          <t>Frontend</t>
        </is>
      </c>
      <c r="C4096" s="17" t="inlineStr">
        <is>
          <t>web-customer (E2E)</t>
        </is>
      </c>
      <c r="D4096" s="16" t="inlineStr">
        <is>
          <t>E2E</t>
        </is>
      </c>
      <c r="E4096" s="17" t="inlineStr">
        <is>
          <t>public.spec.ts</t>
        </is>
      </c>
      <c r="F4096" s="17" t="inlineStr">
        <is>
          <t>duyệt /events</t>
        </is>
      </c>
      <c r="G4096" s="17" t="inlineStr">
        <is>
          <t>bộ lọc thành phố và "Xoá tất cả"</t>
        </is>
      </c>
      <c r="H4096" s="17" t="inlineStr">
        <is>
          <t>bộ lọc thành phố và "Xoá tất cả"</t>
        </is>
      </c>
      <c r="I4096" s="16" t="inlineStr">
        <is>
          <t>Đạt</t>
        </is>
      </c>
      <c r="J4096" s="16" t="n">
        <v>1.84</v>
      </c>
    </row>
    <row r="4097">
      <c r="A4097" s="16" t="n">
        <v>4093</v>
      </c>
      <c r="B4097" s="16" t="inlineStr">
        <is>
          <t>Frontend</t>
        </is>
      </c>
      <c r="C4097" s="17" t="inlineStr">
        <is>
          <t>web-customer (E2E)</t>
        </is>
      </c>
      <c r="D4097" s="16" t="inlineStr">
        <is>
          <t>E2E</t>
        </is>
      </c>
      <c r="E4097" s="17" t="inlineStr">
        <is>
          <t>public.spec.ts</t>
        </is>
      </c>
      <c r="F4097" s="17" t="inlineStr">
        <is>
          <t>duyệt /events</t>
        </is>
      </c>
      <c r="G4097" s="17" t="inlineStr">
        <is>
          <t>bộ lọc thời gian "Tháng này" gửi khoảng ISO nửa mở [from, to)</t>
        </is>
      </c>
      <c r="H4097" s="17" t="inlineStr">
        <is>
          <t>bộ lọc thời gian "Tháng này" gửi khoảng ISO nửa mở [from, to)</t>
        </is>
      </c>
      <c r="I4097" s="16" t="inlineStr">
        <is>
          <t>Đạt</t>
        </is>
      </c>
      <c r="J4097" s="16" t="n">
        <v>1.448</v>
      </c>
    </row>
    <row r="4098">
      <c r="A4098" s="16" t="n">
        <v>4094</v>
      </c>
      <c r="B4098" s="16" t="inlineStr">
        <is>
          <t>Frontend</t>
        </is>
      </c>
      <c r="C4098" s="17" t="inlineStr">
        <is>
          <t>web-customer (E2E)</t>
        </is>
      </c>
      <c r="D4098" s="16" t="inlineStr">
        <is>
          <t>E2E</t>
        </is>
      </c>
      <c r="E4098" s="17" t="inlineStr">
        <is>
          <t>public.spec.ts</t>
        </is>
      </c>
      <c r="F4098" s="17" t="inlineStr">
        <is>
          <t>chi tiết sự kiện</t>
        </is>
      </c>
      <c r="G4098" s="17" t="inlineStr">
        <is>
          <t>hiện địa điểm, các suất theo giờ Việt Nam, hạng vé và giá</t>
        </is>
      </c>
      <c r="H4098" s="17" t="inlineStr">
        <is>
          <t>hiện địa điểm, các suất theo giờ Việt Nam, hạng vé và giá</t>
        </is>
      </c>
      <c r="I4098" s="16" t="inlineStr">
        <is>
          <t>Đạt</t>
        </is>
      </c>
      <c r="J4098" s="16" t="n">
        <v>2.139</v>
      </c>
    </row>
    <row r="4099">
      <c r="A4099" s="16" t="n">
        <v>4095</v>
      </c>
      <c r="B4099" s="16" t="inlineStr">
        <is>
          <t>Frontend</t>
        </is>
      </c>
      <c r="C4099" s="17" t="inlineStr">
        <is>
          <t>web-customer (E2E)</t>
        </is>
      </c>
      <c r="D4099" s="16" t="inlineStr">
        <is>
          <t>E2E</t>
        </is>
      </c>
      <c r="E4099" s="17" t="inlineStr">
        <is>
          <t>public.spec.ts</t>
        </is>
      </c>
      <c r="F4099" s="17" t="inlineStr">
        <is>
          <t>chi tiết sự kiện</t>
        </is>
      </c>
      <c r="G4099" s="17" t="inlineStr">
        <is>
          <t>suất chưa mở bán: nút "Chọn chỗ" bị khoá và nói rõ ngày mở bán</t>
        </is>
      </c>
      <c r="H4099" s="17" t="inlineStr">
        <is>
          <t>suất chưa mở bán: nút "Chọn chỗ" bị khoá và nói rõ ngày mở bán</t>
        </is>
      </c>
      <c r="I4099" s="16" t="inlineStr">
        <is>
          <t>Đạt</t>
        </is>
      </c>
      <c r="J4099" s="16" t="n">
        <v>1.618</v>
      </c>
    </row>
    <row r="4100">
      <c r="A4100" s="16" t="n">
        <v>4096</v>
      </c>
      <c r="B4100" s="16" t="inlineStr">
        <is>
          <t>Frontend</t>
        </is>
      </c>
      <c r="C4100" s="17" t="inlineStr">
        <is>
          <t>web-customer (E2E)</t>
        </is>
      </c>
      <c r="D4100" s="16" t="inlineStr">
        <is>
          <t>E2E</t>
        </is>
      </c>
      <c r="E4100" s="17" t="inlineStr">
        <is>
          <t>public.spec.ts</t>
        </is>
      </c>
      <c r="F4100" s="17" t="inlineStr">
        <is>
          <t>chi tiết sự kiện</t>
        </is>
      </c>
      <c r="G4100" s="17" t="inlineStr">
        <is>
          <t>slug không tồn tại hiện trang 404 của app và không cho máy tìm kiếm lập chỉ mục</t>
        </is>
      </c>
      <c r="H4100" s="17" t="inlineStr">
        <is>
          <t>slug không tồn tại hiện trang 404 của app và không cho máy tìm kiếm lập chỉ mục</t>
        </is>
      </c>
      <c r="I4100" s="16" t="inlineStr">
        <is>
          <t>Đạt</t>
        </is>
      </c>
      <c r="J4100" s="16" t="n">
        <v>1.66</v>
      </c>
    </row>
    <row r="4101">
      <c r="A4101" s="16" t="n">
        <v>4097</v>
      </c>
      <c r="B4101" s="16" t="inlineStr">
        <is>
          <t>Frontend</t>
        </is>
      </c>
      <c r="C4101" s="17" t="inlineStr">
        <is>
          <t>web-customer (E2E)</t>
        </is>
      </c>
      <c r="D4101" s="16" t="inlineStr">
        <is>
          <t>E2E</t>
        </is>
      </c>
      <c r="E4101" s="17" t="inlineStr">
        <is>
          <t>public.spec.ts</t>
        </is>
      </c>
      <c r="F4101" s="17" t="inlineStr">
        <is>
          <t>XSS từ dữ liệu API</t>
        </is>
      </c>
      <c r="G4101" s="17" t="inlineStr">
        <is>
          <t>tiêu đề, tóm tắt, địa điểm, hạng vé chứa HTML được hiện thành CHỮ</t>
        </is>
      </c>
      <c r="H4101" s="17" t="inlineStr">
        <is>
          <t>tiêu đề, tóm tắt, địa điểm, hạng vé chứa HTML được hiện thành CHỮ</t>
        </is>
      </c>
      <c r="I4101" s="16" t="inlineStr">
        <is>
          <t>Đạt</t>
        </is>
      </c>
      <c r="J4101" s="16" t="n">
        <v>1.663</v>
      </c>
    </row>
    <row r="4102">
      <c r="A4102" s="16" t="n">
        <v>4098</v>
      </c>
      <c r="B4102" s="16" t="inlineStr">
        <is>
          <t>Frontend</t>
        </is>
      </c>
      <c r="C4102" s="17" t="inlineStr">
        <is>
          <t>web-customer (E2E)</t>
        </is>
      </c>
      <c r="D4102" s="16" t="inlineStr">
        <is>
          <t>E2E</t>
        </is>
      </c>
      <c r="E4102" s="17" t="inlineStr">
        <is>
          <t>public.spec.ts</t>
        </is>
      </c>
      <c r="F4102" s="17" t="inlineStr">
        <is>
          <t>XSS từ dữ liệu API</t>
        </is>
      </c>
      <c r="G4102" s="17" t="inlineStr">
        <is>
          <t>thẻ sự kiện ở trang danh sách cũng hiện tiêu đề thành chữ</t>
        </is>
      </c>
      <c r="H4102" s="17" t="inlineStr">
        <is>
          <t>thẻ sự kiện ở trang danh sách cũng hiện tiêu đề thành chữ</t>
        </is>
      </c>
      <c r="I4102" s="16" t="inlineStr">
        <is>
          <t>Đạt</t>
        </is>
      </c>
      <c r="J4102" s="16" t="n">
        <v>1.429</v>
      </c>
    </row>
  </sheetData>
  <autoFilter ref="A4:J4102"/>
  <conditionalFormatting sqref="I5:I4102">
    <cfRule type="cellIs" priority="1" operator="equal" dxfId="2">
      <formula>"Đạt"</formula>
    </cfRule>
    <cfRule type="cellIs" priority="2" operator="equal" dxfId="0">
      <formula>"Đỏ"</formula>
    </cfRule>
    <cfRule type="cellIs" priority="3" operator="equal" dxfId="1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2026-10-22T17:54:19Z</dcterms:created>
  <dcterms:modified xsi:type="dcterms:W3CDTF">2026-10-22T17:54:20Z</dcterms:modified>
</cp:coreProperties>
</file>