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quan" sheetId="1" state="visible" r:id="rId1"/>
    <sheet name="Kế hoạch" sheetId="2" state="visible" r:id="rId2"/>
    <sheet name="Báo cáo" sheetId="3" state="visible" r:id="rId3"/>
    <sheet name="Phân cô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dd/mm"/>
    <numFmt numFmtId="167" formatCode=";;;"/>
  </numFmts>
  <fonts count="1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color rgb="000000FF"/>
      <sz val="10"/>
    </font>
    <font>
      <name val="Arial"/>
      <i val="1"/>
      <color rgb="007F7F7F"/>
      <sz val="10"/>
    </font>
    <font>
      <name val="Arial"/>
      <color rgb="000000FF"/>
      <sz val="10"/>
    </font>
    <font>
      <name val="Arial"/>
      <b val="1"/>
      <color rgb="00000000"/>
      <sz val="10"/>
    </font>
    <font>
      <name val="Arial"/>
      <b val="1"/>
      <color rgb="001F3864"/>
      <sz val="12"/>
    </font>
    <font>
      <name val="Arial"/>
      <b val="1"/>
      <color rgb="00FFFFFF"/>
      <sz val="10"/>
    </font>
    <font>
      <name val="Arial"/>
      <color rgb="00008000"/>
      <sz val="10"/>
    </font>
    <font>
      <name val="Arial"/>
      <color rgb="0040404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b val="1"/>
      <color rgb="001F3864"/>
      <sz val="10"/>
    </font>
    <font>
      <name val="Arial"/>
      <color rgb="00000000"/>
      <sz val="10"/>
    </font>
    <font>
      <name val="Arial"/>
      <color theme="1"/>
      <sz val="11"/>
    </font>
  </fonts>
  <fills count="11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DEDED"/>
      </patternFill>
    </fill>
    <fill>
      <patternFill patternType="solid">
        <fgColor rgb="00C00000"/>
      </patternFill>
    </fill>
    <fill>
      <patternFill patternType="solid">
        <fgColor rgb="00D9E1F2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C00000"/>
      </left>
      <right style="medium">
        <color rgb="00C00000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2">
    <xf numFmtId="0" fontId="0" fillId="0" borderId="0" pivotButton="0" quotePrefix="0" xfId="0"/>
    <xf numFmtId="0" fontId="14" fillId="0" borderId="0" pivotButton="0" quotePrefix="0" xfId="0"/>
    <xf numFmtId="0" fontId="1" fillId="0" borderId="0" pivotButton="0" quotePrefix="0" xfId="0"/>
    <xf numFmtId="0" fontId="5" fillId="0" borderId="1" pivotButton="0" quotePrefix="0" xfId="0"/>
    <xf numFmtId="165" fontId="2" fillId="2" borderId="1" pivotButton="0" quotePrefix="0" xfId="0"/>
    <xf numFmtId="0" fontId="3" fillId="0" borderId="0" pivotButton="0" quotePrefix="0" xfId="0"/>
    <xf numFmtId="0" fontId="4" fillId="0" borderId="1" pivotButton="0" quotePrefix="0" xfId="0"/>
    <xf numFmtId="165" fontId="14" fillId="0" borderId="1" pivotButton="0" quotePrefix="0" xfId="0"/>
    <xf numFmtId="0" fontId="14" fillId="0" borderId="1" pivotButton="0" quotePrefix="0" xfId="0"/>
    <xf numFmtId="0" fontId="6" fillId="0" borderId="0" pivotButton="0" quotePrefix="0" xfId="0"/>
    <xf numFmtId="0" fontId="7" fillId="3" borderId="1" pivotButton="0" quotePrefix="0" xfId="0"/>
    <xf numFmtId="0" fontId="5" fillId="0" borderId="1" applyAlignment="1" pivotButton="0" quotePrefix="0" xfId="0">
      <alignment vertical="top" wrapText="1"/>
    </xf>
    <xf numFmtId="0" fontId="14" fillId="2" borderId="1" applyAlignment="1" pivotButton="0" quotePrefix="0" xfId="0">
      <alignment vertical="top" wrapText="1"/>
    </xf>
    <xf numFmtId="0" fontId="14" fillId="0" borderId="1" applyAlignment="1" pivotButton="0" quotePrefix="0" xfId="0">
      <alignment vertical="top" wrapText="1"/>
    </xf>
    <xf numFmtId="0" fontId="14" fillId="4" borderId="1" applyAlignment="1" pivotButton="0" quotePrefix="0" xfId="0">
      <alignment vertical="top" wrapText="1"/>
    </xf>
    <xf numFmtId="165" fontId="8" fillId="4" borderId="1" applyAlignment="1" pivotButton="0" quotePrefix="0" xfId="0">
      <alignment vertical="top" wrapText="1"/>
    </xf>
    <xf numFmtId="0" fontId="14" fillId="5" borderId="1" applyAlignment="1" pivotButton="0" quotePrefix="0" xfId="0">
      <alignment vertical="top" wrapText="1"/>
    </xf>
    <xf numFmtId="165" fontId="8" fillId="5" borderId="1" applyAlignment="1" pivotButton="0" quotePrefix="0" xfId="0">
      <alignment vertical="top" wrapText="1"/>
    </xf>
    <xf numFmtId="0" fontId="14" fillId="6" borderId="1" applyAlignment="1" pivotButton="0" quotePrefix="0" xfId="0">
      <alignment vertical="top" wrapText="1"/>
    </xf>
    <xf numFmtId="165" fontId="8" fillId="6" borderId="1" applyAlignment="1" pivotButton="0" quotePrefix="0" xfId="0">
      <alignment vertical="top" wrapText="1"/>
    </xf>
    <xf numFmtId="0" fontId="14" fillId="7" borderId="1" applyAlignment="1" pivotButton="0" quotePrefix="0" xfId="0">
      <alignment vertical="top" wrapText="1"/>
    </xf>
    <xf numFmtId="165" fontId="8" fillId="7" borderId="1" applyAlignment="1" pivotButton="0" quotePrefix="0" xfId="0">
      <alignment vertical="top" wrapText="1"/>
    </xf>
    <xf numFmtId="0" fontId="14" fillId="8" borderId="1" applyAlignment="1" pivotButton="0" quotePrefix="0" xfId="0">
      <alignment vertical="top" wrapText="1"/>
    </xf>
    <xf numFmtId="165" fontId="8" fillId="8" borderId="1" applyAlignment="1" pivotButton="0" quotePrefix="0" xfId="0">
      <alignment vertical="top" wrapText="1"/>
    </xf>
    <xf numFmtId="0" fontId="5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horizontal="center" vertical="center" wrapText="1"/>
    </xf>
    <xf numFmtId="0" fontId="11" fillId="9" borderId="0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166" fontId="11" fillId="3" borderId="1" applyAlignment="1" pivotButton="0" quotePrefix="0" xfId="0">
      <alignment horizontal="center" vertical="center" wrapText="1"/>
    </xf>
    <xf numFmtId="0" fontId="12" fillId="4" borderId="0" pivotButton="0" quotePrefix="0" xfId="0"/>
    <xf numFmtId="0" fontId="14" fillId="4" borderId="0" pivotButton="0" quotePrefix="0" xfId="0"/>
    <xf numFmtId="0" fontId="14" fillId="4" borderId="2" pivotButton="0" quotePrefix="0" xfId="0"/>
    <xf numFmtId="0" fontId="13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vertical="top" wrapText="1"/>
    </xf>
    <xf numFmtId="0" fontId="4" fillId="0" borderId="1" applyAlignment="1" pivotButton="0" quotePrefix="0" xfId="0">
      <alignment horizontal="center" vertical="center" wrapText="1"/>
    </xf>
    <xf numFmtId="165" fontId="13" fillId="0" borderId="1" applyAlignment="1" pivotButton="0" quotePrefix="0" xfId="0">
      <alignment horizontal="center" vertical="center" wrapText="1"/>
    </xf>
    <xf numFmtId="167" fontId="14" fillId="0" borderId="1" pivotButton="0" quotePrefix="0" xfId="0"/>
    <xf numFmtId="167" fontId="14" fillId="0" borderId="2" pivotButton="0" quotePrefix="0" xfId="0"/>
    <xf numFmtId="0" fontId="12" fillId="5" borderId="0" pivotButton="0" quotePrefix="0" xfId="0"/>
    <xf numFmtId="0" fontId="14" fillId="5" borderId="0" pivotButton="0" quotePrefix="0" xfId="0"/>
    <xf numFmtId="0" fontId="14" fillId="5" borderId="2" pivotButton="0" quotePrefix="0" xfId="0"/>
    <xf numFmtId="0" fontId="12" fillId="6" borderId="0" pivotButton="0" quotePrefix="0" xfId="0"/>
    <xf numFmtId="0" fontId="14" fillId="6" borderId="0" pivotButton="0" quotePrefix="0" xfId="0"/>
    <xf numFmtId="0" fontId="14" fillId="6" borderId="2" pivotButton="0" quotePrefix="0" xfId="0"/>
    <xf numFmtId="0" fontId="12" fillId="7" borderId="0" pivotButton="0" quotePrefix="0" xfId="0"/>
    <xf numFmtId="0" fontId="14" fillId="7" borderId="0" pivotButton="0" quotePrefix="0" xfId="0"/>
    <xf numFmtId="0" fontId="14" fillId="7" borderId="2" pivotButton="0" quotePrefix="0" xfId="0"/>
    <xf numFmtId="0" fontId="12" fillId="8" borderId="0" pivotButton="0" quotePrefix="0" xfId="0"/>
    <xf numFmtId="0" fontId="14" fillId="8" borderId="0" pivotButton="0" quotePrefix="0" xfId="0"/>
    <xf numFmtId="0" fontId="14" fillId="8" borderId="2" pivotButton="0" quotePrefix="0" xfId="0"/>
    <xf numFmtId="0" fontId="1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5" fontId="13" fillId="4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vertical="top" wrapText="1"/>
    </xf>
    <xf numFmtId="9" fontId="13" fillId="4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165" fontId="13" fillId="5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vertical="top" wrapText="1"/>
    </xf>
    <xf numFmtId="9" fontId="13" fillId="5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165" fontId="13" fillId="6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vertical="top" wrapText="1"/>
    </xf>
    <xf numFmtId="9" fontId="13" fillId="6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165" fontId="13" fillId="7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vertical="top" wrapText="1"/>
    </xf>
    <xf numFmtId="9" fontId="13" fillId="7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165" fontId="13" fillId="8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vertical="top" wrapText="1"/>
    </xf>
    <xf numFmtId="9" fontId="13" fillId="8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top" wrapText="1"/>
    </xf>
    <xf numFmtId="0" fontId="5" fillId="0" borderId="1" applyAlignment="1" pivotButton="0" quotePrefix="0" xfId="0">
      <alignment horizontal="center" vertical="center" wrapText="1"/>
    </xf>
    <xf numFmtId="9" fontId="13" fillId="0" borderId="1" applyAlignment="1" pivotButton="0" quotePrefix="0" xfId="0">
      <alignment horizontal="center" vertical="center" wrapText="1"/>
    </xf>
    <xf numFmtId="9" fontId="14" fillId="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6">
    <dxf>
      <fill>
        <patternFill patternType="solid">
          <fgColor rgb="004472C4"/>
        </patternFill>
      </fill>
    </dxf>
    <dxf>
      <fill>
        <patternFill patternType="solid">
          <fgColor rgb="00ED7D31"/>
        </patternFill>
      </fill>
    </dxf>
    <dxf>
      <fill>
        <patternFill patternType="solid">
          <fgColor rgb="0070AD47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Kế hoạch</author>
  </authors>
  <commentList>
    <comment ref="C4" authorId="0" shapeId="0">
      <text>
        <t>Nhập từ yêu cầu của người dùng: bắt đầu 05/08/2026. Đổi ô này thì mọi ngày trong file tự tính lại.</t>
      </text>
    </comment>
    <comment ref="C11" authorId="0" shapeId="0">
      <text>
        <t>Điền họ tên đầy đủ (ô nền vàng).</t>
      </text>
    </comment>
  </commentList>
</comments>
</file>

<file path=xl/comments/comment2.xml><?xml version="1.0" encoding="utf-8"?>
<comments xmlns="http://schemas.openxmlformats.org/spreadsheetml/2006/main">
  <authors>
    <author>Kế hoạch</author>
  </authors>
  <commentList>
    <comment ref="B4" authorId="0" shapeId="0">
      <text>
        <t>Tuần báo cáo = tuần bắt đầu sau khi xong đợt. Nhịp 2–3 tuần theo yêu cầu: lần 1 sau 2 tuần, các lần sau cách 3 tuần. Sửa cột này để dời lịch.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16" customWidth="1" min="3" max="3"/>
    <col width="60" customWidth="1" min="4" max="4"/>
    <col width="34" customWidth="1" min="5" max="5"/>
  </cols>
  <sheetData>
    <row r="1">
      <c r="A1" s="1" t="n"/>
      <c r="B1" s="1" t="n"/>
      <c r="C1" s="1" t="n"/>
      <c r="D1" s="1" t="n"/>
      <c r="E1" s="1" t="n"/>
    </row>
    <row r="2">
      <c r="A2" s="1" t="n"/>
      <c r="B2" s="2" t="inlineStr">
        <is>
          <t>KẾ HOẠCH DỰ ÁN NEXATICKET — NỀN TẢNG BÁN VÉ SỰ KIỆN</t>
        </is>
      </c>
      <c r="C2" s="1" t="n"/>
      <c r="D2" s="1" t="n"/>
      <c r="E2" s="1" t="n"/>
    </row>
    <row r="3">
      <c r="A3" s="1" t="n"/>
      <c r="B3" s="1" t="n"/>
      <c r="C3" s="1" t="n"/>
      <c r="D3" s="1" t="n"/>
      <c r="E3" s="1" t="n"/>
    </row>
    <row r="4">
      <c r="A4" s="1" t="n"/>
      <c r="B4" s="3" t="inlineStr">
        <is>
          <t>Ngày bắt đầu</t>
        </is>
      </c>
      <c r="C4" s="4" t="n">
        <v>46239</v>
      </c>
      <c r="D4" s="5" t="inlineStr">
        <is>
          <t>← ô nhập (nền vàng). Mọi ngày trong file tính từ ô này.</t>
        </is>
      </c>
      <c r="E4" s="1" t="n"/>
    </row>
    <row r="5">
      <c r="A5" s="1" t="n"/>
      <c r="B5" s="3" t="inlineStr">
        <is>
          <t>Số tuần</t>
        </is>
      </c>
      <c r="C5" s="6" t="n">
        <v>14</v>
      </c>
      <c r="D5" s="1" t="n"/>
      <c r="E5" s="1" t="n"/>
    </row>
    <row r="6">
      <c r="A6" s="1" t="n"/>
      <c r="B6" s="3" t="inlineStr">
        <is>
          <t>Ngày kết thúc</t>
        </is>
      </c>
      <c r="C6" s="7">
        <f>C4+7*C5-1</f>
        <v/>
      </c>
      <c r="D6" s="1" t="n"/>
      <c r="E6" s="1" t="n"/>
    </row>
    <row r="7">
      <c r="A7" s="1" t="n"/>
      <c r="B7" s="3" t="inlineStr">
        <is>
          <t>Nhịp báo cáo</t>
        </is>
      </c>
      <c r="C7" s="8" t="inlineStr">
        <is>
          <t>2–3 tuần / lần</t>
        </is>
      </c>
      <c r="D7" s="1" t="n"/>
      <c r="E7" s="1" t="n"/>
    </row>
    <row r="8">
      <c r="A8" s="1" t="n"/>
      <c r="B8" s="1" t="n"/>
      <c r="C8" s="1" t="n"/>
      <c r="D8" s="1" t="n"/>
      <c r="E8" s="1" t="n"/>
    </row>
    <row r="9">
      <c r="A9" s="1" t="n"/>
      <c r="B9" s="9" t="inlineStr">
        <is>
          <t>THÀNH VIÊN</t>
        </is>
      </c>
      <c r="C9" s="1" t="n"/>
      <c r="D9" s="1" t="n"/>
      <c r="E9" s="1" t="n"/>
    </row>
    <row r="10">
      <c r="A10" s="1" t="n"/>
      <c r="B10" s="10" t="inlineStr">
        <is>
          <t>Thành viên</t>
        </is>
      </c>
      <c r="C10" s="10" t="inlineStr">
        <is>
          <t>Họ tên đầy đủ</t>
        </is>
      </c>
      <c r="D10" s="10" t="inlineStr">
        <is>
          <t>Mảng phụ trách</t>
        </is>
      </c>
      <c r="E10" s="10" t="inlineStr">
        <is>
          <t>Số việc / Đã xong</t>
        </is>
      </c>
    </row>
    <row r="11">
      <c r="A11" s="1" t="n"/>
      <c r="B11" s="11" t="inlineStr">
        <is>
          <t>Thiện</t>
        </is>
      </c>
      <c r="C11" s="12" t="n"/>
      <c r="D11" s="13" t="inlineStr">
        <is>
          <t>Backend, cơ sở dữ liệu, AI, kiểm thử, hạ tầng/deploy</t>
        </is>
      </c>
      <c r="E11" s="13">
        <f>COUNTIF('Kế hoạch'!$E:$E,"Thiện")&amp;" việc / "&amp;COUNTIFS('Kế hoạch'!$E:$E,"Thiện",'Kế hoạch'!$K:$K,"Hoàn thành")&amp;" xong"</f>
        <v/>
      </c>
    </row>
    <row r="12">
      <c r="A12" s="1" t="n"/>
      <c r="B12" s="11" t="inlineStr">
        <is>
          <t>Hạnh</t>
        </is>
      </c>
      <c r="C12" s="12" t="n"/>
      <c r="D12" s="13" t="inlineStr">
        <is>
          <t>Mobile, frontend web, báo cáo (slide, quyển báo cáo)</t>
        </is>
      </c>
      <c r="E12" s="13">
        <f>COUNTIF('Kế hoạch'!$E:$E,"Hạnh")&amp;" việc / "&amp;COUNTIFS('Kế hoạch'!$E:$E,"Hạnh",'Kế hoạch'!$K:$K,"Hoàn thành")&amp;" xong"</f>
        <v/>
      </c>
    </row>
    <row r="13">
      <c r="A13" s="1" t="n"/>
      <c r="B13" s="1" t="n"/>
      <c r="C13" s="1" t="n"/>
      <c r="D13" s="1" t="n"/>
      <c r="E13" s="1" t="n"/>
    </row>
    <row r="14">
      <c r="A14" s="1" t="n"/>
      <c r="B14" s="1" t="n"/>
      <c r="C14" s="1" t="n"/>
      <c r="D14" s="1" t="n"/>
      <c r="E14" s="1" t="n"/>
    </row>
    <row r="15">
      <c r="A15" s="1" t="n"/>
      <c r="B15" s="9" t="inlineStr">
        <is>
          <t>LỊCH BÁO CÁO</t>
        </is>
      </c>
      <c r="C15" s="1" t="n"/>
      <c r="D15" s="1" t="n"/>
      <c r="E15" s="1" t="n"/>
    </row>
    <row r="16">
      <c r="A16" s="1" t="n"/>
      <c r="B16" s="10" t="inlineStr">
        <is>
          <t>Lần · Tuần</t>
        </is>
      </c>
      <c r="C16" s="10" t="inlineStr">
        <is>
          <t>Ngày báo cáo</t>
        </is>
      </c>
      <c r="D16" s="10" t="inlineStr">
        <is>
          <t>Nội dung</t>
        </is>
      </c>
      <c r="E16" s="10" t="inlineStr">
        <is>
          <t>Người trình bày</t>
        </is>
      </c>
    </row>
    <row r="17" ht="30" customHeight="1">
      <c r="A17" s="1" t="n"/>
      <c r="B17" s="14" t="inlineStr">
        <is>
          <t>Lần 1 · Tuần 3</t>
        </is>
      </c>
      <c r="C17" s="15">
        <f>'Báo cáo'!C4</f>
        <v/>
      </c>
      <c r="D17" s="14" t="inlineStr">
        <is>
          <t>Timeline dự án, kiến trúc dự án; thầy hướng dẫn phần AI cần làm</t>
        </is>
      </c>
      <c r="E17" s="14" t="inlineStr">
        <is>
          <t>Thiện (kiến trúc, AI) · Hạnh (timeline, slide)</t>
        </is>
      </c>
    </row>
    <row r="18" ht="30" customHeight="1">
      <c r="A18" s="1" t="n"/>
      <c r="B18" s="16" t="inlineStr">
        <is>
          <t>Lần 2 · Tuần 6</t>
        </is>
      </c>
      <c r="C18" s="17">
        <f>'Báo cáo'!C5</f>
        <v/>
      </c>
      <c r="D18" s="16" t="inlineStr">
        <is>
          <t>Sườn cơ bản của dự án</t>
        </is>
      </c>
      <c r="E18" s="16" t="inlineStr">
        <is>
          <t>Thiện (backend) · Hạnh (frontend)</t>
        </is>
      </c>
    </row>
    <row r="19" ht="30" customHeight="1">
      <c r="A19" s="1" t="n"/>
      <c r="B19" s="18" t="inlineStr">
        <is>
          <t>Lần 3 · Tuần 9</t>
        </is>
      </c>
      <c r="C19" s="19">
        <f>'Báo cáo'!C6</f>
        <v/>
      </c>
      <c r="D19" s="18" t="inlineStr">
        <is>
          <t>AI chatbox hỗ trợ người dùng; sửa giao diện admin dashboard</t>
        </is>
      </c>
      <c r="E19" s="18" t="inlineStr">
        <is>
          <t>Thiện (AI chatbox) · Hạnh (admin dashboard)</t>
        </is>
      </c>
    </row>
    <row r="20" ht="30" customHeight="1">
      <c r="A20" s="1" t="n"/>
      <c r="B20" s="20" t="inlineStr">
        <is>
          <t>Lần 4 · Tuần 12</t>
        </is>
      </c>
      <c r="C20" s="21">
        <f>'Báo cáo'!C7</f>
        <v/>
      </c>
      <c r="D20" s="20" t="inlineStr">
        <is>
          <t>Demo mobile app; xuất file xlsx</t>
        </is>
      </c>
      <c r="E20" s="20" t="inlineStr">
        <is>
          <t>Hạnh (mobile) · Thiện (API, xuất xlsx)</t>
        </is>
      </c>
    </row>
    <row r="21" ht="30" customHeight="1">
      <c r="A21" s="1" t="n"/>
      <c r="B21" s="22" t="inlineStr">
        <is>
          <t>Lần 5 · Tuần 15 (đề xuất)</t>
        </is>
      </c>
      <c r="C21" s="23">
        <f>'Báo cáo'!C8</f>
        <v/>
      </c>
      <c r="D21" s="22" t="inlineStr">
        <is>
          <t>Tổng kết, nghiệm thu, chuẩn bị bảo vệ</t>
        </is>
      </c>
      <c r="E21" s="22" t="inlineStr">
        <is>
          <t>Cả hai</t>
        </is>
      </c>
    </row>
    <row r="22">
      <c r="A22" s="1" t="n"/>
      <c r="B22" s="1" t="n"/>
      <c r="C22" s="1" t="n"/>
      <c r="D22" s="1" t="n"/>
      <c r="E22" s="1" t="n"/>
    </row>
    <row r="23">
      <c r="A23" s="1" t="n"/>
      <c r="B23" s="24" t="inlineStr">
        <is>
          <t>Cách dùng file</t>
        </is>
      </c>
      <c r="C23" s="1" t="n"/>
      <c r="D23" s="1" t="n"/>
      <c r="E23" s="1" t="n"/>
    </row>
    <row r="24">
      <c r="A24" s="1" t="n"/>
      <c r="B24" s="25" t="inlineStr">
        <is>
          <t>• Ô nền vàng chữ xanh là ô nhập; ô chữ đen là công thức; chữ xanh lá lấy từ sheet khác.</t>
        </is>
      </c>
      <c r="C24" s="1" t="n"/>
      <c r="D24" s="1" t="n"/>
      <c r="E24" s="1" t="n"/>
    </row>
    <row r="25">
      <c r="A25" s="1" t="n"/>
      <c r="B25" s="25" t="inlineStr">
        <is>
          <t>• Sheet 'Kế hoạch': đổi cột Trạng thái (danh sách chọn) để cập nhật tiến độ; biểu đồ Gantt và bảng phân công tự đổi theo.</t>
        </is>
      </c>
      <c r="C25" s="1" t="n"/>
      <c r="D25" s="1" t="n"/>
      <c r="E25" s="1" t="n"/>
    </row>
    <row r="26">
      <c r="A26" s="1" t="n"/>
      <c r="B26" s="25" t="inlineStr">
        <is>
          <t>• Cột 'Bằng chứng trong repo' ghi đường dẫn tới code/tài liệu đã có trong F:\kltnnnn, để đối chiếu khi báo cáo.</t>
        </is>
      </c>
      <c r="C26" s="1" t="n"/>
      <c r="D26" s="1" t="n"/>
      <c r="E26" s="1" t="n"/>
    </row>
    <row r="27">
      <c r="A27" s="1" t="n"/>
      <c r="B27" s="25" t="inlineStr">
        <is>
          <t>• Lần 1–4 theo yêu cầu của nhóm. Lần 5 là đề xuất (tổng kết) để khép 13–14 tuần; xoá nếu không cần.</t>
        </is>
      </c>
      <c r="C27" s="1" t="n"/>
      <c r="D27" s="1" t="n"/>
      <c r="E27" s="1" t="n"/>
    </row>
    <row r="28">
      <c r="A28" s="1" t="n"/>
      <c r="B28" s="25" t="inlineStr">
        <is>
          <t>• Trạng thái được đánh giá theo hiện trạng repo ngày 22/10/2026.</t>
        </is>
      </c>
      <c r="C28" s="1" t="n"/>
      <c r="D28" s="1" t="n"/>
      <c r="E28" s="1" t="n"/>
    </row>
  </sheetData>
  <mergeCells count="5">
    <mergeCell ref="B26:E26"/>
    <mergeCell ref="B27:E27"/>
    <mergeCell ref="B25:E25"/>
    <mergeCell ref="B24:E24"/>
    <mergeCell ref="B28:E28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9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7" customWidth="1" min="2" max="2"/>
    <col width="11" customWidth="1" min="3" max="3"/>
    <col width="52" customWidth="1" min="4" max="4"/>
    <col width="9" customWidth="1" min="5" max="5"/>
    <col width="7" customWidth="1" min="6" max="6"/>
    <col width="7" customWidth="1" min="7" max="7"/>
    <col width="11" customWidth="1" min="8" max="8"/>
    <col width="11" customWidth="1" min="9" max="9"/>
    <col width="30" customWidth="1" min="10" max="10"/>
    <col width="12" customWidth="1" min="11" max="11"/>
    <col width="34" customWidth="1" min="12" max="12"/>
    <col width="6.5" customWidth="1" min="13" max="13"/>
    <col width="6.5" customWidth="1" min="14" max="14"/>
    <col width="6.5" customWidth="1" min="15" max="15"/>
    <col width="6.5" customWidth="1" min="16" max="16"/>
    <col width="6.5" customWidth="1" min="17" max="17"/>
    <col width="6.5" customWidth="1" min="18" max="18"/>
    <col width="6.5" customWidth="1" min="19" max="19"/>
    <col width="6.5" customWidth="1" min="20" max="20"/>
    <col width="6.5" customWidth="1" min="21" max="21"/>
    <col width="6.5" customWidth="1" min="22" max="22"/>
    <col width="6.5" customWidth="1" min="23" max="23"/>
    <col width="6.5" customWidth="1" min="24" max="24"/>
    <col width="6.5" customWidth="1" min="25" max="25"/>
    <col width="6.5" customWidth="1" min="26" max="26"/>
  </cols>
  <sheetData>
    <row r="1">
      <c r="A1" s="2" t="inlineStr">
        <is>
          <t>KẾ HOẠCH CHI TIẾT &amp; BIỂU ĐỒ GANTT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>
      <c r="A2" s="5" t="inlineStr">
        <is>
          <t>Màu thanh: xanh dương = Thiện · cam = Hạnh · xanh lá = Cả hai. Cột tuần viền đỏ = tuần có buổi báo cáo.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26">
        <f>"T"&amp;1</f>
        <v/>
      </c>
      <c r="N3" s="26">
        <f>"T"&amp;2</f>
        <v/>
      </c>
      <c r="O3" s="27">
        <f>"BC"&amp;1</f>
        <v/>
      </c>
      <c r="P3" s="26">
        <f>"T"&amp;4</f>
        <v/>
      </c>
      <c r="Q3" s="26">
        <f>"T"&amp;5</f>
        <v/>
      </c>
      <c r="R3" s="27">
        <f>"BC"&amp;2</f>
        <v/>
      </c>
      <c r="S3" s="26">
        <f>"T"&amp;7</f>
        <v/>
      </c>
      <c r="T3" s="26">
        <f>"T"&amp;8</f>
        <v/>
      </c>
      <c r="U3" s="27">
        <f>"BC"&amp;3</f>
        <v/>
      </c>
      <c r="V3" s="26">
        <f>"T"&amp;10</f>
        <v/>
      </c>
      <c r="W3" s="26">
        <f>"T"&amp;11</f>
        <v/>
      </c>
      <c r="X3" s="27">
        <f>"BC"&amp;4</f>
        <v/>
      </c>
      <c r="Y3" s="26">
        <f>"T"&amp;13</f>
        <v/>
      </c>
      <c r="Z3" s="26">
        <f>"T"&amp;14</f>
        <v/>
      </c>
    </row>
    <row r="4">
      <c r="A4" s="28" t="inlineStr">
        <is>
          <t>ID</t>
        </is>
      </c>
      <c r="B4" s="28" t="inlineStr">
        <is>
          <t>Đợt</t>
        </is>
      </c>
      <c r="C4" s="28" t="inlineStr">
        <is>
          <t>Hạng mục</t>
        </is>
      </c>
      <c r="D4" s="28" t="inlineStr">
        <is>
          <t>Công việc</t>
        </is>
      </c>
      <c r="E4" s="28" t="inlineStr">
        <is>
          <t>Phụ trách</t>
        </is>
      </c>
      <c r="F4" s="28" t="inlineStr">
        <is>
          <t>Tuần BĐ</t>
        </is>
      </c>
      <c r="G4" s="28" t="inlineStr">
        <is>
          <t>Số tuần</t>
        </is>
      </c>
      <c r="H4" s="28" t="inlineStr">
        <is>
          <t>Ngày bắt đầu</t>
        </is>
      </c>
      <c r="I4" s="28" t="inlineStr">
        <is>
          <t>Ngày kết thúc</t>
        </is>
      </c>
      <c r="J4" s="28" t="inlineStr">
        <is>
          <t>Sản phẩm bàn giao</t>
        </is>
      </c>
      <c r="K4" s="28" t="inlineStr">
        <is>
          <t>Trạng thái</t>
        </is>
      </c>
      <c r="L4" s="28" t="inlineStr">
        <is>
          <t>Bằng chứng trong repo</t>
        </is>
      </c>
      <c r="M4" s="29">
        <f>'Tổng quan'!$C$4+7*(1-1)</f>
        <v/>
      </c>
      <c r="N4" s="29">
        <f>'Tổng quan'!$C$4+7*(2-1)</f>
        <v/>
      </c>
      <c r="O4" s="29">
        <f>'Tổng quan'!$C$4+7*(3-1)</f>
        <v/>
      </c>
      <c r="P4" s="29">
        <f>'Tổng quan'!$C$4+7*(4-1)</f>
        <v/>
      </c>
      <c r="Q4" s="29">
        <f>'Tổng quan'!$C$4+7*(5-1)</f>
        <v/>
      </c>
      <c r="R4" s="29">
        <f>'Tổng quan'!$C$4+7*(6-1)</f>
        <v/>
      </c>
      <c r="S4" s="29">
        <f>'Tổng quan'!$C$4+7*(7-1)</f>
        <v/>
      </c>
      <c r="T4" s="29">
        <f>'Tổng quan'!$C$4+7*(8-1)</f>
        <v/>
      </c>
      <c r="U4" s="29">
        <f>'Tổng quan'!$C$4+7*(9-1)</f>
        <v/>
      </c>
      <c r="V4" s="29">
        <f>'Tổng quan'!$C$4+7*(10-1)</f>
        <v/>
      </c>
      <c r="W4" s="29">
        <f>'Tổng quan'!$C$4+7*(11-1)</f>
        <v/>
      </c>
      <c r="X4" s="29">
        <f>'Tổng quan'!$C$4+7*(12-1)</f>
        <v/>
      </c>
      <c r="Y4" s="29">
        <f>'Tổng quan'!$C$4+7*(13-1)</f>
        <v/>
      </c>
      <c r="Z4" s="29">
        <f>'Tổng quan'!$C$4+7*(14-1)</f>
        <v/>
      </c>
    </row>
    <row r="5">
      <c r="A5" s="30" t="inlineStr">
        <is>
          <t>Đợt 1 · Khởi động &amp; kiến trúc</t>
        </is>
      </c>
      <c r="B5" s="31" t="n"/>
      <c r="C5" s="31" t="n"/>
      <c r="D5" s="31" t="n"/>
      <c r="E5" s="31" t="n"/>
      <c r="F5" s="31" t="n"/>
      <c r="G5" s="31" t="n"/>
      <c r="H5" s="31" t="n"/>
      <c r="I5" s="31" t="n"/>
      <c r="J5" s="31" t="n"/>
      <c r="K5" s="31" t="n"/>
      <c r="L5" s="31" t="n"/>
      <c r="M5" s="31" t="n"/>
      <c r="N5" s="31" t="n"/>
      <c r="O5" s="32" t="n"/>
      <c r="P5" s="31" t="n"/>
      <c r="Q5" s="31" t="n"/>
      <c r="R5" s="32" t="n"/>
      <c r="S5" s="31" t="n"/>
      <c r="T5" s="31" t="n"/>
      <c r="U5" s="32" t="n"/>
      <c r="V5" s="31" t="n"/>
      <c r="W5" s="31" t="n"/>
      <c r="X5" s="32" t="n"/>
      <c r="Y5" s="31" t="n"/>
      <c r="Z5" s="31" t="n"/>
    </row>
    <row r="6" ht="30" customHeight="1">
      <c r="A6" s="33" t="inlineStr">
        <is>
          <t>1.1</t>
        </is>
      </c>
      <c r="B6" s="33" t="n">
        <v>1</v>
      </c>
      <c r="C6" s="33" t="inlineStr">
        <is>
          <t>Phân tích</t>
        </is>
      </c>
      <c r="D6" s="34" t="inlineStr">
        <is>
          <t>Khảo sát nghiệp vụ bán vé, đối thủ (Ticketbox), chốt phạm vi MVP</t>
        </is>
      </c>
      <c r="E6" s="35" t="inlineStr">
        <is>
          <t>Cả hai</t>
        </is>
      </c>
      <c r="F6" s="35" t="n">
        <v>1</v>
      </c>
      <c r="G6" s="35" t="n">
        <v>1</v>
      </c>
      <c r="H6" s="36">
        <f>'Tổng quan'!$C$4+7*(F6-1)</f>
        <v/>
      </c>
      <c r="I6" s="36">
        <f>H6+7*G6-1</f>
        <v/>
      </c>
      <c r="J6" s="34" t="inlineStr">
        <is>
          <t>Danh sách tính năng MVP, quyết định sản phẩm</t>
        </is>
      </c>
      <c r="K6" s="35" t="inlineStr">
        <is>
          <t>Hoàn thành</t>
        </is>
      </c>
      <c r="L6" s="34" t="inlineStr">
        <is>
          <t>docs/00-discovery/product-decisions.md</t>
        </is>
      </c>
      <c r="M6" s="37">
        <f>IF(AND(1&gt;=$F6,1&lt;$F6+$G6),1,"")</f>
        <v/>
      </c>
      <c r="N6" s="37">
        <f>IF(AND(2&gt;=$F6,2&lt;$F6+$G6),1,"")</f>
        <v/>
      </c>
      <c r="O6" s="38">
        <f>IF(AND(3&gt;=$F6,3&lt;$F6+$G6),1,"")</f>
        <v/>
      </c>
      <c r="P6" s="37">
        <f>IF(AND(4&gt;=$F6,4&lt;$F6+$G6),1,"")</f>
        <v/>
      </c>
      <c r="Q6" s="37">
        <f>IF(AND(5&gt;=$F6,5&lt;$F6+$G6),1,"")</f>
        <v/>
      </c>
      <c r="R6" s="38">
        <f>IF(AND(6&gt;=$F6,6&lt;$F6+$G6),1,"")</f>
        <v/>
      </c>
      <c r="S6" s="37">
        <f>IF(AND(7&gt;=$F6,7&lt;$F6+$G6),1,"")</f>
        <v/>
      </c>
      <c r="T6" s="37">
        <f>IF(AND(8&gt;=$F6,8&lt;$F6+$G6),1,"")</f>
        <v/>
      </c>
      <c r="U6" s="38">
        <f>IF(AND(9&gt;=$F6,9&lt;$F6+$G6),1,"")</f>
        <v/>
      </c>
      <c r="V6" s="37">
        <f>IF(AND(10&gt;=$F6,10&lt;$F6+$G6),1,"")</f>
        <v/>
      </c>
      <c r="W6" s="37">
        <f>IF(AND(11&gt;=$F6,11&lt;$F6+$G6),1,"")</f>
        <v/>
      </c>
      <c r="X6" s="38">
        <f>IF(AND(12&gt;=$F6,12&lt;$F6+$G6),1,"")</f>
        <v/>
      </c>
      <c r="Y6" s="37">
        <f>IF(AND(13&gt;=$F6,13&lt;$F6+$G6),1,"")</f>
        <v/>
      </c>
      <c r="Z6" s="37">
        <f>IF(AND(14&gt;=$F6,14&lt;$F6+$G6),1,"")</f>
        <v/>
      </c>
    </row>
    <row r="7" ht="30" customHeight="1">
      <c r="A7" s="33" t="inlineStr">
        <is>
          <t>1.2</t>
        </is>
      </c>
      <c r="B7" s="33" t="n">
        <v>1</v>
      </c>
      <c r="C7" s="33" t="inlineStr">
        <is>
          <t>Phân tích</t>
        </is>
      </c>
      <c r="D7" s="34" t="inlineStr">
        <is>
          <t>Đặc tả yêu cầu (SRS), ma trận phân quyền RBAC, chỉ số thành công</t>
        </is>
      </c>
      <c r="E7" s="35" t="inlineStr">
        <is>
          <t>Thiện</t>
        </is>
      </c>
      <c r="F7" s="35" t="n">
        <v>1</v>
      </c>
      <c r="G7" s="35" t="n">
        <v>2</v>
      </c>
      <c r="H7" s="36">
        <f>'Tổng quan'!$C$4+7*(F7-1)</f>
        <v/>
      </c>
      <c r="I7" s="36">
        <f>H7+7*G7-1</f>
        <v/>
      </c>
      <c r="J7" s="34" t="inlineStr">
        <is>
          <t>SRS, RBAC, success-metrics</t>
        </is>
      </c>
      <c r="K7" s="35" t="inlineStr">
        <is>
          <t>Hoàn thành</t>
        </is>
      </c>
      <c r="L7" s="34" t="inlineStr">
        <is>
          <t>docs/00-discovery/srs.md, rbac-permission-matrix.md</t>
        </is>
      </c>
      <c r="M7" s="37">
        <f>IF(AND(1&gt;=$F7,1&lt;$F7+$G7),1,"")</f>
        <v/>
      </c>
      <c r="N7" s="37">
        <f>IF(AND(2&gt;=$F7,2&lt;$F7+$G7),1,"")</f>
        <v/>
      </c>
      <c r="O7" s="38">
        <f>IF(AND(3&gt;=$F7,3&lt;$F7+$G7),1,"")</f>
        <v/>
      </c>
      <c r="P7" s="37">
        <f>IF(AND(4&gt;=$F7,4&lt;$F7+$G7),1,"")</f>
        <v/>
      </c>
      <c r="Q7" s="37">
        <f>IF(AND(5&gt;=$F7,5&lt;$F7+$G7),1,"")</f>
        <v/>
      </c>
      <c r="R7" s="38">
        <f>IF(AND(6&gt;=$F7,6&lt;$F7+$G7),1,"")</f>
        <v/>
      </c>
      <c r="S7" s="37">
        <f>IF(AND(7&gt;=$F7,7&lt;$F7+$G7),1,"")</f>
        <v/>
      </c>
      <c r="T7" s="37">
        <f>IF(AND(8&gt;=$F7,8&lt;$F7+$G7),1,"")</f>
        <v/>
      </c>
      <c r="U7" s="38">
        <f>IF(AND(9&gt;=$F7,9&lt;$F7+$G7),1,"")</f>
        <v/>
      </c>
      <c r="V7" s="37">
        <f>IF(AND(10&gt;=$F7,10&lt;$F7+$G7),1,"")</f>
        <v/>
      </c>
      <c r="W7" s="37">
        <f>IF(AND(11&gt;=$F7,11&lt;$F7+$G7),1,"")</f>
        <v/>
      </c>
      <c r="X7" s="38">
        <f>IF(AND(12&gt;=$F7,12&lt;$F7+$G7),1,"")</f>
        <v/>
      </c>
      <c r="Y7" s="37">
        <f>IF(AND(13&gt;=$F7,13&lt;$F7+$G7),1,"")</f>
        <v/>
      </c>
      <c r="Z7" s="37">
        <f>IF(AND(14&gt;=$F7,14&lt;$F7+$G7),1,"")</f>
        <v/>
      </c>
    </row>
    <row r="8" ht="30" customHeight="1">
      <c r="A8" s="33" t="inlineStr">
        <is>
          <t>1.3</t>
        </is>
      </c>
      <c r="B8" s="33" t="n">
        <v>1</v>
      </c>
      <c r="C8" s="33" t="inlineStr">
        <is>
          <t>Kiến trúc</t>
        </is>
      </c>
      <c r="D8" s="34" t="inlineStr">
        <is>
          <t>Thiết kế kiến trúc microservices + DDD, chia bounded context, viết ADR</t>
        </is>
      </c>
      <c r="E8" s="35" t="inlineStr">
        <is>
          <t>Thiện</t>
        </is>
      </c>
      <c r="F8" s="35" t="n">
        <v>1</v>
      </c>
      <c r="G8" s="35" t="n">
        <v>2</v>
      </c>
      <c r="H8" s="36">
        <f>'Tổng quan'!$C$4+7*(F8-1)</f>
        <v/>
      </c>
      <c r="I8" s="36">
        <f>H8+7*G8-1</f>
        <v/>
      </c>
      <c r="J8" s="34" t="inlineStr">
        <is>
          <t>Sơ đồ kiến trúc, ADR-1001…</t>
        </is>
      </c>
      <c r="K8" s="35" t="inlineStr">
        <is>
          <t>Hoàn thành</t>
        </is>
      </c>
      <c r="L8" s="34" t="inlineStr">
        <is>
          <t>docs/architecture-v2/</t>
        </is>
      </c>
      <c r="M8" s="37">
        <f>IF(AND(1&gt;=$F8,1&lt;$F8+$G8),1,"")</f>
        <v/>
      </c>
      <c r="N8" s="37">
        <f>IF(AND(2&gt;=$F8,2&lt;$F8+$G8),1,"")</f>
        <v/>
      </c>
      <c r="O8" s="38">
        <f>IF(AND(3&gt;=$F8,3&lt;$F8+$G8),1,"")</f>
        <v/>
      </c>
      <c r="P8" s="37">
        <f>IF(AND(4&gt;=$F8,4&lt;$F8+$G8),1,"")</f>
        <v/>
      </c>
      <c r="Q8" s="37">
        <f>IF(AND(5&gt;=$F8,5&lt;$F8+$G8),1,"")</f>
        <v/>
      </c>
      <c r="R8" s="38">
        <f>IF(AND(6&gt;=$F8,6&lt;$F8+$G8),1,"")</f>
        <v/>
      </c>
      <c r="S8" s="37">
        <f>IF(AND(7&gt;=$F8,7&lt;$F8+$G8),1,"")</f>
        <v/>
      </c>
      <c r="T8" s="37">
        <f>IF(AND(8&gt;=$F8,8&lt;$F8+$G8),1,"")</f>
        <v/>
      </c>
      <c r="U8" s="38">
        <f>IF(AND(9&gt;=$F8,9&lt;$F8+$G8),1,"")</f>
        <v/>
      </c>
      <c r="V8" s="37">
        <f>IF(AND(10&gt;=$F8,10&lt;$F8+$G8),1,"")</f>
        <v/>
      </c>
      <c r="W8" s="37">
        <f>IF(AND(11&gt;=$F8,11&lt;$F8+$G8),1,"")</f>
        <v/>
      </c>
      <c r="X8" s="38">
        <f>IF(AND(12&gt;=$F8,12&lt;$F8+$G8),1,"")</f>
        <v/>
      </c>
      <c r="Y8" s="37">
        <f>IF(AND(13&gt;=$F8,13&lt;$F8+$G8),1,"")</f>
        <v/>
      </c>
      <c r="Z8" s="37">
        <f>IF(AND(14&gt;=$F8,14&lt;$F8+$G8),1,"")</f>
        <v/>
      </c>
    </row>
    <row r="9" ht="30" customHeight="1">
      <c r="A9" s="33" t="inlineStr">
        <is>
          <t>1.4</t>
        </is>
      </c>
      <c r="B9" s="33" t="n">
        <v>1</v>
      </c>
      <c r="C9" s="33" t="inlineStr">
        <is>
          <t>CSDL</t>
        </is>
      </c>
      <c r="D9" s="34" t="inlineStr">
        <is>
          <t>Thiết kế CSDL theo service: ghế, đơn hàng, vé, sổ cái</t>
        </is>
      </c>
      <c r="E9" s="35" t="inlineStr">
        <is>
          <t>Thiện</t>
        </is>
      </c>
      <c r="F9" s="35" t="n">
        <v>2</v>
      </c>
      <c r="G9" s="35" t="n">
        <v>1</v>
      </c>
      <c r="H9" s="36">
        <f>'Tổng quan'!$C$4+7*(F9-1)</f>
        <v/>
      </c>
      <c r="I9" s="36">
        <f>H9+7*G9-1</f>
        <v/>
      </c>
      <c r="J9" s="34" t="inlineStr">
        <is>
          <t>ERD, data model</t>
        </is>
      </c>
      <c r="K9" s="35" t="inlineStr">
        <is>
          <t>Hoàn thành</t>
        </is>
      </c>
      <c r="L9" s="34" t="inlineStr">
        <is>
          <t>docs/architecture-v2/, docs/03-seat-checkout/</t>
        </is>
      </c>
      <c r="M9" s="37">
        <f>IF(AND(1&gt;=$F9,1&lt;$F9+$G9),1,"")</f>
        <v/>
      </c>
      <c r="N9" s="37">
        <f>IF(AND(2&gt;=$F9,2&lt;$F9+$G9),1,"")</f>
        <v/>
      </c>
      <c r="O9" s="38">
        <f>IF(AND(3&gt;=$F9,3&lt;$F9+$G9),1,"")</f>
        <v/>
      </c>
      <c r="P9" s="37">
        <f>IF(AND(4&gt;=$F9,4&lt;$F9+$G9),1,"")</f>
        <v/>
      </c>
      <c r="Q9" s="37">
        <f>IF(AND(5&gt;=$F9,5&lt;$F9+$G9),1,"")</f>
        <v/>
      </c>
      <c r="R9" s="38">
        <f>IF(AND(6&gt;=$F9,6&lt;$F9+$G9),1,"")</f>
        <v/>
      </c>
      <c r="S9" s="37">
        <f>IF(AND(7&gt;=$F9,7&lt;$F9+$G9),1,"")</f>
        <v/>
      </c>
      <c r="T9" s="37">
        <f>IF(AND(8&gt;=$F9,8&lt;$F9+$G9),1,"")</f>
        <v/>
      </c>
      <c r="U9" s="38">
        <f>IF(AND(9&gt;=$F9,9&lt;$F9+$G9),1,"")</f>
        <v/>
      </c>
      <c r="V9" s="37">
        <f>IF(AND(10&gt;=$F9,10&lt;$F9+$G9),1,"")</f>
        <v/>
      </c>
      <c r="W9" s="37">
        <f>IF(AND(11&gt;=$F9,11&lt;$F9+$G9),1,"")</f>
        <v/>
      </c>
      <c r="X9" s="38">
        <f>IF(AND(12&gt;=$F9,12&lt;$F9+$G9),1,"")</f>
        <v/>
      </c>
      <c r="Y9" s="37">
        <f>IF(AND(13&gt;=$F9,13&lt;$F9+$G9),1,"")</f>
        <v/>
      </c>
      <c r="Z9" s="37">
        <f>IF(AND(14&gt;=$F9,14&lt;$F9+$G9),1,"")</f>
        <v/>
      </c>
    </row>
    <row r="10" ht="30" customHeight="1">
      <c r="A10" s="33" t="inlineStr">
        <is>
          <t>1.5</t>
        </is>
      </c>
      <c r="B10" s="33" t="n">
        <v>1</v>
      </c>
      <c r="C10" s="33" t="inlineStr">
        <is>
          <t>AI</t>
        </is>
      </c>
      <c r="D10" s="34" t="inlineStr">
        <is>
          <t>Đề xuất hướng AI (chatbot RAG hỗ trợ khách) để xin ý kiến thầy</t>
        </is>
      </c>
      <c r="E10" s="35" t="inlineStr">
        <is>
          <t>Thiện</t>
        </is>
      </c>
      <c r="F10" s="35" t="n">
        <v>2</v>
      </c>
      <c r="G10" s="35" t="n">
        <v>1</v>
      </c>
      <c r="H10" s="36">
        <f>'Tổng quan'!$C$4+7*(F10-1)</f>
        <v/>
      </c>
      <c r="I10" s="36">
        <f>H10+7*G10-1</f>
        <v/>
      </c>
      <c r="J10" s="34" t="inlineStr">
        <is>
          <t>Bản đề xuất AI 1 trang</t>
        </is>
      </c>
      <c r="K10" s="35" t="inlineStr">
        <is>
          <t>Hoàn thành</t>
        </is>
      </c>
      <c r="L10" s="34" t="inlineStr">
        <is>
          <t>docs/05-ai-scale/</t>
        </is>
      </c>
      <c r="M10" s="37">
        <f>IF(AND(1&gt;=$F10,1&lt;$F10+$G10),1,"")</f>
        <v/>
      </c>
      <c r="N10" s="37">
        <f>IF(AND(2&gt;=$F10,2&lt;$F10+$G10),1,"")</f>
        <v/>
      </c>
      <c r="O10" s="38">
        <f>IF(AND(3&gt;=$F10,3&lt;$F10+$G10),1,"")</f>
        <v/>
      </c>
      <c r="P10" s="37">
        <f>IF(AND(4&gt;=$F10,4&lt;$F10+$G10),1,"")</f>
        <v/>
      </c>
      <c r="Q10" s="37">
        <f>IF(AND(5&gt;=$F10,5&lt;$F10+$G10),1,"")</f>
        <v/>
      </c>
      <c r="R10" s="38">
        <f>IF(AND(6&gt;=$F10,6&lt;$F10+$G10),1,"")</f>
        <v/>
      </c>
      <c r="S10" s="37">
        <f>IF(AND(7&gt;=$F10,7&lt;$F10+$G10),1,"")</f>
        <v/>
      </c>
      <c r="T10" s="37">
        <f>IF(AND(8&gt;=$F10,8&lt;$F10+$G10),1,"")</f>
        <v/>
      </c>
      <c r="U10" s="38">
        <f>IF(AND(9&gt;=$F10,9&lt;$F10+$G10),1,"")</f>
        <v/>
      </c>
      <c r="V10" s="37">
        <f>IF(AND(10&gt;=$F10,10&lt;$F10+$G10),1,"")</f>
        <v/>
      </c>
      <c r="W10" s="37">
        <f>IF(AND(11&gt;=$F10,11&lt;$F10+$G10),1,"")</f>
        <v/>
      </c>
      <c r="X10" s="38">
        <f>IF(AND(12&gt;=$F10,12&lt;$F10+$G10),1,"")</f>
        <v/>
      </c>
      <c r="Y10" s="37">
        <f>IF(AND(13&gt;=$F10,13&lt;$F10+$G10),1,"")</f>
        <v/>
      </c>
      <c r="Z10" s="37">
        <f>IF(AND(14&gt;=$F10,14&lt;$F10+$G10),1,"")</f>
        <v/>
      </c>
    </row>
    <row r="11" ht="30" customHeight="1">
      <c r="A11" s="33" t="inlineStr">
        <is>
          <t>1.6</t>
        </is>
      </c>
      <c r="B11" s="33" t="n">
        <v>1</v>
      </c>
      <c r="C11" s="33" t="inlineStr">
        <is>
          <t>Giao diện</t>
        </is>
      </c>
      <c r="D11" s="34" t="inlineStr">
        <is>
          <t>Wireframe và luồng màn hình web + mobile</t>
        </is>
      </c>
      <c r="E11" s="35" t="inlineStr">
        <is>
          <t>Hạnh</t>
        </is>
      </c>
      <c r="F11" s="35" t="n">
        <v>1</v>
      </c>
      <c r="G11" s="35" t="n">
        <v>2</v>
      </c>
      <c r="H11" s="36">
        <f>'Tổng quan'!$C$4+7*(F11-1)</f>
        <v/>
      </c>
      <c r="I11" s="36">
        <f>H11+7*G11-1</f>
        <v/>
      </c>
      <c r="J11" s="34" t="inlineStr">
        <is>
          <t>Wireframe, IA</t>
        </is>
      </c>
      <c r="K11" s="35" t="inlineStr">
        <is>
          <t>Hoàn thành</t>
        </is>
      </c>
      <c r="L11" s="34" t="inlineStr">
        <is>
          <t>docs/ui/, docs/ui/mobile/</t>
        </is>
      </c>
      <c r="M11" s="37">
        <f>IF(AND(1&gt;=$F11,1&lt;$F11+$G11),1,"")</f>
        <v/>
      </c>
      <c r="N11" s="37">
        <f>IF(AND(2&gt;=$F11,2&lt;$F11+$G11),1,"")</f>
        <v/>
      </c>
      <c r="O11" s="38">
        <f>IF(AND(3&gt;=$F11,3&lt;$F11+$G11),1,"")</f>
        <v/>
      </c>
      <c r="P11" s="37">
        <f>IF(AND(4&gt;=$F11,4&lt;$F11+$G11),1,"")</f>
        <v/>
      </c>
      <c r="Q11" s="37">
        <f>IF(AND(5&gt;=$F11,5&lt;$F11+$G11),1,"")</f>
        <v/>
      </c>
      <c r="R11" s="38">
        <f>IF(AND(6&gt;=$F11,6&lt;$F11+$G11),1,"")</f>
        <v/>
      </c>
      <c r="S11" s="37">
        <f>IF(AND(7&gt;=$F11,7&lt;$F11+$G11),1,"")</f>
        <v/>
      </c>
      <c r="T11" s="37">
        <f>IF(AND(8&gt;=$F11,8&lt;$F11+$G11),1,"")</f>
        <v/>
      </c>
      <c r="U11" s="38">
        <f>IF(AND(9&gt;=$F11,9&lt;$F11+$G11),1,"")</f>
        <v/>
      </c>
      <c r="V11" s="37">
        <f>IF(AND(10&gt;=$F11,10&lt;$F11+$G11),1,"")</f>
        <v/>
      </c>
      <c r="W11" s="37">
        <f>IF(AND(11&gt;=$F11,11&lt;$F11+$G11),1,"")</f>
        <v/>
      </c>
      <c r="X11" s="38">
        <f>IF(AND(12&gt;=$F11,12&lt;$F11+$G11),1,"")</f>
        <v/>
      </c>
      <c r="Y11" s="37">
        <f>IF(AND(13&gt;=$F11,13&lt;$F11+$G11),1,"")</f>
        <v/>
      </c>
      <c r="Z11" s="37">
        <f>IF(AND(14&gt;=$F11,14&lt;$F11+$G11),1,"")</f>
        <v/>
      </c>
    </row>
    <row r="12" ht="30" customHeight="1">
      <c r="A12" s="33" t="inlineStr">
        <is>
          <t>1.7</t>
        </is>
      </c>
      <c r="B12" s="33" t="n">
        <v>1</v>
      </c>
      <c r="C12" s="33" t="inlineStr">
        <is>
          <t>Báo cáo</t>
        </is>
      </c>
      <c r="D12" s="34" t="inlineStr">
        <is>
          <t>Lập timeline, slide và biên bản báo cáo lần 1</t>
        </is>
      </c>
      <c r="E12" s="35" t="inlineStr">
        <is>
          <t>Hạnh</t>
        </is>
      </c>
      <c r="F12" s="35" t="n">
        <v>2</v>
      </c>
      <c r="G12" s="35" t="n">
        <v>1</v>
      </c>
      <c r="H12" s="36">
        <f>'Tổng quan'!$C$4+7*(F12-1)</f>
        <v/>
      </c>
      <c r="I12" s="36">
        <f>H12+7*G12-1</f>
        <v/>
      </c>
      <c r="J12" s="34" t="inlineStr">
        <is>
          <t>Slide lần 1, file kế hoạch</t>
        </is>
      </c>
      <c r="K12" s="35" t="inlineStr">
        <is>
          <t>Hoàn thành</t>
        </is>
      </c>
      <c r="L12" s="34" t="inlineStr">
        <is>
          <t>docs/DELIVERY-PLAN-3M.md</t>
        </is>
      </c>
      <c r="M12" s="37">
        <f>IF(AND(1&gt;=$F12,1&lt;$F12+$G12),1,"")</f>
        <v/>
      </c>
      <c r="N12" s="37">
        <f>IF(AND(2&gt;=$F12,2&lt;$F12+$G12),1,"")</f>
        <v/>
      </c>
      <c r="O12" s="38">
        <f>IF(AND(3&gt;=$F12,3&lt;$F12+$G12),1,"")</f>
        <v/>
      </c>
      <c r="P12" s="37">
        <f>IF(AND(4&gt;=$F12,4&lt;$F12+$G12),1,"")</f>
        <v/>
      </c>
      <c r="Q12" s="37">
        <f>IF(AND(5&gt;=$F12,5&lt;$F12+$G12),1,"")</f>
        <v/>
      </c>
      <c r="R12" s="38">
        <f>IF(AND(6&gt;=$F12,6&lt;$F12+$G12),1,"")</f>
        <v/>
      </c>
      <c r="S12" s="37">
        <f>IF(AND(7&gt;=$F12,7&lt;$F12+$G12),1,"")</f>
        <v/>
      </c>
      <c r="T12" s="37">
        <f>IF(AND(8&gt;=$F12,8&lt;$F12+$G12),1,"")</f>
        <v/>
      </c>
      <c r="U12" s="38">
        <f>IF(AND(9&gt;=$F12,9&lt;$F12+$G12),1,"")</f>
        <v/>
      </c>
      <c r="V12" s="37">
        <f>IF(AND(10&gt;=$F12,10&lt;$F12+$G12),1,"")</f>
        <v/>
      </c>
      <c r="W12" s="37">
        <f>IF(AND(11&gt;=$F12,11&lt;$F12+$G12),1,"")</f>
        <v/>
      </c>
      <c r="X12" s="38">
        <f>IF(AND(12&gt;=$F12,12&lt;$F12+$G12),1,"")</f>
        <v/>
      </c>
      <c r="Y12" s="37">
        <f>IF(AND(13&gt;=$F12,13&lt;$F12+$G12),1,"")</f>
        <v/>
      </c>
      <c r="Z12" s="37">
        <f>IF(AND(14&gt;=$F12,14&lt;$F12+$G12),1,"")</f>
        <v/>
      </c>
    </row>
    <row r="13">
      <c r="A13" s="39" t="inlineStr">
        <is>
          <t>Đợt 2 · Sườn cơ bản</t>
        </is>
      </c>
      <c r="B13" s="40" t="n"/>
      <c r="C13" s="40" t="n"/>
      <c r="D13" s="40" t="n"/>
      <c r="E13" s="40" t="n"/>
      <c r="F13" s="40" t="n"/>
      <c r="G13" s="40" t="n"/>
      <c r="H13" s="40" t="n"/>
      <c r="I13" s="40" t="n"/>
      <c r="J13" s="40" t="n"/>
      <c r="K13" s="40" t="n"/>
      <c r="L13" s="40" t="n"/>
      <c r="M13" s="40" t="n"/>
      <c r="N13" s="40" t="n"/>
      <c r="O13" s="41" t="n"/>
      <c r="P13" s="40" t="n"/>
      <c r="Q13" s="40" t="n"/>
      <c r="R13" s="41" t="n"/>
      <c r="S13" s="40" t="n"/>
      <c r="T13" s="40" t="n"/>
      <c r="U13" s="41" t="n"/>
      <c r="V13" s="40" t="n"/>
      <c r="W13" s="40" t="n"/>
      <c r="X13" s="41" t="n"/>
      <c r="Y13" s="40" t="n"/>
      <c r="Z13" s="40" t="n"/>
    </row>
    <row r="14" ht="30" customHeight="1">
      <c r="A14" s="33" t="inlineStr">
        <is>
          <t>2.1</t>
        </is>
      </c>
      <c r="B14" s="33" t="n">
        <v>2</v>
      </c>
      <c r="C14" s="33" t="inlineStr">
        <is>
          <t>Backend</t>
        </is>
      </c>
      <c r="D14" s="34" t="inlineStr">
        <is>
          <t>Khung monorepo backend, thư viện dùng chung (web, security, outbox, idempotency), ArchUnit</t>
        </is>
      </c>
      <c r="E14" s="35" t="inlineStr">
        <is>
          <t>Thiện</t>
        </is>
      </c>
      <c r="F14" s="35" t="n">
        <v>3</v>
      </c>
      <c r="G14" s="35" t="n">
        <v>1</v>
      </c>
      <c r="H14" s="36">
        <f>'Tổng quan'!$C$4+7*(F14-1)</f>
        <v/>
      </c>
      <c r="I14" s="36">
        <f>H14+7*G14-1</f>
        <v/>
      </c>
      <c r="J14" s="34" t="inlineStr">
        <is>
          <t>backend/platform/*</t>
        </is>
      </c>
      <c r="K14" s="35" t="inlineStr">
        <is>
          <t>Hoàn thành</t>
        </is>
      </c>
      <c r="L14" s="34" t="inlineStr">
        <is>
          <t>backend/platform/</t>
        </is>
      </c>
      <c r="M14" s="37">
        <f>IF(AND(1&gt;=$F14,1&lt;$F14+$G14),1,"")</f>
        <v/>
      </c>
      <c r="N14" s="37">
        <f>IF(AND(2&gt;=$F14,2&lt;$F14+$G14),1,"")</f>
        <v/>
      </c>
      <c r="O14" s="38">
        <f>IF(AND(3&gt;=$F14,3&lt;$F14+$G14),1,"")</f>
        <v/>
      </c>
      <c r="P14" s="37">
        <f>IF(AND(4&gt;=$F14,4&lt;$F14+$G14),1,"")</f>
        <v/>
      </c>
      <c r="Q14" s="37">
        <f>IF(AND(5&gt;=$F14,5&lt;$F14+$G14),1,"")</f>
        <v/>
      </c>
      <c r="R14" s="38">
        <f>IF(AND(6&gt;=$F14,6&lt;$F14+$G14),1,"")</f>
        <v/>
      </c>
      <c r="S14" s="37">
        <f>IF(AND(7&gt;=$F14,7&lt;$F14+$G14),1,"")</f>
        <v/>
      </c>
      <c r="T14" s="37">
        <f>IF(AND(8&gt;=$F14,8&lt;$F14+$G14),1,"")</f>
        <v/>
      </c>
      <c r="U14" s="38">
        <f>IF(AND(9&gt;=$F14,9&lt;$F14+$G14),1,"")</f>
        <v/>
      </c>
      <c r="V14" s="37">
        <f>IF(AND(10&gt;=$F14,10&lt;$F14+$G14),1,"")</f>
        <v/>
      </c>
      <c r="W14" s="37">
        <f>IF(AND(11&gt;=$F14,11&lt;$F14+$G14),1,"")</f>
        <v/>
      </c>
      <c r="X14" s="38">
        <f>IF(AND(12&gt;=$F14,12&lt;$F14+$G14),1,"")</f>
        <v/>
      </c>
      <c r="Y14" s="37">
        <f>IF(AND(13&gt;=$F14,13&lt;$F14+$G14),1,"")</f>
        <v/>
      </c>
      <c r="Z14" s="37">
        <f>IF(AND(14&gt;=$F14,14&lt;$F14+$G14),1,"")</f>
        <v/>
      </c>
    </row>
    <row r="15" ht="30" customHeight="1">
      <c r="A15" s="33" t="inlineStr">
        <is>
          <t>2.2</t>
        </is>
      </c>
      <c r="B15" s="33" t="n">
        <v>2</v>
      </c>
      <c r="C15" s="33" t="inlineStr">
        <is>
          <t>Hạ tầng</t>
        </is>
      </c>
      <c r="D15" s="34" t="inlineStr">
        <is>
          <t>Docker Compose local (PostgreSQL, Redis, RabbitMQ, Keycloak), CI GitHub Actions</t>
        </is>
      </c>
      <c r="E15" s="35" t="inlineStr">
        <is>
          <t>Thiện</t>
        </is>
      </c>
      <c r="F15" s="35" t="n">
        <v>3</v>
      </c>
      <c r="G15" s="35" t="n">
        <v>1</v>
      </c>
      <c r="H15" s="36">
        <f>'Tổng quan'!$C$4+7*(F15-1)</f>
        <v/>
      </c>
      <c r="I15" s="36">
        <f>H15+7*G15-1</f>
        <v/>
      </c>
      <c r="J15" s="34" t="inlineStr">
        <is>
          <t>deploy/compose/infra.yml, .github/workflows/backend.yml</t>
        </is>
      </c>
      <c r="K15" s="35" t="inlineStr">
        <is>
          <t>Hoàn thành</t>
        </is>
      </c>
      <c r="L15" s="34" t="inlineStr">
        <is>
          <t>deploy/compose/, .github/workflows/</t>
        </is>
      </c>
      <c r="M15" s="37">
        <f>IF(AND(1&gt;=$F15,1&lt;$F15+$G15),1,"")</f>
        <v/>
      </c>
      <c r="N15" s="37">
        <f>IF(AND(2&gt;=$F15,2&lt;$F15+$G15),1,"")</f>
        <v/>
      </c>
      <c r="O15" s="38">
        <f>IF(AND(3&gt;=$F15,3&lt;$F15+$G15),1,"")</f>
        <v/>
      </c>
      <c r="P15" s="37">
        <f>IF(AND(4&gt;=$F15,4&lt;$F15+$G15),1,"")</f>
        <v/>
      </c>
      <c r="Q15" s="37">
        <f>IF(AND(5&gt;=$F15,5&lt;$F15+$G15),1,"")</f>
        <v/>
      </c>
      <c r="R15" s="38">
        <f>IF(AND(6&gt;=$F15,6&lt;$F15+$G15),1,"")</f>
        <v/>
      </c>
      <c r="S15" s="37">
        <f>IF(AND(7&gt;=$F15,7&lt;$F15+$G15),1,"")</f>
        <v/>
      </c>
      <c r="T15" s="37">
        <f>IF(AND(8&gt;=$F15,8&lt;$F15+$G15),1,"")</f>
        <v/>
      </c>
      <c r="U15" s="38">
        <f>IF(AND(9&gt;=$F15,9&lt;$F15+$G15),1,"")</f>
        <v/>
      </c>
      <c r="V15" s="37">
        <f>IF(AND(10&gt;=$F15,10&lt;$F15+$G15),1,"")</f>
        <v/>
      </c>
      <c r="W15" s="37">
        <f>IF(AND(11&gt;=$F15,11&lt;$F15+$G15),1,"")</f>
        <v/>
      </c>
      <c r="X15" s="38">
        <f>IF(AND(12&gt;=$F15,12&lt;$F15+$G15),1,"")</f>
        <v/>
      </c>
      <c r="Y15" s="37">
        <f>IF(AND(13&gt;=$F15,13&lt;$F15+$G15),1,"")</f>
        <v/>
      </c>
      <c r="Z15" s="37">
        <f>IF(AND(14&gt;=$F15,14&lt;$F15+$G15),1,"")</f>
        <v/>
      </c>
    </row>
    <row r="16" ht="30" customHeight="1">
      <c r="A16" s="33" t="inlineStr">
        <is>
          <t>2.3</t>
        </is>
      </c>
      <c r="B16" s="33" t="n">
        <v>2</v>
      </c>
      <c r="C16" s="33" t="inlineStr">
        <is>
          <t>Backend</t>
        </is>
      </c>
      <c r="D16" s="34" t="inlineStr">
        <is>
          <t>identity-service: tổ chức, thành viên, lời mời; đăng nhập OIDC Keycloak; api-gateway</t>
        </is>
      </c>
      <c r="E16" s="35" t="inlineStr">
        <is>
          <t>Thiện</t>
        </is>
      </c>
      <c r="F16" s="35" t="n">
        <v>3</v>
      </c>
      <c r="G16" s="35" t="n">
        <v>2</v>
      </c>
      <c r="H16" s="36">
        <f>'Tổng quan'!$C$4+7*(F16-1)</f>
        <v/>
      </c>
      <c r="I16" s="36">
        <f>H16+7*G16-1</f>
        <v/>
      </c>
      <c r="J16" s="34" t="inlineStr">
        <is>
          <t>API identity, gateway</t>
        </is>
      </c>
      <c r="K16" s="35" t="inlineStr">
        <is>
          <t>Hoàn thành</t>
        </is>
      </c>
      <c r="L16" s="34" t="inlineStr">
        <is>
          <t>backend/services/identity-service, api-gateway</t>
        </is>
      </c>
      <c r="M16" s="37">
        <f>IF(AND(1&gt;=$F16,1&lt;$F16+$G16),1,"")</f>
        <v/>
      </c>
      <c r="N16" s="37">
        <f>IF(AND(2&gt;=$F16,2&lt;$F16+$G16),1,"")</f>
        <v/>
      </c>
      <c r="O16" s="38">
        <f>IF(AND(3&gt;=$F16,3&lt;$F16+$G16),1,"")</f>
        <v/>
      </c>
      <c r="P16" s="37">
        <f>IF(AND(4&gt;=$F16,4&lt;$F16+$G16),1,"")</f>
        <v/>
      </c>
      <c r="Q16" s="37">
        <f>IF(AND(5&gt;=$F16,5&lt;$F16+$G16),1,"")</f>
        <v/>
      </c>
      <c r="R16" s="38">
        <f>IF(AND(6&gt;=$F16,6&lt;$F16+$G16),1,"")</f>
        <v/>
      </c>
      <c r="S16" s="37">
        <f>IF(AND(7&gt;=$F16,7&lt;$F16+$G16),1,"")</f>
        <v/>
      </c>
      <c r="T16" s="37">
        <f>IF(AND(8&gt;=$F16,8&lt;$F16+$G16),1,"")</f>
        <v/>
      </c>
      <c r="U16" s="38">
        <f>IF(AND(9&gt;=$F16,9&lt;$F16+$G16),1,"")</f>
        <v/>
      </c>
      <c r="V16" s="37">
        <f>IF(AND(10&gt;=$F16,10&lt;$F16+$G16),1,"")</f>
        <v/>
      </c>
      <c r="W16" s="37">
        <f>IF(AND(11&gt;=$F16,11&lt;$F16+$G16),1,"")</f>
        <v/>
      </c>
      <c r="X16" s="38">
        <f>IF(AND(12&gt;=$F16,12&lt;$F16+$G16),1,"")</f>
        <v/>
      </c>
      <c r="Y16" s="37">
        <f>IF(AND(13&gt;=$F16,13&lt;$F16+$G16),1,"")</f>
        <v/>
      </c>
      <c r="Z16" s="37">
        <f>IF(AND(14&gt;=$F16,14&lt;$F16+$G16),1,"")</f>
        <v/>
      </c>
    </row>
    <row r="17" ht="30" customHeight="1">
      <c r="A17" s="33" t="inlineStr">
        <is>
          <t>2.4</t>
        </is>
      </c>
      <c r="B17" s="33" t="n">
        <v>2</v>
      </c>
      <c r="C17" s="33" t="inlineStr">
        <is>
          <t>Backend</t>
        </is>
      </c>
      <c r="D17" s="34" t="inlineStr">
        <is>
          <t>catalog-service: địa điểm, sự kiện, suất diễn, khu, hạng vé, đăng/gỡ sự kiện</t>
        </is>
      </c>
      <c r="E17" s="35" t="inlineStr">
        <is>
          <t>Thiện</t>
        </is>
      </c>
      <c r="F17" s="35" t="n">
        <v>4</v>
      </c>
      <c r="G17" s="35" t="n">
        <v>2</v>
      </c>
      <c r="H17" s="36">
        <f>'Tổng quan'!$C$4+7*(F17-1)</f>
        <v/>
      </c>
      <c r="I17" s="36">
        <f>H17+7*G17-1</f>
        <v/>
      </c>
      <c r="J17" s="34" t="inlineStr">
        <is>
          <t>API catalog</t>
        </is>
      </c>
      <c r="K17" s="35" t="inlineStr">
        <is>
          <t>Hoàn thành</t>
        </is>
      </c>
      <c r="L17" s="34" t="inlineStr">
        <is>
          <t>backend/services/catalog-service</t>
        </is>
      </c>
      <c r="M17" s="37">
        <f>IF(AND(1&gt;=$F17,1&lt;$F17+$G17),1,"")</f>
        <v/>
      </c>
      <c r="N17" s="37">
        <f>IF(AND(2&gt;=$F17,2&lt;$F17+$G17),1,"")</f>
        <v/>
      </c>
      <c r="O17" s="38">
        <f>IF(AND(3&gt;=$F17,3&lt;$F17+$G17),1,"")</f>
        <v/>
      </c>
      <c r="P17" s="37">
        <f>IF(AND(4&gt;=$F17,4&lt;$F17+$G17),1,"")</f>
        <v/>
      </c>
      <c r="Q17" s="37">
        <f>IF(AND(5&gt;=$F17,5&lt;$F17+$G17),1,"")</f>
        <v/>
      </c>
      <c r="R17" s="38">
        <f>IF(AND(6&gt;=$F17,6&lt;$F17+$G17),1,"")</f>
        <v/>
      </c>
      <c r="S17" s="37">
        <f>IF(AND(7&gt;=$F17,7&lt;$F17+$G17),1,"")</f>
        <v/>
      </c>
      <c r="T17" s="37">
        <f>IF(AND(8&gt;=$F17,8&lt;$F17+$G17),1,"")</f>
        <v/>
      </c>
      <c r="U17" s="38">
        <f>IF(AND(9&gt;=$F17,9&lt;$F17+$G17),1,"")</f>
        <v/>
      </c>
      <c r="V17" s="37">
        <f>IF(AND(10&gt;=$F17,10&lt;$F17+$G17),1,"")</f>
        <v/>
      </c>
      <c r="W17" s="37">
        <f>IF(AND(11&gt;=$F17,11&lt;$F17+$G17),1,"")</f>
        <v/>
      </c>
      <c r="X17" s="38">
        <f>IF(AND(12&gt;=$F17,12&lt;$F17+$G17),1,"")</f>
        <v/>
      </c>
      <c r="Y17" s="37">
        <f>IF(AND(13&gt;=$F17,13&lt;$F17+$G17),1,"")</f>
        <v/>
      </c>
      <c r="Z17" s="37">
        <f>IF(AND(14&gt;=$F17,14&lt;$F17+$G17),1,"")</f>
        <v/>
      </c>
    </row>
    <row r="18" ht="30" customHeight="1">
      <c r="A18" s="33" t="inlineStr">
        <is>
          <t>2.5</t>
        </is>
      </c>
      <c r="B18" s="33" t="n">
        <v>2</v>
      </c>
      <c r="C18" s="33" t="inlineStr">
        <is>
          <t>Backend</t>
        </is>
      </c>
      <c r="D18" s="34" t="inlineStr">
        <is>
          <t>inventory-service: giữ ghế bằng Redis Lua + chặn trùng ở PostgreSQL</t>
        </is>
      </c>
      <c r="E18" s="35" t="inlineStr">
        <is>
          <t>Thiện</t>
        </is>
      </c>
      <c r="F18" s="35" t="n">
        <v>4</v>
      </c>
      <c r="G18" s="35" t="n">
        <v>2</v>
      </c>
      <c r="H18" s="36">
        <f>'Tổng quan'!$C$4+7*(F18-1)</f>
        <v/>
      </c>
      <c r="I18" s="36">
        <f>H18+7*G18-1</f>
        <v/>
      </c>
      <c r="J18" s="34" t="inlineStr">
        <is>
          <t>API giữ ghế</t>
        </is>
      </c>
      <c r="K18" s="35" t="inlineStr">
        <is>
          <t>Hoàn thành</t>
        </is>
      </c>
      <c r="L18" s="34" t="inlineStr">
        <is>
          <t>backend/services/inventory-service</t>
        </is>
      </c>
      <c r="M18" s="37">
        <f>IF(AND(1&gt;=$F18,1&lt;$F18+$G18),1,"")</f>
        <v/>
      </c>
      <c r="N18" s="37">
        <f>IF(AND(2&gt;=$F18,2&lt;$F18+$G18),1,"")</f>
        <v/>
      </c>
      <c r="O18" s="38">
        <f>IF(AND(3&gt;=$F18,3&lt;$F18+$G18),1,"")</f>
        <v/>
      </c>
      <c r="P18" s="37">
        <f>IF(AND(4&gt;=$F18,4&lt;$F18+$G18),1,"")</f>
        <v/>
      </c>
      <c r="Q18" s="37">
        <f>IF(AND(5&gt;=$F18,5&lt;$F18+$G18),1,"")</f>
        <v/>
      </c>
      <c r="R18" s="38">
        <f>IF(AND(6&gt;=$F18,6&lt;$F18+$G18),1,"")</f>
        <v/>
      </c>
      <c r="S18" s="37">
        <f>IF(AND(7&gt;=$F18,7&lt;$F18+$G18),1,"")</f>
        <v/>
      </c>
      <c r="T18" s="37">
        <f>IF(AND(8&gt;=$F18,8&lt;$F18+$G18),1,"")</f>
        <v/>
      </c>
      <c r="U18" s="38">
        <f>IF(AND(9&gt;=$F18,9&lt;$F18+$G18),1,"")</f>
        <v/>
      </c>
      <c r="V18" s="37">
        <f>IF(AND(10&gt;=$F18,10&lt;$F18+$G18),1,"")</f>
        <v/>
      </c>
      <c r="W18" s="37">
        <f>IF(AND(11&gt;=$F18,11&lt;$F18+$G18),1,"")</f>
        <v/>
      </c>
      <c r="X18" s="38">
        <f>IF(AND(12&gt;=$F18,12&lt;$F18+$G18),1,"")</f>
        <v/>
      </c>
      <c r="Y18" s="37">
        <f>IF(AND(13&gt;=$F18,13&lt;$F18+$G18),1,"")</f>
        <v/>
      </c>
      <c r="Z18" s="37">
        <f>IF(AND(14&gt;=$F18,14&lt;$F18+$G18),1,"")</f>
        <v/>
      </c>
    </row>
    <row r="19" ht="30" customHeight="1">
      <c r="A19" s="33" t="inlineStr">
        <is>
          <t>2.6</t>
        </is>
      </c>
      <c r="B19" s="33" t="n">
        <v>2</v>
      </c>
      <c r="C19" s="33" t="inlineStr">
        <is>
          <t>Kiểm thử</t>
        </is>
      </c>
      <c r="D19" s="34" t="inlineStr">
        <is>
          <t>Test tích hợp Testcontainers: chống bán trùng ghế, cách ly tenant</t>
        </is>
      </c>
      <c r="E19" s="35" t="inlineStr">
        <is>
          <t>Thiện</t>
        </is>
      </c>
      <c r="F19" s="35" t="n">
        <v>5</v>
      </c>
      <c r="G19" s="35" t="n">
        <v>1</v>
      </c>
      <c r="H19" s="36">
        <f>'Tổng quan'!$C$4+7*(F19-1)</f>
        <v/>
      </c>
      <c r="I19" s="36">
        <f>H19+7*G19-1</f>
        <v/>
      </c>
      <c r="J19" s="34" t="inlineStr">
        <is>
          <t>SeatHoldConcurrencyIT, OversellBackstopIT</t>
        </is>
      </c>
      <c r="K19" s="35" t="inlineStr">
        <is>
          <t>Hoàn thành</t>
        </is>
      </c>
      <c r="L19" s="34" t="inlineStr">
        <is>
          <t>backend/services/inventory-service/src/test</t>
        </is>
      </c>
      <c r="M19" s="37">
        <f>IF(AND(1&gt;=$F19,1&lt;$F19+$G19),1,"")</f>
        <v/>
      </c>
      <c r="N19" s="37">
        <f>IF(AND(2&gt;=$F19,2&lt;$F19+$G19),1,"")</f>
        <v/>
      </c>
      <c r="O19" s="38">
        <f>IF(AND(3&gt;=$F19,3&lt;$F19+$G19),1,"")</f>
        <v/>
      </c>
      <c r="P19" s="37">
        <f>IF(AND(4&gt;=$F19,4&lt;$F19+$G19),1,"")</f>
        <v/>
      </c>
      <c r="Q19" s="37">
        <f>IF(AND(5&gt;=$F19,5&lt;$F19+$G19),1,"")</f>
        <v/>
      </c>
      <c r="R19" s="38">
        <f>IF(AND(6&gt;=$F19,6&lt;$F19+$G19),1,"")</f>
        <v/>
      </c>
      <c r="S19" s="37">
        <f>IF(AND(7&gt;=$F19,7&lt;$F19+$G19),1,"")</f>
        <v/>
      </c>
      <c r="T19" s="37">
        <f>IF(AND(8&gt;=$F19,8&lt;$F19+$G19),1,"")</f>
        <v/>
      </c>
      <c r="U19" s="38">
        <f>IF(AND(9&gt;=$F19,9&lt;$F19+$G19),1,"")</f>
        <v/>
      </c>
      <c r="V19" s="37">
        <f>IF(AND(10&gt;=$F19,10&lt;$F19+$G19),1,"")</f>
        <v/>
      </c>
      <c r="W19" s="37">
        <f>IF(AND(11&gt;=$F19,11&lt;$F19+$G19),1,"")</f>
        <v/>
      </c>
      <c r="X19" s="38">
        <f>IF(AND(12&gt;=$F19,12&lt;$F19+$G19),1,"")</f>
        <v/>
      </c>
      <c r="Y19" s="37">
        <f>IF(AND(13&gt;=$F19,13&lt;$F19+$G19),1,"")</f>
        <v/>
      </c>
      <c r="Z19" s="37">
        <f>IF(AND(14&gt;=$F19,14&lt;$F19+$G19),1,"")</f>
        <v/>
      </c>
    </row>
    <row r="20" ht="30" customHeight="1">
      <c r="A20" s="33" t="inlineStr">
        <is>
          <t>2.7</t>
        </is>
      </c>
      <c r="B20" s="33" t="n">
        <v>2</v>
      </c>
      <c r="C20" s="33" t="inlineStr">
        <is>
          <t>Frontend</t>
        </is>
      </c>
      <c r="D20" s="34" t="inlineStr">
        <is>
          <t>Monorepo frontend (pnpm, turbo), gói ui, tokens, auth, ts-sdk</t>
        </is>
      </c>
      <c r="E20" s="35" t="inlineStr">
        <is>
          <t>Hạnh</t>
        </is>
      </c>
      <c r="F20" s="35" t="n">
        <v>3</v>
      </c>
      <c r="G20" s="35" t="n">
        <v>1</v>
      </c>
      <c r="H20" s="36">
        <f>'Tổng quan'!$C$4+7*(F20-1)</f>
        <v/>
      </c>
      <c r="I20" s="36">
        <f>H20+7*G20-1</f>
        <v/>
      </c>
      <c r="J20" s="34" t="inlineStr">
        <is>
          <t>frontend/packages/*</t>
        </is>
      </c>
      <c r="K20" s="35" t="inlineStr">
        <is>
          <t>Hoàn thành</t>
        </is>
      </c>
      <c r="L20" s="34" t="inlineStr">
        <is>
          <t>frontend/packages/</t>
        </is>
      </c>
      <c r="M20" s="37">
        <f>IF(AND(1&gt;=$F20,1&lt;$F20+$G20),1,"")</f>
        <v/>
      </c>
      <c r="N20" s="37">
        <f>IF(AND(2&gt;=$F20,2&lt;$F20+$G20),1,"")</f>
        <v/>
      </c>
      <c r="O20" s="38">
        <f>IF(AND(3&gt;=$F20,3&lt;$F20+$G20),1,"")</f>
        <v/>
      </c>
      <c r="P20" s="37">
        <f>IF(AND(4&gt;=$F20,4&lt;$F20+$G20),1,"")</f>
        <v/>
      </c>
      <c r="Q20" s="37">
        <f>IF(AND(5&gt;=$F20,5&lt;$F20+$G20),1,"")</f>
        <v/>
      </c>
      <c r="R20" s="38">
        <f>IF(AND(6&gt;=$F20,6&lt;$F20+$G20),1,"")</f>
        <v/>
      </c>
      <c r="S20" s="37">
        <f>IF(AND(7&gt;=$F20,7&lt;$F20+$G20),1,"")</f>
        <v/>
      </c>
      <c r="T20" s="37">
        <f>IF(AND(8&gt;=$F20,8&lt;$F20+$G20),1,"")</f>
        <v/>
      </c>
      <c r="U20" s="38">
        <f>IF(AND(9&gt;=$F20,9&lt;$F20+$G20),1,"")</f>
        <v/>
      </c>
      <c r="V20" s="37">
        <f>IF(AND(10&gt;=$F20,10&lt;$F20+$G20),1,"")</f>
        <v/>
      </c>
      <c r="W20" s="37">
        <f>IF(AND(11&gt;=$F20,11&lt;$F20+$G20),1,"")</f>
        <v/>
      </c>
      <c r="X20" s="38">
        <f>IF(AND(12&gt;=$F20,12&lt;$F20+$G20),1,"")</f>
        <v/>
      </c>
      <c r="Y20" s="37">
        <f>IF(AND(13&gt;=$F20,13&lt;$F20+$G20),1,"")</f>
        <v/>
      </c>
      <c r="Z20" s="37">
        <f>IF(AND(14&gt;=$F20,14&lt;$F20+$G20),1,"")</f>
        <v/>
      </c>
    </row>
    <row r="21" ht="30" customHeight="1">
      <c r="A21" s="33" t="inlineStr">
        <is>
          <t>2.8</t>
        </is>
      </c>
      <c r="B21" s="33" t="n">
        <v>2</v>
      </c>
      <c r="C21" s="33" t="inlineStr">
        <is>
          <t>Frontend</t>
        </is>
      </c>
      <c r="D21" s="34" t="inlineStr">
        <is>
          <t>Web khách hàng: trang chủ, danh sách, chi tiết sự kiện, đăng nhập</t>
        </is>
      </c>
      <c r="E21" s="35" t="inlineStr">
        <is>
          <t>Hạnh</t>
        </is>
      </c>
      <c r="F21" s="35" t="n">
        <v>4</v>
      </c>
      <c r="G21" s="35" t="n">
        <v>2</v>
      </c>
      <c r="H21" s="36">
        <f>'Tổng quan'!$C$4+7*(F21-1)</f>
        <v/>
      </c>
      <c r="I21" s="36">
        <f>H21+7*G21-1</f>
        <v/>
      </c>
      <c r="J21" s="34" t="inlineStr">
        <is>
          <t>frontend/apps/web-customer</t>
        </is>
      </c>
      <c r="K21" s="35" t="inlineStr">
        <is>
          <t>Hoàn thành</t>
        </is>
      </c>
      <c r="L21" s="34" t="inlineStr">
        <is>
          <t>frontend/apps/web-customer</t>
        </is>
      </c>
      <c r="M21" s="37">
        <f>IF(AND(1&gt;=$F21,1&lt;$F21+$G21),1,"")</f>
        <v/>
      </c>
      <c r="N21" s="37">
        <f>IF(AND(2&gt;=$F21,2&lt;$F21+$G21),1,"")</f>
        <v/>
      </c>
      <c r="O21" s="38">
        <f>IF(AND(3&gt;=$F21,3&lt;$F21+$G21),1,"")</f>
        <v/>
      </c>
      <c r="P21" s="37">
        <f>IF(AND(4&gt;=$F21,4&lt;$F21+$G21),1,"")</f>
        <v/>
      </c>
      <c r="Q21" s="37">
        <f>IF(AND(5&gt;=$F21,5&lt;$F21+$G21),1,"")</f>
        <v/>
      </c>
      <c r="R21" s="38">
        <f>IF(AND(6&gt;=$F21,6&lt;$F21+$G21),1,"")</f>
        <v/>
      </c>
      <c r="S21" s="37">
        <f>IF(AND(7&gt;=$F21,7&lt;$F21+$G21),1,"")</f>
        <v/>
      </c>
      <c r="T21" s="37">
        <f>IF(AND(8&gt;=$F21,8&lt;$F21+$G21),1,"")</f>
        <v/>
      </c>
      <c r="U21" s="38">
        <f>IF(AND(9&gt;=$F21,9&lt;$F21+$G21),1,"")</f>
        <v/>
      </c>
      <c r="V21" s="37">
        <f>IF(AND(10&gt;=$F21,10&lt;$F21+$G21),1,"")</f>
        <v/>
      </c>
      <c r="W21" s="37">
        <f>IF(AND(11&gt;=$F21,11&lt;$F21+$G21),1,"")</f>
        <v/>
      </c>
      <c r="X21" s="38">
        <f>IF(AND(12&gt;=$F21,12&lt;$F21+$G21),1,"")</f>
        <v/>
      </c>
      <c r="Y21" s="37">
        <f>IF(AND(13&gt;=$F21,13&lt;$F21+$G21),1,"")</f>
        <v/>
      </c>
      <c r="Z21" s="37">
        <f>IF(AND(14&gt;=$F21,14&lt;$F21+$G21),1,"")</f>
        <v/>
      </c>
    </row>
    <row r="22" ht="30" customHeight="1">
      <c r="A22" s="33" t="inlineStr">
        <is>
          <t>2.9</t>
        </is>
      </c>
      <c r="B22" s="33" t="n">
        <v>2</v>
      </c>
      <c r="C22" s="33" t="inlineStr">
        <is>
          <t>Frontend</t>
        </is>
      </c>
      <c r="D22" s="34" t="inlineStr">
        <is>
          <t>Web quản trị: khung dashboard, tạo địa điểm và sự kiện</t>
        </is>
      </c>
      <c r="E22" s="35" t="inlineStr">
        <is>
          <t>Hạnh</t>
        </is>
      </c>
      <c r="F22" s="35" t="n">
        <v>4</v>
      </c>
      <c r="G22" s="35" t="n">
        <v>2</v>
      </c>
      <c r="H22" s="36">
        <f>'Tổng quan'!$C$4+7*(F22-1)</f>
        <v/>
      </c>
      <c r="I22" s="36">
        <f>H22+7*G22-1</f>
        <v/>
      </c>
      <c r="J22" s="34" t="inlineStr">
        <is>
          <t>frontend/apps/web-admin</t>
        </is>
      </c>
      <c r="K22" s="35" t="inlineStr">
        <is>
          <t>Hoàn thành</t>
        </is>
      </c>
      <c r="L22" s="34" t="inlineStr">
        <is>
          <t>frontend/apps/web-admin</t>
        </is>
      </c>
      <c r="M22" s="37">
        <f>IF(AND(1&gt;=$F22,1&lt;$F22+$G22),1,"")</f>
        <v/>
      </c>
      <c r="N22" s="37">
        <f>IF(AND(2&gt;=$F22,2&lt;$F22+$G22),1,"")</f>
        <v/>
      </c>
      <c r="O22" s="38">
        <f>IF(AND(3&gt;=$F22,3&lt;$F22+$G22),1,"")</f>
        <v/>
      </c>
      <c r="P22" s="37">
        <f>IF(AND(4&gt;=$F22,4&lt;$F22+$G22),1,"")</f>
        <v/>
      </c>
      <c r="Q22" s="37">
        <f>IF(AND(5&gt;=$F22,5&lt;$F22+$G22),1,"")</f>
        <v/>
      </c>
      <c r="R22" s="38">
        <f>IF(AND(6&gt;=$F22,6&lt;$F22+$G22),1,"")</f>
        <v/>
      </c>
      <c r="S22" s="37">
        <f>IF(AND(7&gt;=$F22,7&lt;$F22+$G22),1,"")</f>
        <v/>
      </c>
      <c r="T22" s="37">
        <f>IF(AND(8&gt;=$F22,8&lt;$F22+$G22),1,"")</f>
        <v/>
      </c>
      <c r="U22" s="38">
        <f>IF(AND(9&gt;=$F22,9&lt;$F22+$G22),1,"")</f>
        <v/>
      </c>
      <c r="V22" s="37">
        <f>IF(AND(10&gt;=$F22,10&lt;$F22+$G22),1,"")</f>
        <v/>
      </c>
      <c r="W22" s="37">
        <f>IF(AND(11&gt;=$F22,11&lt;$F22+$G22),1,"")</f>
        <v/>
      </c>
      <c r="X22" s="38">
        <f>IF(AND(12&gt;=$F22,12&lt;$F22+$G22),1,"")</f>
        <v/>
      </c>
      <c r="Y22" s="37">
        <f>IF(AND(13&gt;=$F22,13&lt;$F22+$G22),1,"")</f>
        <v/>
      </c>
      <c r="Z22" s="37">
        <f>IF(AND(14&gt;=$F22,14&lt;$F22+$G22),1,"")</f>
        <v/>
      </c>
    </row>
    <row r="23" ht="30" customHeight="1">
      <c r="A23" s="33" t="inlineStr">
        <is>
          <t>2.10</t>
        </is>
      </c>
      <c r="B23" s="33" t="n">
        <v>2</v>
      </c>
      <c r="C23" s="33" t="inlineStr">
        <is>
          <t>Báo cáo</t>
        </is>
      </c>
      <c r="D23" s="34" t="inlineStr">
        <is>
          <t>Slide và báo cáo lần 2 (sườn cơ bản)</t>
        </is>
      </c>
      <c r="E23" s="35" t="inlineStr">
        <is>
          <t>Hạnh</t>
        </is>
      </c>
      <c r="F23" s="35" t="n">
        <v>5</v>
      </c>
      <c r="G23" s="35" t="n">
        <v>1</v>
      </c>
      <c r="H23" s="36">
        <f>'Tổng quan'!$C$4+7*(F23-1)</f>
        <v/>
      </c>
      <c r="I23" s="36">
        <f>H23+7*G23-1</f>
        <v/>
      </c>
      <c r="J23" s="34" t="inlineStr">
        <is>
          <t>Slide lần 2</t>
        </is>
      </c>
      <c r="K23" s="35" t="inlineStr">
        <is>
          <t>Hoàn thành</t>
        </is>
      </c>
      <c r="L23" s="34" t="inlineStr"/>
      <c r="M23" s="37">
        <f>IF(AND(1&gt;=$F23,1&lt;$F23+$G23),1,"")</f>
        <v/>
      </c>
      <c r="N23" s="37">
        <f>IF(AND(2&gt;=$F23,2&lt;$F23+$G23),1,"")</f>
        <v/>
      </c>
      <c r="O23" s="38">
        <f>IF(AND(3&gt;=$F23,3&lt;$F23+$G23),1,"")</f>
        <v/>
      </c>
      <c r="P23" s="37">
        <f>IF(AND(4&gt;=$F23,4&lt;$F23+$G23),1,"")</f>
        <v/>
      </c>
      <c r="Q23" s="37">
        <f>IF(AND(5&gt;=$F23,5&lt;$F23+$G23),1,"")</f>
        <v/>
      </c>
      <c r="R23" s="38">
        <f>IF(AND(6&gt;=$F23,6&lt;$F23+$G23),1,"")</f>
        <v/>
      </c>
      <c r="S23" s="37">
        <f>IF(AND(7&gt;=$F23,7&lt;$F23+$G23),1,"")</f>
        <v/>
      </c>
      <c r="T23" s="37">
        <f>IF(AND(8&gt;=$F23,8&lt;$F23+$G23),1,"")</f>
        <v/>
      </c>
      <c r="U23" s="38">
        <f>IF(AND(9&gt;=$F23,9&lt;$F23+$G23),1,"")</f>
        <v/>
      </c>
      <c r="V23" s="37">
        <f>IF(AND(10&gt;=$F23,10&lt;$F23+$G23),1,"")</f>
        <v/>
      </c>
      <c r="W23" s="37">
        <f>IF(AND(11&gt;=$F23,11&lt;$F23+$G23),1,"")</f>
        <v/>
      </c>
      <c r="X23" s="38">
        <f>IF(AND(12&gt;=$F23,12&lt;$F23+$G23),1,"")</f>
        <v/>
      </c>
      <c r="Y23" s="37">
        <f>IF(AND(13&gt;=$F23,13&lt;$F23+$G23),1,"")</f>
        <v/>
      </c>
      <c r="Z23" s="37">
        <f>IF(AND(14&gt;=$F23,14&lt;$F23+$G23),1,"")</f>
        <v/>
      </c>
    </row>
    <row r="24">
      <c r="A24" s="42" t="inlineStr">
        <is>
          <t>Đợt 3 · Mua vé, AI chatbox, admin dashboard</t>
        </is>
      </c>
      <c r="B24" s="43" t="n"/>
      <c r="C24" s="43" t="n"/>
      <c r="D24" s="43" t="n"/>
      <c r="E24" s="43" t="n"/>
      <c r="F24" s="43" t="n"/>
      <c r="G24" s="43" t="n"/>
      <c r="H24" s="43" t="n"/>
      <c r="I24" s="43" t="n"/>
      <c r="J24" s="43" t="n"/>
      <c r="K24" s="43" t="n"/>
      <c r="L24" s="43" t="n"/>
      <c r="M24" s="43" t="n"/>
      <c r="N24" s="43" t="n"/>
      <c r="O24" s="44" t="n"/>
      <c r="P24" s="43" t="n"/>
      <c r="Q24" s="43" t="n"/>
      <c r="R24" s="44" t="n"/>
      <c r="S24" s="43" t="n"/>
      <c r="T24" s="43" t="n"/>
      <c r="U24" s="44" t="n"/>
      <c r="V24" s="43" t="n"/>
      <c r="W24" s="43" t="n"/>
      <c r="X24" s="44" t="n"/>
      <c r="Y24" s="43" t="n"/>
      <c r="Z24" s="43" t="n"/>
    </row>
    <row r="25" ht="30" customHeight="1">
      <c r="A25" s="33" t="inlineStr">
        <is>
          <t>3.1</t>
        </is>
      </c>
      <c r="B25" s="33" t="n">
        <v>3</v>
      </c>
      <c r="C25" s="33" t="inlineStr">
        <is>
          <t>Backend</t>
        </is>
      </c>
      <c r="D25" s="34" t="inlineStr">
        <is>
          <t>Luồng mua vé: ordering saga, thanh toán payOS (webhook có ký), sổ cái kép, phát vé QR</t>
        </is>
      </c>
      <c r="E25" s="35" t="inlineStr">
        <is>
          <t>Thiện</t>
        </is>
      </c>
      <c r="F25" s="35" t="n">
        <v>6</v>
      </c>
      <c r="G25" s="35" t="n">
        <v>2</v>
      </c>
      <c r="H25" s="36">
        <f>'Tổng quan'!$C$4+7*(F25-1)</f>
        <v/>
      </c>
      <c r="I25" s="36">
        <f>H25+7*G25-1</f>
        <v/>
      </c>
      <c r="J25" s="34" t="inlineStr">
        <is>
          <t>ordering, payment, ledger, ticketing service</t>
        </is>
      </c>
      <c r="K25" s="35" t="inlineStr">
        <is>
          <t>Hoàn thành</t>
        </is>
      </c>
      <c r="L25" s="34" t="inlineStr">
        <is>
          <t>backend/services/ordering|payment|ledger|ticketing-service</t>
        </is>
      </c>
      <c r="M25" s="37">
        <f>IF(AND(1&gt;=$F25,1&lt;$F25+$G25),1,"")</f>
        <v/>
      </c>
      <c r="N25" s="37">
        <f>IF(AND(2&gt;=$F25,2&lt;$F25+$G25),1,"")</f>
        <v/>
      </c>
      <c r="O25" s="38">
        <f>IF(AND(3&gt;=$F25,3&lt;$F25+$G25),1,"")</f>
        <v/>
      </c>
      <c r="P25" s="37">
        <f>IF(AND(4&gt;=$F25,4&lt;$F25+$G25),1,"")</f>
        <v/>
      </c>
      <c r="Q25" s="37">
        <f>IF(AND(5&gt;=$F25,5&lt;$F25+$G25),1,"")</f>
        <v/>
      </c>
      <c r="R25" s="38">
        <f>IF(AND(6&gt;=$F25,6&lt;$F25+$G25),1,"")</f>
        <v/>
      </c>
      <c r="S25" s="37">
        <f>IF(AND(7&gt;=$F25,7&lt;$F25+$G25),1,"")</f>
        <v/>
      </c>
      <c r="T25" s="37">
        <f>IF(AND(8&gt;=$F25,8&lt;$F25+$G25),1,"")</f>
        <v/>
      </c>
      <c r="U25" s="38">
        <f>IF(AND(9&gt;=$F25,9&lt;$F25+$G25),1,"")</f>
        <v/>
      </c>
      <c r="V25" s="37">
        <f>IF(AND(10&gt;=$F25,10&lt;$F25+$G25),1,"")</f>
        <v/>
      </c>
      <c r="W25" s="37">
        <f>IF(AND(11&gt;=$F25,11&lt;$F25+$G25),1,"")</f>
        <v/>
      </c>
      <c r="X25" s="38">
        <f>IF(AND(12&gt;=$F25,12&lt;$F25+$G25),1,"")</f>
        <v/>
      </c>
      <c r="Y25" s="37">
        <f>IF(AND(13&gt;=$F25,13&lt;$F25+$G25),1,"")</f>
        <v/>
      </c>
      <c r="Z25" s="37">
        <f>IF(AND(14&gt;=$F25,14&lt;$F25+$G25),1,"")</f>
        <v/>
      </c>
    </row>
    <row r="26" ht="30" customHeight="1">
      <c r="A26" s="33" t="inlineStr">
        <is>
          <t>3.2</t>
        </is>
      </c>
      <c r="B26" s="33" t="n">
        <v>3</v>
      </c>
      <c r="C26" s="33" t="inlineStr">
        <is>
          <t>Backend</t>
        </is>
      </c>
      <c r="D26" s="34" t="inlineStr">
        <is>
          <t>realtime-gateway (WebSocket sơ đồ ghế), notification-service (email)</t>
        </is>
      </c>
      <c r="E26" s="35" t="inlineStr">
        <is>
          <t>Thiện</t>
        </is>
      </c>
      <c r="F26" s="35" t="n">
        <v>7</v>
      </c>
      <c r="G26" s="35" t="n">
        <v>1</v>
      </c>
      <c r="H26" s="36">
        <f>'Tổng quan'!$C$4+7*(F26-1)</f>
        <v/>
      </c>
      <c r="I26" s="36">
        <f>H26+7*G26-1</f>
        <v/>
      </c>
      <c r="J26" s="34" t="inlineStr">
        <is>
          <t>Cập nhật ghế realtime, email vé</t>
        </is>
      </c>
      <c r="K26" s="35" t="inlineStr">
        <is>
          <t>Hoàn thành</t>
        </is>
      </c>
      <c r="L26" s="34" t="inlineStr">
        <is>
          <t>backend/services/realtime-gateway, notification-service</t>
        </is>
      </c>
      <c r="M26" s="37">
        <f>IF(AND(1&gt;=$F26,1&lt;$F26+$G26),1,"")</f>
        <v/>
      </c>
      <c r="N26" s="37">
        <f>IF(AND(2&gt;=$F26,2&lt;$F26+$G26),1,"")</f>
        <v/>
      </c>
      <c r="O26" s="38">
        <f>IF(AND(3&gt;=$F26,3&lt;$F26+$G26),1,"")</f>
        <v/>
      </c>
      <c r="P26" s="37">
        <f>IF(AND(4&gt;=$F26,4&lt;$F26+$G26),1,"")</f>
        <v/>
      </c>
      <c r="Q26" s="37">
        <f>IF(AND(5&gt;=$F26,5&lt;$F26+$G26),1,"")</f>
        <v/>
      </c>
      <c r="R26" s="38">
        <f>IF(AND(6&gt;=$F26,6&lt;$F26+$G26),1,"")</f>
        <v/>
      </c>
      <c r="S26" s="37">
        <f>IF(AND(7&gt;=$F26,7&lt;$F26+$G26),1,"")</f>
        <v/>
      </c>
      <c r="T26" s="37">
        <f>IF(AND(8&gt;=$F26,8&lt;$F26+$G26),1,"")</f>
        <v/>
      </c>
      <c r="U26" s="38">
        <f>IF(AND(9&gt;=$F26,9&lt;$F26+$G26),1,"")</f>
        <v/>
      </c>
      <c r="V26" s="37">
        <f>IF(AND(10&gt;=$F26,10&lt;$F26+$G26),1,"")</f>
        <v/>
      </c>
      <c r="W26" s="37">
        <f>IF(AND(11&gt;=$F26,11&lt;$F26+$G26),1,"")</f>
        <v/>
      </c>
      <c r="X26" s="38">
        <f>IF(AND(12&gt;=$F26,12&lt;$F26+$G26),1,"")</f>
        <v/>
      </c>
      <c r="Y26" s="37">
        <f>IF(AND(13&gt;=$F26,13&lt;$F26+$G26),1,"")</f>
        <v/>
      </c>
      <c r="Z26" s="37">
        <f>IF(AND(14&gt;=$F26,14&lt;$F26+$G26),1,"")</f>
        <v/>
      </c>
    </row>
    <row r="27" ht="30" customHeight="1">
      <c r="A27" s="33" t="inlineStr">
        <is>
          <t>3.3</t>
        </is>
      </c>
      <c r="B27" s="33" t="n">
        <v>3</v>
      </c>
      <c r="C27" s="33" t="inlineStr">
        <is>
          <t>AI</t>
        </is>
      </c>
      <c r="D27" s="34" t="inlineStr">
        <is>
          <t>ai-chatbox-service: RAG với pgvector, kho tri thức, nhúng Ollama/Voyage, LLM Anthropic/Ollama</t>
        </is>
      </c>
      <c r="E27" s="35" t="inlineStr">
        <is>
          <t>Thiện</t>
        </is>
      </c>
      <c r="F27" s="35" t="n">
        <v>6</v>
      </c>
      <c r="G27" s="35" t="n">
        <v>2</v>
      </c>
      <c r="H27" s="36">
        <f>'Tổng quan'!$C$4+7*(F27-1)</f>
        <v/>
      </c>
      <c r="I27" s="36">
        <f>H27+7*G27-1</f>
        <v/>
      </c>
      <c r="J27" s="34" t="inlineStr">
        <is>
          <t>Chatbot trả lời theo tri thức</t>
        </is>
      </c>
      <c r="K27" s="35" t="inlineStr">
        <is>
          <t>Hoàn thành</t>
        </is>
      </c>
      <c r="L27" s="34" t="inlineStr">
        <is>
          <t>backend/services/ai-chatbox-service</t>
        </is>
      </c>
      <c r="M27" s="37">
        <f>IF(AND(1&gt;=$F27,1&lt;$F27+$G27),1,"")</f>
        <v/>
      </c>
      <c r="N27" s="37">
        <f>IF(AND(2&gt;=$F27,2&lt;$F27+$G27),1,"")</f>
        <v/>
      </c>
      <c r="O27" s="38">
        <f>IF(AND(3&gt;=$F27,3&lt;$F27+$G27),1,"")</f>
        <v/>
      </c>
      <c r="P27" s="37">
        <f>IF(AND(4&gt;=$F27,4&lt;$F27+$G27),1,"")</f>
        <v/>
      </c>
      <c r="Q27" s="37">
        <f>IF(AND(5&gt;=$F27,5&lt;$F27+$G27),1,"")</f>
        <v/>
      </c>
      <c r="R27" s="38">
        <f>IF(AND(6&gt;=$F27,6&lt;$F27+$G27),1,"")</f>
        <v/>
      </c>
      <c r="S27" s="37">
        <f>IF(AND(7&gt;=$F27,7&lt;$F27+$G27),1,"")</f>
        <v/>
      </c>
      <c r="T27" s="37">
        <f>IF(AND(8&gt;=$F27,8&lt;$F27+$G27),1,"")</f>
        <v/>
      </c>
      <c r="U27" s="38">
        <f>IF(AND(9&gt;=$F27,9&lt;$F27+$G27),1,"")</f>
        <v/>
      </c>
      <c r="V27" s="37">
        <f>IF(AND(10&gt;=$F27,10&lt;$F27+$G27),1,"")</f>
        <v/>
      </c>
      <c r="W27" s="37">
        <f>IF(AND(11&gt;=$F27,11&lt;$F27+$G27),1,"")</f>
        <v/>
      </c>
      <c r="X27" s="38">
        <f>IF(AND(12&gt;=$F27,12&lt;$F27+$G27),1,"")</f>
        <v/>
      </c>
      <c r="Y27" s="37">
        <f>IF(AND(13&gt;=$F27,13&lt;$F27+$G27),1,"")</f>
        <v/>
      </c>
      <c r="Z27" s="37">
        <f>IF(AND(14&gt;=$F27,14&lt;$F27+$G27),1,"")</f>
        <v/>
      </c>
    </row>
    <row r="28" ht="30" customHeight="1">
      <c r="A28" s="33" t="inlineStr">
        <is>
          <t>3.4</t>
        </is>
      </c>
      <c r="B28" s="33" t="n">
        <v>3</v>
      </c>
      <c r="C28" s="33" t="inlineStr">
        <is>
          <t>AI</t>
        </is>
      </c>
      <c r="D28" s="34" t="inlineStr">
        <is>
          <t>Chatbot gọi công cụ (tra đơn, sự kiện), chuyển nhân viên, kiểm câu trả lời có nguồn</t>
        </is>
      </c>
      <c r="E28" s="35" t="inlineStr">
        <is>
          <t>Thiện</t>
        </is>
      </c>
      <c r="F28" s="35" t="n">
        <v>7</v>
      </c>
      <c r="G28" s="35" t="n">
        <v>2</v>
      </c>
      <c r="H28" s="36">
        <f>'Tổng quan'!$C$4+7*(F28-1)</f>
        <v/>
      </c>
      <c r="I28" s="36">
        <f>H28+7*G28-1</f>
        <v/>
      </c>
      <c r="J28" s="34" t="inlineStr">
        <is>
          <t>Tool-calling, handoff, grounding</t>
        </is>
      </c>
      <c r="K28" s="35" t="inlineStr">
        <is>
          <t>Hoàn thành</t>
        </is>
      </c>
      <c r="L28" s="34" t="inlineStr">
        <is>
          <t>ai-chatbox-service/application/agent, handoff</t>
        </is>
      </c>
      <c r="M28" s="37">
        <f>IF(AND(1&gt;=$F28,1&lt;$F28+$G28),1,"")</f>
        <v/>
      </c>
      <c r="N28" s="37">
        <f>IF(AND(2&gt;=$F28,2&lt;$F28+$G28),1,"")</f>
        <v/>
      </c>
      <c r="O28" s="38">
        <f>IF(AND(3&gt;=$F28,3&lt;$F28+$G28),1,"")</f>
        <v/>
      </c>
      <c r="P28" s="37">
        <f>IF(AND(4&gt;=$F28,4&lt;$F28+$G28),1,"")</f>
        <v/>
      </c>
      <c r="Q28" s="37">
        <f>IF(AND(5&gt;=$F28,5&lt;$F28+$G28),1,"")</f>
        <v/>
      </c>
      <c r="R28" s="38">
        <f>IF(AND(6&gt;=$F28,6&lt;$F28+$G28),1,"")</f>
        <v/>
      </c>
      <c r="S28" s="37">
        <f>IF(AND(7&gt;=$F28,7&lt;$F28+$G28),1,"")</f>
        <v/>
      </c>
      <c r="T28" s="37">
        <f>IF(AND(8&gt;=$F28,8&lt;$F28+$G28),1,"")</f>
        <v/>
      </c>
      <c r="U28" s="38">
        <f>IF(AND(9&gt;=$F28,9&lt;$F28+$G28),1,"")</f>
        <v/>
      </c>
      <c r="V28" s="37">
        <f>IF(AND(10&gt;=$F28,10&lt;$F28+$G28),1,"")</f>
        <v/>
      </c>
      <c r="W28" s="37">
        <f>IF(AND(11&gt;=$F28,11&lt;$F28+$G28),1,"")</f>
        <v/>
      </c>
      <c r="X28" s="38">
        <f>IF(AND(12&gt;=$F28,12&lt;$F28+$G28),1,"")</f>
        <v/>
      </c>
      <c r="Y28" s="37">
        <f>IF(AND(13&gt;=$F28,13&lt;$F28+$G28),1,"")</f>
        <v/>
      </c>
      <c r="Z28" s="37">
        <f>IF(AND(14&gt;=$F28,14&lt;$F28+$G28),1,"")</f>
        <v/>
      </c>
    </row>
    <row r="29" ht="30" customHeight="1">
      <c r="A29" s="33" t="inlineStr">
        <is>
          <t>3.5</t>
        </is>
      </c>
      <c r="B29" s="33" t="n">
        <v>3</v>
      </c>
      <c r="C29" s="33" t="inlineStr">
        <is>
          <t>Kiểm thử</t>
        </is>
      </c>
      <c r="D29" s="34" t="inlineStr">
        <is>
          <t>Test tích hợp luồng tiền: saga, webhook payOS, sổ cái bất biến</t>
        </is>
      </c>
      <c r="E29" s="35" t="inlineStr">
        <is>
          <t>Thiện</t>
        </is>
      </c>
      <c r="F29" s="35" t="n">
        <v>8</v>
      </c>
      <c r="G29" s="35" t="n">
        <v>1</v>
      </c>
      <c r="H29" s="36">
        <f>'Tổng quan'!$C$4+7*(F29-1)</f>
        <v/>
      </c>
      <c r="I29" s="36">
        <f>H29+7*G29-1</f>
        <v/>
      </c>
      <c r="J29" s="34" t="inlineStr">
        <is>
          <t>CheckoutSagaIT, PayosPaymentFlowIT, LedgerInvariantIT</t>
        </is>
      </c>
      <c r="K29" s="35" t="inlineStr">
        <is>
          <t>Hoàn thành</t>
        </is>
      </c>
      <c r="L29" s="34" t="inlineStr">
        <is>
          <t>backend/services/*/src/test</t>
        </is>
      </c>
      <c r="M29" s="37">
        <f>IF(AND(1&gt;=$F29,1&lt;$F29+$G29),1,"")</f>
        <v/>
      </c>
      <c r="N29" s="37">
        <f>IF(AND(2&gt;=$F29,2&lt;$F29+$G29),1,"")</f>
        <v/>
      </c>
      <c r="O29" s="38">
        <f>IF(AND(3&gt;=$F29,3&lt;$F29+$G29),1,"")</f>
        <v/>
      </c>
      <c r="P29" s="37">
        <f>IF(AND(4&gt;=$F29,4&lt;$F29+$G29),1,"")</f>
        <v/>
      </c>
      <c r="Q29" s="37">
        <f>IF(AND(5&gt;=$F29,5&lt;$F29+$G29),1,"")</f>
        <v/>
      </c>
      <c r="R29" s="38">
        <f>IF(AND(6&gt;=$F29,6&lt;$F29+$G29),1,"")</f>
        <v/>
      </c>
      <c r="S29" s="37">
        <f>IF(AND(7&gt;=$F29,7&lt;$F29+$G29),1,"")</f>
        <v/>
      </c>
      <c r="T29" s="37">
        <f>IF(AND(8&gt;=$F29,8&lt;$F29+$G29),1,"")</f>
        <v/>
      </c>
      <c r="U29" s="38">
        <f>IF(AND(9&gt;=$F29,9&lt;$F29+$G29),1,"")</f>
        <v/>
      </c>
      <c r="V29" s="37">
        <f>IF(AND(10&gt;=$F29,10&lt;$F29+$G29),1,"")</f>
        <v/>
      </c>
      <c r="W29" s="37">
        <f>IF(AND(11&gt;=$F29,11&lt;$F29+$G29),1,"")</f>
        <v/>
      </c>
      <c r="X29" s="38">
        <f>IF(AND(12&gt;=$F29,12&lt;$F29+$G29),1,"")</f>
        <v/>
      </c>
      <c r="Y29" s="37">
        <f>IF(AND(13&gt;=$F29,13&lt;$F29+$G29),1,"")</f>
        <v/>
      </c>
      <c r="Z29" s="37">
        <f>IF(AND(14&gt;=$F29,14&lt;$F29+$G29),1,"")</f>
        <v/>
      </c>
    </row>
    <row r="30" ht="30" customHeight="1">
      <c r="A30" s="33" t="inlineStr">
        <is>
          <t>3.6</t>
        </is>
      </c>
      <c r="B30" s="33" t="n">
        <v>3</v>
      </c>
      <c r="C30" s="33" t="inlineStr">
        <is>
          <t>Frontend</t>
        </is>
      </c>
      <c r="D30" s="34" t="inlineStr">
        <is>
          <t>Web khách hàng: chọn ghế, thanh toán, vé của tôi; khung chat hỗ trợ</t>
        </is>
      </c>
      <c r="E30" s="35" t="inlineStr">
        <is>
          <t>Hạnh</t>
        </is>
      </c>
      <c r="F30" s="35" t="n">
        <v>6</v>
      </c>
      <c r="G30" s="35" t="n">
        <v>2</v>
      </c>
      <c r="H30" s="36">
        <f>'Tổng quan'!$C$4+7*(F30-1)</f>
        <v/>
      </c>
      <c r="I30" s="36">
        <f>H30+7*G30-1</f>
        <v/>
      </c>
      <c r="J30" s="34" t="inlineStr">
        <is>
          <t>SeatPicker, PaymentPanel, SupportChat</t>
        </is>
      </c>
      <c r="K30" s="35" t="inlineStr">
        <is>
          <t>Hoàn thành</t>
        </is>
      </c>
      <c r="L30" s="34" t="inlineStr">
        <is>
          <t>frontend/apps/web-customer/src/components</t>
        </is>
      </c>
      <c r="M30" s="37">
        <f>IF(AND(1&gt;=$F30,1&lt;$F30+$G30),1,"")</f>
        <v/>
      </c>
      <c r="N30" s="37">
        <f>IF(AND(2&gt;=$F30,2&lt;$F30+$G30),1,"")</f>
        <v/>
      </c>
      <c r="O30" s="38">
        <f>IF(AND(3&gt;=$F30,3&lt;$F30+$G30),1,"")</f>
        <v/>
      </c>
      <c r="P30" s="37">
        <f>IF(AND(4&gt;=$F30,4&lt;$F30+$G30),1,"")</f>
        <v/>
      </c>
      <c r="Q30" s="37">
        <f>IF(AND(5&gt;=$F30,5&lt;$F30+$G30),1,"")</f>
        <v/>
      </c>
      <c r="R30" s="38">
        <f>IF(AND(6&gt;=$F30,6&lt;$F30+$G30),1,"")</f>
        <v/>
      </c>
      <c r="S30" s="37">
        <f>IF(AND(7&gt;=$F30,7&lt;$F30+$G30),1,"")</f>
        <v/>
      </c>
      <c r="T30" s="37">
        <f>IF(AND(8&gt;=$F30,8&lt;$F30+$G30),1,"")</f>
        <v/>
      </c>
      <c r="U30" s="38">
        <f>IF(AND(9&gt;=$F30,9&lt;$F30+$G30),1,"")</f>
        <v/>
      </c>
      <c r="V30" s="37">
        <f>IF(AND(10&gt;=$F30,10&lt;$F30+$G30),1,"")</f>
        <v/>
      </c>
      <c r="W30" s="37">
        <f>IF(AND(11&gt;=$F30,11&lt;$F30+$G30),1,"")</f>
        <v/>
      </c>
      <c r="X30" s="38">
        <f>IF(AND(12&gt;=$F30,12&lt;$F30+$G30),1,"")</f>
        <v/>
      </c>
      <c r="Y30" s="37">
        <f>IF(AND(13&gt;=$F30,13&lt;$F30+$G30),1,"")</f>
        <v/>
      </c>
      <c r="Z30" s="37">
        <f>IF(AND(14&gt;=$F30,14&lt;$F30+$G30),1,"")</f>
        <v/>
      </c>
    </row>
    <row r="31" ht="30" customHeight="1">
      <c r="A31" s="33" t="inlineStr">
        <is>
          <t>3.7</t>
        </is>
      </c>
      <c r="B31" s="33" t="n">
        <v>3</v>
      </c>
      <c r="C31" s="33" t="inlineStr">
        <is>
          <t>Frontend</t>
        </is>
      </c>
      <c r="D31" s="34" t="inlineStr">
        <is>
          <t>Sửa giao diện admin dashboard: tổng quan, doanh thu, trình sửa sơ đồ ghế</t>
        </is>
      </c>
      <c r="E31" s="35" t="inlineStr">
        <is>
          <t>Hạnh</t>
        </is>
      </c>
      <c r="F31" s="35" t="n">
        <v>7</v>
      </c>
      <c r="G31" s="35" t="n">
        <v>2</v>
      </c>
      <c r="H31" s="36">
        <f>'Tổng quan'!$C$4+7*(F31-1)</f>
        <v/>
      </c>
      <c r="I31" s="36">
        <f>H31+7*G31-1</f>
        <v/>
      </c>
      <c r="J31" s="34" t="inlineStr">
        <is>
          <t>Dashboard mới, FloorPlanEditor</t>
        </is>
      </c>
      <c r="K31" s="35" t="inlineStr">
        <is>
          <t>Hoàn thành</t>
        </is>
      </c>
      <c r="L31" s="34" t="inlineStr">
        <is>
          <t>frontend/apps/web-admin</t>
        </is>
      </c>
      <c r="M31" s="37">
        <f>IF(AND(1&gt;=$F31,1&lt;$F31+$G31),1,"")</f>
        <v/>
      </c>
      <c r="N31" s="37">
        <f>IF(AND(2&gt;=$F31,2&lt;$F31+$G31),1,"")</f>
        <v/>
      </c>
      <c r="O31" s="38">
        <f>IF(AND(3&gt;=$F31,3&lt;$F31+$G31),1,"")</f>
        <v/>
      </c>
      <c r="P31" s="37">
        <f>IF(AND(4&gt;=$F31,4&lt;$F31+$G31),1,"")</f>
        <v/>
      </c>
      <c r="Q31" s="37">
        <f>IF(AND(5&gt;=$F31,5&lt;$F31+$G31),1,"")</f>
        <v/>
      </c>
      <c r="R31" s="38">
        <f>IF(AND(6&gt;=$F31,6&lt;$F31+$G31),1,"")</f>
        <v/>
      </c>
      <c r="S31" s="37">
        <f>IF(AND(7&gt;=$F31,7&lt;$F31+$G31),1,"")</f>
        <v/>
      </c>
      <c r="T31" s="37">
        <f>IF(AND(8&gt;=$F31,8&lt;$F31+$G31),1,"")</f>
        <v/>
      </c>
      <c r="U31" s="38">
        <f>IF(AND(9&gt;=$F31,9&lt;$F31+$G31),1,"")</f>
        <v/>
      </c>
      <c r="V31" s="37">
        <f>IF(AND(10&gt;=$F31,10&lt;$F31+$G31),1,"")</f>
        <v/>
      </c>
      <c r="W31" s="37">
        <f>IF(AND(11&gt;=$F31,11&lt;$F31+$G31),1,"")</f>
        <v/>
      </c>
      <c r="X31" s="38">
        <f>IF(AND(12&gt;=$F31,12&lt;$F31+$G31),1,"")</f>
        <v/>
      </c>
      <c r="Y31" s="37">
        <f>IF(AND(13&gt;=$F31,13&lt;$F31+$G31),1,"")</f>
        <v/>
      </c>
      <c r="Z31" s="37">
        <f>IF(AND(14&gt;=$F31,14&lt;$F31+$G31),1,"")</f>
        <v/>
      </c>
    </row>
    <row r="32" ht="30" customHeight="1">
      <c r="A32" s="33" t="inlineStr">
        <is>
          <t>3.8</t>
        </is>
      </c>
      <c r="B32" s="33" t="n">
        <v>3</v>
      </c>
      <c r="C32" s="33" t="inlineStr">
        <is>
          <t>Frontend</t>
        </is>
      </c>
      <c r="D32" s="34" t="inlineStr">
        <is>
          <t>Web quản trị nền tảng (kho tri thức AI, phiếu chuyển nhân viên) và web soát vé</t>
        </is>
      </c>
      <c r="E32" s="35" t="inlineStr">
        <is>
          <t>Hạnh</t>
        </is>
      </c>
      <c r="F32" s="35" t="n">
        <v>8</v>
      </c>
      <c r="G32" s="35" t="n">
        <v>1</v>
      </c>
      <c r="H32" s="36">
        <f>'Tổng quan'!$C$4+7*(F32-1)</f>
        <v/>
      </c>
      <c r="I32" s="36">
        <f>H32+7*G32-1</f>
        <v/>
      </c>
      <c r="J32" s="34" t="inlineStr">
        <is>
          <t>web-platform, web-scanner</t>
        </is>
      </c>
      <c r="K32" s="35" t="inlineStr">
        <is>
          <t>Hoàn thành</t>
        </is>
      </c>
      <c r="L32" s="34" t="inlineStr">
        <is>
          <t>frontend/apps/web-platform, web-scanner</t>
        </is>
      </c>
      <c r="M32" s="37">
        <f>IF(AND(1&gt;=$F32,1&lt;$F32+$G32),1,"")</f>
        <v/>
      </c>
      <c r="N32" s="37">
        <f>IF(AND(2&gt;=$F32,2&lt;$F32+$G32),1,"")</f>
        <v/>
      </c>
      <c r="O32" s="38">
        <f>IF(AND(3&gt;=$F32,3&lt;$F32+$G32),1,"")</f>
        <v/>
      </c>
      <c r="P32" s="37">
        <f>IF(AND(4&gt;=$F32,4&lt;$F32+$G32),1,"")</f>
        <v/>
      </c>
      <c r="Q32" s="37">
        <f>IF(AND(5&gt;=$F32,5&lt;$F32+$G32),1,"")</f>
        <v/>
      </c>
      <c r="R32" s="38">
        <f>IF(AND(6&gt;=$F32,6&lt;$F32+$G32),1,"")</f>
        <v/>
      </c>
      <c r="S32" s="37">
        <f>IF(AND(7&gt;=$F32,7&lt;$F32+$G32),1,"")</f>
        <v/>
      </c>
      <c r="T32" s="37">
        <f>IF(AND(8&gt;=$F32,8&lt;$F32+$G32),1,"")</f>
        <v/>
      </c>
      <c r="U32" s="38">
        <f>IF(AND(9&gt;=$F32,9&lt;$F32+$G32),1,"")</f>
        <v/>
      </c>
      <c r="V32" s="37">
        <f>IF(AND(10&gt;=$F32,10&lt;$F32+$G32),1,"")</f>
        <v/>
      </c>
      <c r="W32" s="37">
        <f>IF(AND(11&gt;=$F32,11&lt;$F32+$G32),1,"")</f>
        <v/>
      </c>
      <c r="X32" s="38">
        <f>IF(AND(12&gt;=$F32,12&lt;$F32+$G32),1,"")</f>
        <v/>
      </c>
      <c r="Y32" s="37">
        <f>IF(AND(13&gt;=$F32,13&lt;$F32+$G32),1,"")</f>
        <v/>
      </c>
      <c r="Z32" s="37">
        <f>IF(AND(14&gt;=$F32,14&lt;$F32+$G32),1,"")</f>
        <v/>
      </c>
    </row>
    <row r="33" ht="30" customHeight="1">
      <c r="A33" s="33" t="inlineStr">
        <is>
          <t>3.9</t>
        </is>
      </c>
      <c r="B33" s="33" t="n">
        <v>3</v>
      </c>
      <c r="C33" s="33" t="inlineStr">
        <is>
          <t>Báo cáo</t>
        </is>
      </c>
      <c r="D33" s="34" t="inlineStr">
        <is>
          <t>Slide và báo cáo lần 3 (AI chatbox, dashboard)</t>
        </is>
      </c>
      <c r="E33" s="35" t="inlineStr">
        <is>
          <t>Hạnh</t>
        </is>
      </c>
      <c r="F33" s="35" t="n">
        <v>8</v>
      </c>
      <c r="G33" s="35" t="n">
        <v>1</v>
      </c>
      <c r="H33" s="36">
        <f>'Tổng quan'!$C$4+7*(F33-1)</f>
        <v/>
      </c>
      <c r="I33" s="36">
        <f>H33+7*G33-1</f>
        <v/>
      </c>
      <c r="J33" s="34" t="inlineStr">
        <is>
          <t>Slide lần 3</t>
        </is>
      </c>
      <c r="K33" s="35" t="inlineStr">
        <is>
          <t>Hoàn thành</t>
        </is>
      </c>
      <c r="L33" s="34" t="inlineStr"/>
      <c r="M33" s="37">
        <f>IF(AND(1&gt;=$F33,1&lt;$F33+$G33),1,"")</f>
        <v/>
      </c>
      <c r="N33" s="37">
        <f>IF(AND(2&gt;=$F33,2&lt;$F33+$G33),1,"")</f>
        <v/>
      </c>
      <c r="O33" s="38">
        <f>IF(AND(3&gt;=$F33,3&lt;$F33+$G33),1,"")</f>
        <v/>
      </c>
      <c r="P33" s="37">
        <f>IF(AND(4&gt;=$F33,4&lt;$F33+$G33),1,"")</f>
        <v/>
      </c>
      <c r="Q33" s="37">
        <f>IF(AND(5&gt;=$F33,5&lt;$F33+$G33),1,"")</f>
        <v/>
      </c>
      <c r="R33" s="38">
        <f>IF(AND(6&gt;=$F33,6&lt;$F33+$G33),1,"")</f>
        <v/>
      </c>
      <c r="S33" s="37">
        <f>IF(AND(7&gt;=$F33,7&lt;$F33+$G33),1,"")</f>
        <v/>
      </c>
      <c r="T33" s="37">
        <f>IF(AND(8&gt;=$F33,8&lt;$F33+$G33),1,"")</f>
        <v/>
      </c>
      <c r="U33" s="38">
        <f>IF(AND(9&gt;=$F33,9&lt;$F33+$G33),1,"")</f>
        <v/>
      </c>
      <c r="V33" s="37">
        <f>IF(AND(10&gt;=$F33,10&lt;$F33+$G33),1,"")</f>
        <v/>
      </c>
      <c r="W33" s="37">
        <f>IF(AND(11&gt;=$F33,11&lt;$F33+$G33),1,"")</f>
        <v/>
      </c>
      <c r="X33" s="38">
        <f>IF(AND(12&gt;=$F33,12&lt;$F33+$G33),1,"")</f>
        <v/>
      </c>
      <c r="Y33" s="37">
        <f>IF(AND(13&gt;=$F33,13&lt;$F33+$G33),1,"")</f>
        <v/>
      </c>
      <c r="Z33" s="37">
        <f>IF(AND(14&gt;=$F33,14&lt;$F33+$G33),1,"")</f>
        <v/>
      </c>
    </row>
    <row r="34">
      <c r="A34" s="45" t="inlineStr">
        <is>
          <t>Đợt 4 · Mobile, xuất xlsx, deploy</t>
        </is>
      </c>
      <c r="B34" s="46" t="n"/>
      <c r="C34" s="46" t="n"/>
      <c r="D34" s="46" t="n"/>
      <c r="E34" s="46" t="n"/>
      <c r="F34" s="46" t="n"/>
      <c r="G34" s="46" t="n"/>
      <c r="H34" s="46" t="n"/>
      <c r="I34" s="46" t="n"/>
      <c r="J34" s="46" t="n"/>
      <c r="K34" s="46" t="n"/>
      <c r="L34" s="46" t="n"/>
      <c r="M34" s="46" t="n"/>
      <c r="N34" s="46" t="n"/>
      <c r="O34" s="47" t="n"/>
      <c r="P34" s="46" t="n"/>
      <c r="Q34" s="46" t="n"/>
      <c r="R34" s="47" t="n"/>
      <c r="S34" s="46" t="n"/>
      <c r="T34" s="46" t="n"/>
      <c r="U34" s="47" t="n"/>
      <c r="V34" s="46" t="n"/>
      <c r="W34" s="46" t="n"/>
      <c r="X34" s="47" t="n"/>
      <c r="Y34" s="46" t="n"/>
      <c r="Z34" s="46" t="n"/>
    </row>
    <row r="35" ht="30" customHeight="1">
      <c r="A35" s="33" t="inlineStr">
        <is>
          <t>4.1</t>
        </is>
      </c>
      <c r="B35" s="33" t="n">
        <v>4</v>
      </c>
      <c r="C35" s="33" t="inlineStr">
        <is>
          <t>Mobile</t>
        </is>
      </c>
      <c r="D35" s="34" t="inlineStr">
        <is>
          <t>App khách hàng (Expo): đặt vé, thanh toán, vé, tài khoản</t>
        </is>
      </c>
      <c r="E35" s="35" t="inlineStr">
        <is>
          <t>Hạnh</t>
        </is>
      </c>
      <c r="F35" s="35" t="n">
        <v>9</v>
      </c>
      <c r="G35" s="35" t="n">
        <v>2</v>
      </c>
      <c r="H35" s="36">
        <f>'Tổng quan'!$C$4+7*(F35-1)</f>
        <v/>
      </c>
      <c r="I35" s="36">
        <f>H35+7*G35-1</f>
        <v/>
      </c>
      <c r="J35" s="34" t="inlineStr">
        <is>
          <t>mobile-customer</t>
        </is>
      </c>
      <c r="K35" s="35" t="inlineStr">
        <is>
          <t>Hoàn thành</t>
        </is>
      </c>
      <c r="L35" s="34" t="inlineStr">
        <is>
          <t>frontend/apps/mobile-customer</t>
        </is>
      </c>
      <c r="M35" s="37">
        <f>IF(AND(1&gt;=$F35,1&lt;$F35+$G35),1,"")</f>
        <v/>
      </c>
      <c r="N35" s="37">
        <f>IF(AND(2&gt;=$F35,2&lt;$F35+$G35),1,"")</f>
        <v/>
      </c>
      <c r="O35" s="38">
        <f>IF(AND(3&gt;=$F35,3&lt;$F35+$G35),1,"")</f>
        <v/>
      </c>
      <c r="P35" s="37">
        <f>IF(AND(4&gt;=$F35,4&lt;$F35+$G35),1,"")</f>
        <v/>
      </c>
      <c r="Q35" s="37">
        <f>IF(AND(5&gt;=$F35,5&lt;$F35+$G35),1,"")</f>
        <v/>
      </c>
      <c r="R35" s="38">
        <f>IF(AND(6&gt;=$F35,6&lt;$F35+$G35),1,"")</f>
        <v/>
      </c>
      <c r="S35" s="37">
        <f>IF(AND(7&gt;=$F35,7&lt;$F35+$G35),1,"")</f>
        <v/>
      </c>
      <c r="T35" s="37">
        <f>IF(AND(8&gt;=$F35,8&lt;$F35+$G35),1,"")</f>
        <v/>
      </c>
      <c r="U35" s="38">
        <f>IF(AND(9&gt;=$F35,9&lt;$F35+$G35),1,"")</f>
        <v/>
      </c>
      <c r="V35" s="37">
        <f>IF(AND(10&gt;=$F35,10&lt;$F35+$G35),1,"")</f>
        <v/>
      </c>
      <c r="W35" s="37">
        <f>IF(AND(11&gt;=$F35,11&lt;$F35+$G35),1,"")</f>
        <v/>
      </c>
      <c r="X35" s="38">
        <f>IF(AND(12&gt;=$F35,12&lt;$F35+$G35),1,"")</f>
        <v/>
      </c>
      <c r="Y35" s="37">
        <f>IF(AND(13&gt;=$F35,13&lt;$F35+$G35),1,"")</f>
        <v/>
      </c>
      <c r="Z35" s="37">
        <f>IF(AND(14&gt;=$F35,14&lt;$F35+$G35),1,"")</f>
        <v/>
      </c>
    </row>
    <row r="36" ht="30" customHeight="1">
      <c r="A36" s="33" t="inlineStr">
        <is>
          <t>4.2</t>
        </is>
      </c>
      <c r="B36" s="33" t="n">
        <v>4</v>
      </c>
      <c r="C36" s="33" t="inlineStr">
        <is>
          <t>Mobile</t>
        </is>
      </c>
      <c r="D36" s="34" t="inlineStr">
        <is>
          <t>App soát vé (camera), soát vào/ra/vào lại, mời nhân viên soát vé</t>
        </is>
      </c>
      <c r="E36" s="35" t="inlineStr">
        <is>
          <t>Hạnh</t>
        </is>
      </c>
      <c r="F36" s="35" t="n">
        <v>10</v>
      </c>
      <c r="G36" s="35" t="n">
        <v>2</v>
      </c>
      <c r="H36" s="36">
        <f>'Tổng quan'!$C$4+7*(F36-1)</f>
        <v/>
      </c>
      <c r="I36" s="36">
        <f>H36+7*G36-1</f>
        <v/>
      </c>
      <c r="J36" s="34" t="inlineStr">
        <is>
          <t>mobile-scanner</t>
        </is>
      </c>
      <c r="K36" s="35" t="inlineStr">
        <is>
          <t>Hoàn thành</t>
        </is>
      </c>
      <c r="L36" s="34" t="inlineStr">
        <is>
          <t>frontend/apps/mobile-scanner</t>
        </is>
      </c>
      <c r="M36" s="37">
        <f>IF(AND(1&gt;=$F36,1&lt;$F36+$G36),1,"")</f>
        <v/>
      </c>
      <c r="N36" s="37">
        <f>IF(AND(2&gt;=$F36,2&lt;$F36+$G36),1,"")</f>
        <v/>
      </c>
      <c r="O36" s="38">
        <f>IF(AND(3&gt;=$F36,3&lt;$F36+$G36),1,"")</f>
        <v/>
      </c>
      <c r="P36" s="37">
        <f>IF(AND(4&gt;=$F36,4&lt;$F36+$G36),1,"")</f>
        <v/>
      </c>
      <c r="Q36" s="37">
        <f>IF(AND(5&gt;=$F36,5&lt;$F36+$G36),1,"")</f>
        <v/>
      </c>
      <c r="R36" s="38">
        <f>IF(AND(6&gt;=$F36,6&lt;$F36+$G36),1,"")</f>
        <v/>
      </c>
      <c r="S36" s="37">
        <f>IF(AND(7&gt;=$F36,7&lt;$F36+$G36),1,"")</f>
        <v/>
      </c>
      <c r="T36" s="37">
        <f>IF(AND(8&gt;=$F36,8&lt;$F36+$G36),1,"")</f>
        <v/>
      </c>
      <c r="U36" s="38">
        <f>IF(AND(9&gt;=$F36,9&lt;$F36+$G36),1,"")</f>
        <v/>
      </c>
      <c r="V36" s="37">
        <f>IF(AND(10&gt;=$F36,10&lt;$F36+$G36),1,"")</f>
        <v/>
      </c>
      <c r="W36" s="37">
        <f>IF(AND(11&gt;=$F36,11&lt;$F36+$G36),1,"")</f>
        <v/>
      </c>
      <c r="X36" s="38">
        <f>IF(AND(12&gt;=$F36,12&lt;$F36+$G36),1,"")</f>
        <v/>
      </c>
      <c r="Y36" s="37">
        <f>IF(AND(13&gt;=$F36,13&lt;$F36+$G36),1,"")</f>
        <v/>
      </c>
      <c r="Z36" s="37">
        <f>IF(AND(14&gt;=$F36,14&lt;$F36+$G36),1,"")</f>
        <v/>
      </c>
    </row>
    <row r="37" ht="30" customHeight="1">
      <c r="A37" s="33" t="inlineStr">
        <is>
          <t>4.3</t>
        </is>
      </c>
      <c r="B37" s="33" t="n">
        <v>4</v>
      </c>
      <c r="C37" s="33" t="inlineStr">
        <is>
          <t>Mobile</t>
        </is>
      </c>
      <c r="D37" s="34" t="inlineStr">
        <is>
          <t>App ban tổ chức và app quản trị nền tảng</t>
        </is>
      </c>
      <c r="E37" s="35" t="inlineStr">
        <is>
          <t>Hạnh</t>
        </is>
      </c>
      <c r="F37" s="35" t="n">
        <v>10</v>
      </c>
      <c r="G37" s="35" t="n">
        <v>2</v>
      </c>
      <c r="H37" s="36">
        <f>'Tổng quan'!$C$4+7*(F37-1)</f>
        <v/>
      </c>
      <c r="I37" s="36">
        <f>H37+7*G37-1</f>
        <v/>
      </c>
      <c r="J37" s="34" t="inlineStr">
        <is>
          <t>mobile-organizer, mobile-platform</t>
        </is>
      </c>
      <c r="K37" s="35" t="inlineStr">
        <is>
          <t>Đang làm</t>
        </is>
      </c>
      <c r="L37" s="34" t="inlineStr">
        <is>
          <t>frontend/apps/mobile-organizer (2 màn hình)</t>
        </is>
      </c>
      <c r="M37" s="37">
        <f>IF(AND(1&gt;=$F37,1&lt;$F37+$G37),1,"")</f>
        <v/>
      </c>
      <c r="N37" s="37">
        <f>IF(AND(2&gt;=$F37,2&lt;$F37+$G37),1,"")</f>
        <v/>
      </c>
      <c r="O37" s="38">
        <f>IF(AND(3&gt;=$F37,3&lt;$F37+$G37),1,"")</f>
        <v/>
      </c>
      <c r="P37" s="37">
        <f>IF(AND(4&gt;=$F37,4&lt;$F37+$G37),1,"")</f>
        <v/>
      </c>
      <c r="Q37" s="37">
        <f>IF(AND(5&gt;=$F37,5&lt;$F37+$G37),1,"")</f>
        <v/>
      </c>
      <c r="R37" s="38">
        <f>IF(AND(6&gt;=$F37,6&lt;$F37+$G37),1,"")</f>
        <v/>
      </c>
      <c r="S37" s="37">
        <f>IF(AND(7&gt;=$F37,7&lt;$F37+$G37),1,"")</f>
        <v/>
      </c>
      <c r="T37" s="37">
        <f>IF(AND(8&gt;=$F37,8&lt;$F37+$G37),1,"")</f>
        <v/>
      </c>
      <c r="U37" s="38">
        <f>IF(AND(9&gt;=$F37,9&lt;$F37+$G37),1,"")</f>
        <v/>
      </c>
      <c r="V37" s="37">
        <f>IF(AND(10&gt;=$F37,10&lt;$F37+$G37),1,"")</f>
        <v/>
      </c>
      <c r="W37" s="37">
        <f>IF(AND(11&gt;=$F37,11&lt;$F37+$G37),1,"")</f>
        <v/>
      </c>
      <c r="X37" s="38">
        <f>IF(AND(12&gt;=$F37,12&lt;$F37+$G37),1,"")</f>
        <v/>
      </c>
      <c r="Y37" s="37">
        <f>IF(AND(13&gt;=$F37,13&lt;$F37+$G37),1,"")</f>
        <v/>
      </c>
      <c r="Z37" s="37">
        <f>IF(AND(14&gt;=$F37,14&lt;$F37+$G37),1,"")</f>
        <v/>
      </c>
    </row>
    <row r="38" ht="30" customHeight="1">
      <c r="A38" s="33" t="inlineStr">
        <is>
          <t>4.4</t>
        </is>
      </c>
      <c r="B38" s="33" t="n">
        <v>4</v>
      </c>
      <c r="C38" s="33" t="inlineStr">
        <is>
          <t>Backend</t>
        </is>
      </c>
      <c r="D38" s="34" t="inlineStr">
        <is>
          <t>API cho app mobile (suất soát vé, lời mời), thống kê ban tổ chức</t>
        </is>
      </c>
      <c r="E38" s="35" t="inlineStr">
        <is>
          <t>Thiện</t>
        </is>
      </c>
      <c r="F38" s="35" t="n">
        <v>9</v>
      </c>
      <c r="G38" s="35" t="n">
        <v>2</v>
      </c>
      <c r="H38" s="36">
        <f>'Tổng quan'!$C$4+7*(F38-1)</f>
        <v/>
      </c>
      <c r="I38" s="36">
        <f>H38+7*G38-1</f>
        <v/>
      </c>
      <c r="J38" s="34" t="inlineStr">
        <is>
          <t>Endpoint mới, analytics</t>
        </is>
      </c>
      <c r="K38" s="35" t="inlineStr">
        <is>
          <t>Hoàn thành</t>
        </is>
      </c>
      <c r="L38" s="34" t="inlineStr">
        <is>
          <t>backend/services/analytics-service</t>
        </is>
      </c>
      <c r="M38" s="37">
        <f>IF(AND(1&gt;=$F38,1&lt;$F38+$G38),1,"")</f>
        <v/>
      </c>
      <c r="N38" s="37">
        <f>IF(AND(2&gt;=$F38,2&lt;$F38+$G38),1,"")</f>
        <v/>
      </c>
      <c r="O38" s="38">
        <f>IF(AND(3&gt;=$F38,3&lt;$F38+$G38),1,"")</f>
        <v/>
      </c>
      <c r="P38" s="37">
        <f>IF(AND(4&gt;=$F38,4&lt;$F38+$G38),1,"")</f>
        <v/>
      </c>
      <c r="Q38" s="37">
        <f>IF(AND(5&gt;=$F38,5&lt;$F38+$G38),1,"")</f>
        <v/>
      </c>
      <c r="R38" s="38">
        <f>IF(AND(6&gt;=$F38,6&lt;$F38+$G38),1,"")</f>
        <v/>
      </c>
      <c r="S38" s="37">
        <f>IF(AND(7&gt;=$F38,7&lt;$F38+$G38),1,"")</f>
        <v/>
      </c>
      <c r="T38" s="37">
        <f>IF(AND(8&gt;=$F38,8&lt;$F38+$G38),1,"")</f>
        <v/>
      </c>
      <c r="U38" s="38">
        <f>IF(AND(9&gt;=$F38,9&lt;$F38+$G38),1,"")</f>
        <v/>
      </c>
      <c r="V38" s="37">
        <f>IF(AND(10&gt;=$F38,10&lt;$F38+$G38),1,"")</f>
        <v/>
      </c>
      <c r="W38" s="37">
        <f>IF(AND(11&gt;=$F38,11&lt;$F38+$G38),1,"")</f>
        <v/>
      </c>
      <c r="X38" s="38">
        <f>IF(AND(12&gt;=$F38,12&lt;$F38+$G38),1,"")</f>
        <v/>
      </c>
      <c r="Y38" s="37">
        <f>IF(AND(13&gt;=$F38,13&lt;$F38+$G38),1,"")</f>
        <v/>
      </c>
      <c r="Z38" s="37">
        <f>IF(AND(14&gt;=$F38,14&lt;$F38+$G38),1,"")</f>
        <v/>
      </c>
    </row>
    <row r="39" ht="30" customHeight="1">
      <c r="A39" s="33" t="inlineStr">
        <is>
          <t>4.5</t>
        </is>
      </c>
      <c r="B39" s="33" t="n">
        <v>4</v>
      </c>
      <c r="C39" s="33" t="inlineStr">
        <is>
          <t>Backend</t>
        </is>
      </c>
      <c r="D39" s="34" t="inlineStr">
        <is>
          <t>API dữ liệu báo cáo để xuất xlsx (doanh thu, vé, soát vé)</t>
        </is>
      </c>
      <c r="E39" s="35" t="inlineStr">
        <is>
          <t>Thiện</t>
        </is>
      </c>
      <c r="F39" s="35" t="n">
        <v>10</v>
      </c>
      <c r="G39" s="35" t="n">
        <v>1</v>
      </c>
      <c r="H39" s="36">
        <f>'Tổng quan'!$C$4+7*(F39-1)</f>
        <v/>
      </c>
      <c r="I39" s="36">
        <f>H39+7*G39-1</f>
        <v/>
      </c>
      <c r="J39" s="34" t="inlineStr">
        <is>
          <t>Endpoint báo cáo</t>
        </is>
      </c>
      <c r="K39" s="35" t="inlineStr">
        <is>
          <t>Chưa làm</t>
        </is>
      </c>
      <c r="L39" s="34" t="inlineStr">
        <is>
          <t>Hiện chỉ xuất CSV: frontend/packages/ui/src/csv.ts</t>
        </is>
      </c>
      <c r="M39" s="37">
        <f>IF(AND(1&gt;=$F39,1&lt;$F39+$G39),1,"")</f>
        <v/>
      </c>
      <c r="N39" s="37">
        <f>IF(AND(2&gt;=$F39,2&lt;$F39+$G39),1,"")</f>
        <v/>
      </c>
      <c r="O39" s="38">
        <f>IF(AND(3&gt;=$F39,3&lt;$F39+$G39),1,"")</f>
        <v/>
      </c>
      <c r="P39" s="37">
        <f>IF(AND(4&gt;=$F39,4&lt;$F39+$G39),1,"")</f>
        <v/>
      </c>
      <c r="Q39" s="37">
        <f>IF(AND(5&gt;=$F39,5&lt;$F39+$G39),1,"")</f>
        <v/>
      </c>
      <c r="R39" s="38">
        <f>IF(AND(6&gt;=$F39,6&lt;$F39+$G39),1,"")</f>
        <v/>
      </c>
      <c r="S39" s="37">
        <f>IF(AND(7&gt;=$F39,7&lt;$F39+$G39),1,"")</f>
        <v/>
      </c>
      <c r="T39" s="37">
        <f>IF(AND(8&gt;=$F39,8&lt;$F39+$G39),1,"")</f>
        <v/>
      </c>
      <c r="U39" s="38">
        <f>IF(AND(9&gt;=$F39,9&lt;$F39+$G39),1,"")</f>
        <v/>
      </c>
      <c r="V39" s="37">
        <f>IF(AND(10&gt;=$F39,10&lt;$F39+$G39),1,"")</f>
        <v/>
      </c>
      <c r="W39" s="37">
        <f>IF(AND(11&gt;=$F39,11&lt;$F39+$G39),1,"")</f>
        <v/>
      </c>
      <c r="X39" s="38">
        <f>IF(AND(12&gt;=$F39,12&lt;$F39+$G39),1,"")</f>
        <v/>
      </c>
      <c r="Y39" s="37">
        <f>IF(AND(13&gt;=$F39,13&lt;$F39+$G39),1,"")</f>
        <v/>
      </c>
      <c r="Z39" s="37">
        <f>IF(AND(14&gt;=$F39,14&lt;$F39+$G39),1,"")</f>
        <v/>
      </c>
    </row>
    <row r="40" ht="30" customHeight="1">
      <c r="A40" s="33" t="inlineStr">
        <is>
          <t>4.6</t>
        </is>
      </c>
      <c r="B40" s="33" t="n">
        <v>4</v>
      </c>
      <c r="C40" s="33" t="inlineStr">
        <is>
          <t>Frontend</t>
        </is>
      </c>
      <c r="D40" s="34" t="inlineStr">
        <is>
          <t>Nút xuất báo cáo .xlsx trên web quản trị</t>
        </is>
      </c>
      <c r="E40" s="35" t="inlineStr">
        <is>
          <t>Hạnh</t>
        </is>
      </c>
      <c r="F40" s="35" t="n">
        <v>11</v>
      </c>
      <c r="G40" s="35" t="n">
        <v>1</v>
      </c>
      <c r="H40" s="36">
        <f>'Tổng quan'!$C$4+7*(F40-1)</f>
        <v/>
      </c>
      <c r="I40" s="36">
        <f>H40+7*G40-1</f>
        <v/>
      </c>
      <c r="J40" s="34" t="inlineStr">
        <is>
          <t>File .xlsx tải về</t>
        </is>
      </c>
      <c r="K40" s="35" t="inlineStr">
        <is>
          <t>Chưa làm</t>
        </is>
      </c>
      <c r="L40" s="34" t="inlineStr">
        <is>
          <t>Hiện chỉ xuất CSV</t>
        </is>
      </c>
      <c r="M40" s="37">
        <f>IF(AND(1&gt;=$F40,1&lt;$F40+$G40),1,"")</f>
        <v/>
      </c>
      <c r="N40" s="37">
        <f>IF(AND(2&gt;=$F40,2&lt;$F40+$G40),1,"")</f>
        <v/>
      </c>
      <c r="O40" s="38">
        <f>IF(AND(3&gt;=$F40,3&lt;$F40+$G40),1,"")</f>
        <v/>
      </c>
      <c r="P40" s="37">
        <f>IF(AND(4&gt;=$F40,4&lt;$F40+$G40),1,"")</f>
        <v/>
      </c>
      <c r="Q40" s="37">
        <f>IF(AND(5&gt;=$F40,5&lt;$F40+$G40),1,"")</f>
        <v/>
      </c>
      <c r="R40" s="38">
        <f>IF(AND(6&gt;=$F40,6&lt;$F40+$G40),1,"")</f>
        <v/>
      </c>
      <c r="S40" s="37">
        <f>IF(AND(7&gt;=$F40,7&lt;$F40+$G40),1,"")</f>
        <v/>
      </c>
      <c r="T40" s="37">
        <f>IF(AND(8&gt;=$F40,8&lt;$F40+$G40),1,"")</f>
        <v/>
      </c>
      <c r="U40" s="38">
        <f>IF(AND(9&gt;=$F40,9&lt;$F40+$G40),1,"")</f>
        <v/>
      </c>
      <c r="V40" s="37">
        <f>IF(AND(10&gt;=$F40,10&lt;$F40+$G40),1,"")</f>
        <v/>
      </c>
      <c r="W40" s="37">
        <f>IF(AND(11&gt;=$F40,11&lt;$F40+$G40),1,"")</f>
        <v/>
      </c>
      <c r="X40" s="38">
        <f>IF(AND(12&gt;=$F40,12&lt;$F40+$G40),1,"")</f>
        <v/>
      </c>
      <c r="Y40" s="37">
        <f>IF(AND(13&gt;=$F40,13&lt;$F40+$G40),1,"")</f>
        <v/>
      </c>
      <c r="Z40" s="37">
        <f>IF(AND(14&gt;=$F40,14&lt;$F40+$G40),1,"")</f>
        <v/>
      </c>
    </row>
    <row r="41" ht="30" customHeight="1">
      <c r="A41" s="33" t="inlineStr">
        <is>
          <t>4.7</t>
        </is>
      </c>
      <c r="B41" s="33" t="n">
        <v>4</v>
      </c>
      <c r="C41" s="33" t="inlineStr">
        <is>
          <t>Hạ tầng</t>
        </is>
      </c>
      <c r="D41" s="34" t="inlineStr">
        <is>
          <t>Deploy production AWS EC2: nginx, TLS, Keycloak realm, pipeline release</t>
        </is>
      </c>
      <c r="E41" s="35" t="inlineStr">
        <is>
          <t>Thiện</t>
        </is>
      </c>
      <c r="F41" s="35" t="n">
        <v>9</v>
      </c>
      <c r="G41" s="35" t="n">
        <v>2</v>
      </c>
      <c r="H41" s="36">
        <f>'Tổng quan'!$C$4+7*(F41-1)</f>
        <v/>
      </c>
      <c r="I41" s="36">
        <f>H41+7*G41-1</f>
        <v/>
      </c>
      <c r="J41" s="34" t="inlineStr">
        <is>
          <t>concertth.site chạy thật</t>
        </is>
      </c>
      <c r="K41" s="35" t="inlineStr">
        <is>
          <t>Hoàn thành</t>
        </is>
      </c>
      <c r="L41" s="34" t="inlineStr">
        <is>
          <t>deploy/, .github/workflows/release.yml</t>
        </is>
      </c>
      <c r="M41" s="37">
        <f>IF(AND(1&gt;=$F41,1&lt;$F41+$G41),1,"")</f>
        <v/>
      </c>
      <c r="N41" s="37">
        <f>IF(AND(2&gt;=$F41,2&lt;$F41+$G41),1,"")</f>
        <v/>
      </c>
      <c r="O41" s="38">
        <f>IF(AND(3&gt;=$F41,3&lt;$F41+$G41),1,"")</f>
        <v/>
      </c>
      <c r="P41" s="37">
        <f>IF(AND(4&gt;=$F41,4&lt;$F41+$G41),1,"")</f>
        <v/>
      </c>
      <c r="Q41" s="37">
        <f>IF(AND(5&gt;=$F41,5&lt;$F41+$G41),1,"")</f>
        <v/>
      </c>
      <c r="R41" s="38">
        <f>IF(AND(6&gt;=$F41,6&lt;$F41+$G41),1,"")</f>
        <v/>
      </c>
      <c r="S41" s="37">
        <f>IF(AND(7&gt;=$F41,7&lt;$F41+$G41),1,"")</f>
        <v/>
      </c>
      <c r="T41" s="37">
        <f>IF(AND(8&gt;=$F41,8&lt;$F41+$G41),1,"")</f>
        <v/>
      </c>
      <c r="U41" s="38">
        <f>IF(AND(9&gt;=$F41,9&lt;$F41+$G41),1,"")</f>
        <v/>
      </c>
      <c r="V41" s="37">
        <f>IF(AND(10&gt;=$F41,10&lt;$F41+$G41),1,"")</f>
        <v/>
      </c>
      <c r="W41" s="37">
        <f>IF(AND(11&gt;=$F41,11&lt;$F41+$G41),1,"")</f>
        <v/>
      </c>
      <c r="X41" s="38">
        <f>IF(AND(12&gt;=$F41,12&lt;$F41+$G41),1,"")</f>
        <v/>
      </c>
      <c r="Y41" s="37">
        <f>IF(AND(13&gt;=$F41,13&lt;$F41+$G41),1,"")</f>
        <v/>
      </c>
      <c r="Z41" s="37">
        <f>IF(AND(14&gt;=$F41,14&lt;$F41+$G41),1,"")</f>
        <v/>
      </c>
    </row>
    <row r="42" ht="30" customHeight="1">
      <c r="A42" s="33" t="inlineStr">
        <is>
          <t>4.8</t>
        </is>
      </c>
      <c r="B42" s="33" t="n">
        <v>4</v>
      </c>
      <c r="C42" s="33" t="inlineStr">
        <is>
          <t>Báo cáo</t>
        </is>
      </c>
      <c r="D42" s="34" t="inlineStr">
        <is>
          <t>Slide, kịch bản demo mobile và báo cáo lần 4</t>
        </is>
      </c>
      <c r="E42" s="35" t="inlineStr">
        <is>
          <t>Hạnh</t>
        </is>
      </c>
      <c r="F42" s="35" t="n">
        <v>11</v>
      </c>
      <c r="G42" s="35" t="n">
        <v>1</v>
      </c>
      <c r="H42" s="36">
        <f>'Tổng quan'!$C$4+7*(F42-1)</f>
        <v/>
      </c>
      <c r="I42" s="36">
        <f>H42+7*G42-1</f>
        <v/>
      </c>
      <c r="J42" s="34" t="inlineStr">
        <is>
          <t>Slide lần 4, video demo</t>
        </is>
      </c>
      <c r="K42" s="35" t="inlineStr">
        <is>
          <t>Chưa làm</t>
        </is>
      </c>
      <c r="L42" s="34" t="inlineStr"/>
      <c r="M42" s="37">
        <f>IF(AND(1&gt;=$F42,1&lt;$F42+$G42),1,"")</f>
        <v/>
      </c>
      <c r="N42" s="37">
        <f>IF(AND(2&gt;=$F42,2&lt;$F42+$G42),1,"")</f>
        <v/>
      </c>
      <c r="O42" s="38">
        <f>IF(AND(3&gt;=$F42,3&lt;$F42+$G42),1,"")</f>
        <v/>
      </c>
      <c r="P42" s="37">
        <f>IF(AND(4&gt;=$F42,4&lt;$F42+$G42),1,"")</f>
        <v/>
      </c>
      <c r="Q42" s="37">
        <f>IF(AND(5&gt;=$F42,5&lt;$F42+$G42),1,"")</f>
        <v/>
      </c>
      <c r="R42" s="38">
        <f>IF(AND(6&gt;=$F42,6&lt;$F42+$G42),1,"")</f>
        <v/>
      </c>
      <c r="S42" s="37">
        <f>IF(AND(7&gt;=$F42,7&lt;$F42+$G42),1,"")</f>
        <v/>
      </c>
      <c r="T42" s="37">
        <f>IF(AND(8&gt;=$F42,8&lt;$F42+$G42),1,"")</f>
        <v/>
      </c>
      <c r="U42" s="38">
        <f>IF(AND(9&gt;=$F42,9&lt;$F42+$G42),1,"")</f>
        <v/>
      </c>
      <c r="V42" s="37">
        <f>IF(AND(10&gt;=$F42,10&lt;$F42+$G42),1,"")</f>
        <v/>
      </c>
      <c r="W42" s="37">
        <f>IF(AND(11&gt;=$F42,11&lt;$F42+$G42),1,"")</f>
        <v/>
      </c>
      <c r="X42" s="38">
        <f>IF(AND(12&gt;=$F42,12&lt;$F42+$G42),1,"")</f>
        <v/>
      </c>
      <c r="Y42" s="37">
        <f>IF(AND(13&gt;=$F42,13&lt;$F42+$G42),1,"")</f>
        <v/>
      </c>
      <c r="Z42" s="37">
        <f>IF(AND(14&gt;=$F42,14&lt;$F42+$G42),1,"")</f>
        <v/>
      </c>
    </row>
    <row r="43">
      <c r="A43" s="48" t="inlineStr">
        <is>
          <t>Đợt 5 · Hoàn thiện &amp; tổng kết (đề xuất)</t>
        </is>
      </c>
      <c r="B43" s="49" t="n"/>
      <c r="C43" s="49" t="n"/>
      <c r="D43" s="49" t="n"/>
      <c r="E43" s="49" t="n"/>
      <c r="F43" s="49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50" t="n"/>
      <c r="P43" s="49" t="n"/>
      <c r="Q43" s="49" t="n"/>
      <c r="R43" s="50" t="n"/>
      <c r="S43" s="49" t="n"/>
      <c r="T43" s="49" t="n"/>
      <c r="U43" s="50" t="n"/>
      <c r="V43" s="49" t="n"/>
      <c r="W43" s="49" t="n"/>
      <c r="X43" s="50" t="n"/>
      <c r="Y43" s="49" t="n"/>
      <c r="Z43" s="49" t="n"/>
    </row>
    <row r="44" ht="30" customHeight="1">
      <c r="A44" s="33" t="inlineStr">
        <is>
          <t>5.1</t>
        </is>
      </c>
      <c r="B44" s="33" t="n">
        <v>5</v>
      </c>
      <c r="C44" s="33" t="inlineStr">
        <is>
          <t>Kiểm thử</t>
        </is>
      </c>
      <c r="D44" s="34" t="inlineStr">
        <is>
          <t>Kiểm thử đầu-cuối (Playwright) luồng mua vé, test outbox/idempotency</t>
        </is>
      </c>
      <c r="E44" s="35" t="inlineStr">
        <is>
          <t>Thiện</t>
        </is>
      </c>
      <c r="F44" s="35" t="n">
        <v>12</v>
      </c>
      <c r="G44" s="35" t="n">
        <v>2</v>
      </c>
      <c r="H44" s="36">
        <f>'Tổng quan'!$C$4+7*(F44-1)</f>
        <v/>
      </c>
      <c r="I44" s="36">
        <f>H44+7*G44-1</f>
        <v/>
      </c>
      <c r="J44" s="34" t="inlineStr">
        <is>
          <t>Bộ E2E chạy trong CI</t>
        </is>
      </c>
      <c r="K44" s="35" t="inlineStr">
        <is>
          <t>Chưa làm</t>
        </is>
      </c>
      <c r="L44" s="34" t="inlineStr">
        <is>
          <t>.github/workflows/e2e.yml mới là placeholder</t>
        </is>
      </c>
      <c r="M44" s="37">
        <f>IF(AND(1&gt;=$F44,1&lt;$F44+$G44),1,"")</f>
        <v/>
      </c>
      <c r="N44" s="37">
        <f>IF(AND(2&gt;=$F44,2&lt;$F44+$G44),1,"")</f>
        <v/>
      </c>
      <c r="O44" s="38">
        <f>IF(AND(3&gt;=$F44,3&lt;$F44+$G44),1,"")</f>
        <v/>
      </c>
      <c r="P44" s="37">
        <f>IF(AND(4&gt;=$F44,4&lt;$F44+$G44),1,"")</f>
        <v/>
      </c>
      <c r="Q44" s="37">
        <f>IF(AND(5&gt;=$F44,5&lt;$F44+$G44),1,"")</f>
        <v/>
      </c>
      <c r="R44" s="38">
        <f>IF(AND(6&gt;=$F44,6&lt;$F44+$G44),1,"")</f>
        <v/>
      </c>
      <c r="S44" s="37">
        <f>IF(AND(7&gt;=$F44,7&lt;$F44+$G44),1,"")</f>
        <v/>
      </c>
      <c r="T44" s="37">
        <f>IF(AND(8&gt;=$F44,8&lt;$F44+$G44),1,"")</f>
        <v/>
      </c>
      <c r="U44" s="38">
        <f>IF(AND(9&gt;=$F44,9&lt;$F44+$G44),1,"")</f>
        <v/>
      </c>
      <c r="V44" s="37">
        <f>IF(AND(10&gt;=$F44,10&lt;$F44+$G44),1,"")</f>
        <v/>
      </c>
      <c r="W44" s="37">
        <f>IF(AND(11&gt;=$F44,11&lt;$F44+$G44),1,"")</f>
        <v/>
      </c>
      <c r="X44" s="38">
        <f>IF(AND(12&gt;=$F44,12&lt;$F44+$G44),1,"")</f>
        <v/>
      </c>
      <c r="Y44" s="37">
        <f>IF(AND(13&gt;=$F44,13&lt;$F44+$G44),1,"")</f>
        <v/>
      </c>
      <c r="Z44" s="37">
        <f>IF(AND(14&gt;=$F44,14&lt;$F44+$G44),1,"")</f>
        <v/>
      </c>
    </row>
    <row r="45" ht="30" customHeight="1">
      <c r="A45" s="33" t="inlineStr">
        <is>
          <t>5.2</t>
        </is>
      </c>
      <c r="B45" s="33" t="n">
        <v>5</v>
      </c>
      <c r="C45" s="33" t="inlineStr">
        <is>
          <t>Kiểm thử</t>
        </is>
      </c>
      <c r="D45" s="34" t="inlineStr">
        <is>
          <t>Load test k6 giữ ghế, đối soát hằng ngày, sao lưu và khôi phục DB</t>
        </is>
      </c>
      <c r="E45" s="35" t="inlineStr">
        <is>
          <t>Thiện</t>
        </is>
      </c>
      <c r="F45" s="35" t="n">
        <v>12</v>
      </c>
      <c r="G45" s="35" t="n">
        <v>2</v>
      </c>
      <c r="H45" s="36">
        <f>'Tổng quan'!$C$4+7*(F45-1)</f>
        <v/>
      </c>
      <c r="I45" s="36">
        <f>H45+7*G45-1</f>
        <v/>
      </c>
      <c r="J45" s="34" t="inlineStr">
        <is>
          <t>Báo cáo hiệu năng, runbook</t>
        </is>
      </c>
      <c r="K45" s="35" t="inlineStr">
        <is>
          <t>Chưa làm</t>
        </is>
      </c>
      <c r="L45" s="34" t="inlineStr"/>
      <c r="M45" s="37">
        <f>IF(AND(1&gt;=$F45,1&lt;$F45+$G45),1,"")</f>
        <v/>
      </c>
      <c r="N45" s="37">
        <f>IF(AND(2&gt;=$F45,2&lt;$F45+$G45),1,"")</f>
        <v/>
      </c>
      <c r="O45" s="38">
        <f>IF(AND(3&gt;=$F45,3&lt;$F45+$G45),1,"")</f>
        <v/>
      </c>
      <c r="P45" s="37">
        <f>IF(AND(4&gt;=$F45,4&lt;$F45+$G45),1,"")</f>
        <v/>
      </c>
      <c r="Q45" s="37">
        <f>IF(AND(5&gt;=$F45,5&lt;$F45+$G45),1,"")</f>
        <v/>
      </c>
      <c r="R45" s="38">
        <f>IF(AND(6&gt;=$F45,6&lt;$F45+$G45),1,"")</f>
        <v/>
      </c>
      <c r="S45" s="37">
        <f>IF(AND(7&gt;=$F45,7&lt;$F45+$G45),1,"")</f>
        <v/>
      </c>
      <c r="T45" s="37">
        <f>IF(AND(8&gt;=$F45,8&lt;$F45+$G45),1,"")</f>
        <v/>
      </c>
      <c r="U45" s="38">
        <f>IF(AND(9&gt;=$F45,9&lt;$F45+$G45),1,"")</f>
        <v/>
      </c>
      <c r="V45" s="37">
        <f>IF(AND(10&gt;=$F45,10&lt;$F45+$G45),1,"")</f>
        <v/>
      </c>
      <c r="W45" s="37">
        <f>IF(AND(11&gt;=$F45,11&lt;$F45+$G45),1,"")</f>
        <v/>
      </c>
      <c r="X45" s="38">
        <f>IF(AND(12&gt;=$F45,12&lt;$F45+$G45),1,"")</f>
        <v/>
      </c>
      <c r="Y45" s="37">
        <f>IF(AND(13&gt;=$F45,13&lt;$F45+$G45),1,"")</f>
        <v/>
      </c>
      <c r="Z45" s="37">
        <f>IF(AND(14&gt;=$F45,14&lt;$F45+$G45),1,"")</f>
        <v/>
      </c>
    </row>
    <row r="46" ht="30" customHeight="1">
      <c r="A46" s="33" t="inlineStr">
        <is>
          <t>5.3</t>
        </is>
      </c>
      <c r="B46" s="33" t="n">
        <v>5</v>
      </c>
      <c r="C46" s="33" t="inlineStr">
        <is>
          <t>AI</t>
        </is>
      </c>
      <c r="D46" s="34" t="inlineStr">
        <is>
          <t>Cải tiến AI theo góp ý của thầy (đặt vé qua chat có xác nhận)</t>
        </is>
      </c>
      <c r="E46" s="35" t="inlineStr">
        <is>
          <t>Thiện</t>
        </is>
      </c>
      <c r="F46" s="35" t="n">
        <v>12</v>
      </c>
      <c r="G46" s="35" t="n">
        <v>3</v>
      </c>
      <c r="H46" s="36">
        <f>'Tổng quan'!$C$4+7*(F46-1)</f>
        <v/>
      </c>
      <c r="I46" s="36">
        <f>H46+7*G46-1</f>
        <v/>
      </c>
      <c r="J46" s="34" t="inlineStr">
        <is>
          <t>Bản AI phase 1</t>
        </is>
      </c>
      <c r="K46" s="35" t="inlineStr">
        <is>
          <t>Chưa làm</t>
        </is>
      </c>
      <c r="L46" s="34" t="inlineStr">
        <is>
          <t>bmad-output/epics.md</t>
        </is>
      </c>
      <c r="M46" s="37">
        <f>IF(AND(1&gt;=$F46,1&lt;$F46+$G46),1,"")</f>
        <v/>
      </c>
      <c r="N46" s="37">
        <f>IF(AND(2&gt;=$F46,2&lt;$F46+$G46),1,"")</f>
        <v/>
      </c>
      <c r="O46" s="38">
        <f>IF(AND(3&gt;=$F46,3&lt;$F46+$G46),1,"")</f>
        <v/>
      </c>
      <c r="P46" s="37">
        <f>IF(AND(4&gt;=$F46,4&lt;$F46+$G46),1,"")</f>
        <v/>
      </c>
      <c r="Q46" s="37">
        <f>IF(AND(5&gt;=$F46,5&lt;$F46+$G46),1,"")</f>
        <v/>
      </c>
      <c r="R46" s="38">
        <f>IF(AND(6&gt;=$F46,6&lt;$F46+$G46),1,"")</f>
        <v/>
      </c>
      <c r="S46" s="37">
        <f>IF(AND(7&gt;=$F46,7&lt;$F46+$G46),1,"")</f>
        <v/>
      </c>
      <c r="T46" s="37">
        <f>IF(AND(8&gt;=$F46,8&lt;$F46+$G46),1,"")</f>
        <v/>
      </c>
      <c r="U46" s="38">
        <f>IF(AND(9&gt;=$F46,9&lt;$F46+$G46),1,"")</f>
        <v/>
      </c>
      <c r="V46" s="37">
        <f>IF(AND(10&gt;=$F46,10&lt;$F46+$G46),1,"")</f>
        <v/>
      </c>
      <c r="W46" s="37">
        <f>IF(AND(11&gt;=$F46,11&lt;$F46+$G46),1,"")</f>
        <v/>
      </c>
      <c r="X46" s="38">
        <f>IF(AND(12&gt;=$F46,12&lt;$F46+$G46),1,"")</f>
        <v/>
      </c>
      <c r="Y46" s="37">
        <f>IF(AND(13&gt;=$F46,13&lt;$F46+$G46),1,"")</f>
        <v/>
      </c>
      <c r="Z46" s="37">
        <f>IF(AND(14&gt;=$F46,14&lt;$F46+$G46),1,"")</f>
        <v/>
      </c>
    </row>
    <row r="47" ht="30" customHeight="1">
      <c r="A47" s="33" t="inlineStr">
        <is>
          <t>5.4</t>
        </is>
      </c>
      <c r="B47" s="33" t="n">
        <v>5</v>
      </c>
      <c r="C47" s="33" t="inlineStr">
        <is>
          <t>Frontend</t>
        </is>
      </c>
      <c r="D47" s="34" t="inlineStr">
        <is>
          <t>Hoàn thiện giao diện, sửa lỗi theo góp ý các lần báo cáo</t>
        </is>
      </c>
      <c r="E47" s="35" t="inlineStr">
        <is>
          <t>Hạnh</t>
        </is>
      </c>
      <c r="F47" s="35" t="n">
        <v>12</v>
      </c>
      <c r="G47" s="35" t="n">
        <v>2</v>
      </c>
      <c r="H47" s="36">
        <f>'Tổng quan'!$C$4+7*(F47-1)</f>
        <v/>
      </c>
      <c r="I47" s="36">
        <f>H47+7*G47-1</f>
        <v/>
      </c>
      <c r="J47" s="34" t="inlineStr">
        <is>
          <t>Bản giao diện cuối</t>
        </is>
      </c>
      <c r="K47" s="35" t="inlineStr">
        <is>
          <t>Chưa làm</t>
        </is>
      </c>
      <c r="L47" s="34" t="inlineStr"/>
      <c r="M47" s="37">
        <f>IF(AND(1&gt;=$F47,1&lt;$F47+$G47),1,"")</f>
        <v/>
      </c>
      <c r="N47" s="37">
        <f>IF(AND(2&gt;=$F47,2&lt;$F47+$G47),1,"")</f>
        <v/>
      </c>
      <c r="O47" s="38">
        <f>IF(AND(3&gt;=$F47,3&lt;$F47+$G47),1,"")</f>
        <v/>
      </c>
      <c r="P47" s="37">
        <f>IF(AND(4&gt;=$F47,4&lt;$F47+$G47),1,"")</f>
        <v/>
      </c>
      <c r="Q47" s="37">
        <f>IF(AND(5&gt;=$F47,5&lt;$F47+$G47),1,"")</f>
        <v/>
      </c>
      <c r="R47" s="38">
        <f>IF(AND(6&gt;=$F47,6&lt;$F47+$G47),1,"")</f>
        <v/>
      </c>
      <c r="S47" s="37">
        <f>IF(AND(7&gt;=$F47,7&lt;$F47+$G47),1,"")</f>
        <v/>
      </c>
      <c r="T47" s="37">
        <f>IF(AND(8&gt;=$F47,8&lt;$F47+$G47),1,"")</f>
        <v/>
      </c>
      <c r="U47" s="38">
        <f>IF(AND(9&gt;=$F47,9&lt;$F47+$G47),1,"")</f>
        <v/>
      </c>
      <c r="V47" s="37">
        <f>IF(AND(10&gt;=$F47,10&lt;$F47+$G47),1,"")</f>
        <v/>
      </c>
      <c r="W47" s="37">
        <f>IF(AND(11&gt;=$F47,11&lt;$F47+$G47),1,"")</f>
        <v/>
      </c>
      <c r="X47" s="38">
        <f>IF(AND(12&gt;=$F47,12&lt;$F47+$G47),1,"")</f>
        <v/>
      </c>
      <c r="Y47" s="37">
        <f>IF(AND(13&gt;=$F47,13&lt;$F47+$G47),1,"")</f>
        <v/>
      </c>
      <c r="Z47" s="37">
        <f>IF(AND(14&gt;=$F47,14&lt;$F47+$G47),1,"")</f>
        <v/>
      </c>
    </row>
    <row r="48" ht="30" customHeight="1">
      <c r="A48" s="33" t="inlineStr">
        <is>
          <t>5.5</t>
        </is>
      </c>
      <c r="B48" s="33" t="n">
        <v>5</v>
      </c>
      <c r="C48" s="33" t="inlineStr">
        <is>
          <t>Báo cáo</t>
        </is>
      </c>
      <c r="D48" s="34" t="inlineStr">
        <is>
          <t>Viết quyển báo cáo, slide bảo vệ, tổng hợp kết quả</t>
        </is>
      </c>
      <c r="E48" s="35" t="inlineStr">
        <is>
          <t>Hạnh</t>
        </is>
      </c>
      <c r="F48" s="35" t="n">
        <v>12</v>
      </c>
      <c r="G48" s="35" t="n">
        <v>3</v>
      </c>
      <c r="H48" s="36">
        <f>'Tổng quan'!$C$4+7*(F48-1)</f>
        <v/>
      </c>
      <c r="I48" s="36">
        <f>H48+7*G48-1</f>
        <v/>
      </c>
      <c r="J48" s="34" t="inlineStr">
        <is>
          <t>Quyển báo cáo, slide</t>
        </is>
      </c>
      <c r="K48" s="35" t="inlineStr">
        <is>
          <t>Chưa làm</t>
        </is>
      </c>
      <c r="L48" s="34" t="inlineStr"/>
      <c r="M48" s="37">
        <f>IF(AND(1&gt;=$F48,1&lt;$F48+$G48),1,"")</f>
        <v/>
      </c>
      <c r="N48" s="37">
        <f>IF(AND(2&gt;=$F48,2&lt;$F48+$G48),1,"")</f>
        <v/>
      </c>
      <c r="O48" s="38">
        <f>IF(AND(3&gt;=$F48,3&lt;$F48+$G48),1,"")</f>
        <v/>
      </c>
      <c r="P48" s="37">
        <f>IF(AND(4&gt;=$F48,4&lt;$F48+$G48),1,"")</f>
        <v/>
      </c>
      <c r="Q48" s="37">
        <f>IF(AND(5&gt;=$F48,5&lt;$F48+$G48),1,"")</f>
        <v/>
      </c>
      <c r="R48" s="38">
        <f>IF(AND(6&gt;=$F48,6&lt;$F48+$G48),1,"")</f>
        <v/>
      </c>
      <c r="S48" s="37">
        <f>IF(AND(7&gt;=$F48,7&lt;$F48+$G48),1,"")</f>
        <v/>
      </c>
      <c r="T48" s="37">
        <f>IF(AND(8&gt;=$F48,8&lt;$F48+$G48),1,"")</f>
        <v/>
      </c>
      <c r="U48" s="38">
        <f>IF(AND(9&gt;=$F48,9&lt;$F48+$G48),1,"")</f>
        <v/>
      </c>
      <c r="V48" s="37">
        <f>IF(AND(10&gt;=$F48,10&lt;$F48+$G48),1,"")</f>
        <v/>
      </c>
      <c r="W48" s="37">
        <f>IF(AND(11&gt;=$F48,11&lt;$F48+$G48),1,"")</f>
        <v/>
      </c>
      <c r="X48" s="38">
        <f>IF(AND(12&gt;=$F48,12&lt;$F48+$G48),1,"")</f>
        <v/>
      </c>
      <c r="Y48" s="37">
        <f>IF(AND(13&gt;=$F48,13&lt;$F48+$G48),1,"")</f>
        <v/>
      </c>
      <c r="Z48" s="37">
        <f>IF(AND(14&gt;=$F48,14&lt;$F48+$G48),1,"")</f>
        <v/>
      </c>
    </row>
    <row r="49" ht="30" customHeight="1">
      <c r="A49" s="33" t="inlineStr">
        <is>
          <t>5.6</t>
        </is>
      </c>
      <c r="B49" s="33" t="n">
        <v>5</v>
      </c>
      <c r="C49" s="33" t="inlineStr">
        <is>
          <t>Báo cáo</t>
        </is>
      </c>
      <c r="D49" s="34" t="inlineStr">
        <is>
          <t>Diễn tập demo toàn luồng trên production</t>
        </is>
      </c>
      <c r="E49" s="35" t="inlineStr">
        <is>
          <t>Cả hai</t>
        </is>
      </c>
      <c r="F49" s="35" t="n">
        <v>14</v>
      </c>
      <c r="G49" s="35" t="n">
        <v>1</v>
      </c>
      <c r="H49" s="36">
        <f>'Tổng quan'!$C$4+7*(F49-1)</f>
        <v/>
      </c>
      <c r="I49" s="36">
        <f>H49+7*G49-1</f>
        <v/>
      </c>
      <c r="J49" s="34" t="inlineStr">
        <is>
          <t>Kịch bản demo</t>
        </is>
      </c>
      <c r="K49" s="35" t="inlineStr">
        <is>
          <t>Chưa làm</t>
        </is>
      </c>
      <c r="L49" s="34" t="inlineStr"/>
      <c r="M49" s="37">
        <f>IF(AND(1&gt;=$F49,1&lt;$F49+$G49),1,"")</f>
        <v/>
      </c>
      <c r="N49" s="37">
        <f>IF(AND(2&gt;=$F49,2&lt;$F49+$G49),1,"")</f>
        <v/>
      </c>
      <c r="O49" s="38">
        <f>IF(AND(3&gt;=$F49,3&lt;$F49+$G49),1,"")</f>
        <v/>
      </c>
      <c r="P49" s="37">
        <f>IF(AND(4&gt;=$F49,4&lt;$F49+$G49),1,"")</f>
        <v/>
      </c>
      <c r="Q49" s="37">
        <f>IF(AND(5&gt;=$F49,5&lt;$F49+$G49),1,"")</f>
        <v/>
      </c>
      <c r="R49" s="38">
        <f>IF(AND(6&gt;=$F49,6&lt;$F49+$G49),1,"")</f>
        <v/>
      </c>
      <c r="S49" s="37">
        <f>IF(AND(7&gt;=$F49,7&lt;$F49+$G49),1,"")</f>
        <v/>
      </c>
      <c r="T49" s="37">
        <f>IF(AND(8&gt;=$F49,8&lt;$F49+$G49),1,"")</f>
        <v/>
      </c>
      <c r="U49" s="38">
        <f>IF(AND(9&gt;=$F49,9&lt;$F49+$G49),1,"")</f>
        <v/>
      </c>
      <c r="V49" s="37">
        <f>IF(AND(10&gt;=$F49,10&lt;$F49+$G49),1,"")</f>
        <v/>
      </c>
      <c r="W49" s="37">
        <f>IF(AND(11&gt;=$F49,11&lt;$F49+$G49),1,"")</f>
        <v/>
      </c>
      <c r="X49" s="38">
        <f>IF(AND(12&gt;=$F49,12&lt;$F49+$G49),1,"")</f>
        <v/>
      </c>
      <c r="Y49" s="37">
        <f>IF(AND(13&gt;=$F49,13&lt;$F49+$G49),1,"")</f>
        <v/>
      </c>
      <c r="Z49" s="37">
        <f>IF(AND(14&gt;=$F49,14&lt;$F49+$G49),1,"")</f>
        <v/>
      </c>
    </row>
  </sheetData>
  <conditionalFormatting sqref="M5:Z49">
    <cfRule type="expression" priority="1" dxfId="0">
      <formula>AND(M5=1,$E5="Thiện")</formula>
    </cfRule>
    <cfRule type="expression" priority="2" dxfId="1">
      <formula>AND(M5=1,$E5="Hạnh")</formula>
    </cfRule>
    <cfRule type="expression" priority="3" dxfId="2">
      <formula>AND(M5=1,$E5="Cả hai")</formula>
    </cfRule>
  </conditionalFormatting>
  <conditionalFormatting sqref="K5:K49">
    <cfRule type="expression" priority="4" dxfId="3">
      <formula>$K5="Hoàn thành"</formula>
    </cfRule>
    <cfRule type="expression" priority="5" dxfId="4">
      <formula>$K5="Đang làm"</formula>
    </cfRule>
    <cfRule type="expression" priority="6" dxfId="5">
      <formula>$K5="Chưa làm"</formula>
    </cfRule>
  </conditionalFormatting>
  <dataValidations count="2">
    <dataValidation sqref="K5:K49" showDropDown="0" showInputMessage="0" showErrorMessage="0" allowBlank="1" type="list">
      <formula1>"Chưa làm,Đang làm,Hoàn thành,Hoãn"</formula1>
    </dataValidation>
    <dataValidation sqref="E5:E49" showDropDown="0" showInputMessage="0" showErrorMessage="0" allowBlank="1" type="list">
      <formula1>"Thiện,Hạnh,Cả hai"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7" customWidth="1" min="2" max="2"/>
    <col width="13" customWidth="1" min="3" max="3"/>
    <col width="12" customWidth="1" min="4" max="4"/>
    <col width="42" customWidth="1" min="5" max="5"/>
    <col width="30" customWidth="1" min="6" max="6"/>
    <col width="46" customWidth="1" min="7" max="7"/>
    <col width="10" customWidth="1" min="8" max="8"/>
    <col width="9" customWidth="1" min="9" max="9"/>
    <col width="10" customWidth="1" min="10" max="10"/>
  </cols>
  <sheetData>
    <row r="1">
      <c r="A1" s="2" t="inlineStr">
        <is>
          <t>LỊCH VÀ NỘI DUNG CÁC BUỔI BÁO CÁO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>
      <c r="A3" s="28" t="inlineStr">
        <is>
          <t>Lần</t>
        </is>
      </c>
      <c r="B3" s="28" t="inlineStr">
        <is>
          <t>Tuần</t>
        </is>
      </c>
      <c r="C3" s="28" t="inlineStr">
        <is>
          <t>Ngày báo cáo</t>
        </is>
      </c>
      <c r="D3" s="28" t="inlineStr">
        <is>
          <t>Cách lần trước (tuần)</t>
        </is>
      </c>
      <c r="E3" s="28" t="inlineStr">
        <is>
          <t>Nội dung báo cáo</t>
        </is>
      </c>
      <c r="F3" s="28" t="inlineStr">
        <is>
          <t>Người trình bày</t>
        </is>
      </c>
      <c r="G3" s="28" t="inlineStr">
        <is>
          <t>Demo / sản phẩm mang đi</t>
        </is>
      </c>
      <c r="H3" s="28" t="inlineStr">
        <is>
          <t>Số việc của đợt</t>
        </is>
      </c>
      <c r="I3" s="28" t="inlineStr">
        <is>
          <t>Đã xong</t>
        </is>
      </c>
      <c r="J3" s="28" t="inlineStr">
        <is>
          <t>Tiến độ</t>
        </is>
      </c>
    </row>
    <row r="4" ht="45" customHeight="1">
      <c r="A4" s="51" t="n">
        <v>1</v>
      </c>
      <c r="B4" s="52" t="n">
        <v>3</v>
      </c>
      <c r="C4" s="53">
        <f>'Tổng quan'!$C$4+7*(B4-1)</f>
        <v/>
      </c>
      <c r="D4" s="51" t="inlineStr"/>
      <c r="E4" s="54" t="inlineStr">
        <is>
          <t>Timeline dự án, kiến trúc dự án; thầy hướng dẫn phần AI cần làm</t>
        </is>
      </c>
      <c r="F4" s="54" t="inlineStr">
        <is>
          <t>Thiện (kiến trúc, AI) · Hạnh (timeline, slide)</t>
        </is>
      </c>
      <c r="G4" s="54" t="inlineStr">
        <is>
          <t>Slide timeline + sơ đồ kiến trúc microservices, ERD, đề xuất hướng AI</t>
        </is>
      </c>
      <c r="H4" s="51">
        <f>COUNTIF('Kế hoạch'!$B:$B,A4)</f>
        <v/>
      </c>
      <c r="I4" s="51">
        <f>COUNTIFS('Kế hoạch'!$B:$B,A4,'Kế hoạch'!$K:$K,"Hoàn thành")</f>
        <v/>
      </c>
      <c r="J4" s="55">
        <f>IF(H4=0,"-",I4/H4)</f>
        <v/>
      </c>
    </row>
    <row r="5" ht="45" customHeight="1">
      <c r="A5" s="56" t="n">
        <v>2</v>
      </c>
      <c r="B5" s="57" t="n">
        <v>6</v>
      </c>
      <c r="C5" s="58">
        <f>'Tổng quan'!$C$4+7*(B5-1)</f>
        <v/>
      </c>
      <c r="D5" s="56">
        <f>B5-B4</f>
        <v/>
      </c>
      <c r="E5" s="59" t="inlineStr">
        <is>
          <t>Sườn cơ bản của dự án</t>
        </is>
      </c>
      <c r="F5" s="59" t="inlineStr">
        <is>
          <t>Thiện (backend) · Hạnh (frontend)</t>
        </is>
      </c>
      <c r="G5" s="59" t="inlineStr">
        <is>
          <t>Chạy local: đăng nhập Keycloak, tạo sự kiện, giữ ghế; khung web khách hàng và web quản trị</t>
        </is>
      </c>
      <c r="H5" s="56">
        <f>COUNTIF('Kế hoạch'!$B:$B,A5)</f>
        <v/>
      </c>
      <c r="I5" s="56">
        <f>COUNTIFS('Kế hoạch'!$B:$B,A5,'Kế hoạch'!$K:$K,"Hoàn thành")</f>
        <v/>
      </c>
      <c r="J5" s="60">
        <f>IF(H5=0,"-",I5/H5)</f>
        <v/>
      </c>
    </row>
    <row r="6" ht="45" customHeight="1">
      <c r="A6" s="61" t="n">
        <v>3</v>
      </c>
      <c r="B6" s="62" t="n">
        <v>9</v>
      </c>
      <c r="C6" s="63">
        <f>'Tổng quan'!$C$4+7*(B6-1)</f>
        <v/>
      </c>
      <c r="D6" s="61">
        <f>B6-B5</f>
        <v/>
      </c>
      <c r="E6" s="64" t="inlineStr">
        <is>
          <t>AI chatbox hỗ trợ người dùng; sửa giao diện admin dashboard</t>
        </is>
      </c>
      <c r="F6" s="64" t="inlineStr">
        <is>
          <t>Thiện (AI chatbox) · Hạnh (admin dashboard)</t>
        </is>
      </c>
      <c r="G6" s="64" t="inlineStr">
        <is>
          <t>Demo hỏi đáp RAG, tra đơn, chuyển nhân viên; dashboard doanh thu mới</t>
        </is>
      </c>
      <c r="H6" s="61">
        <f>COUNTIF('Kế hoạch'!$B:$B,A6)</f>
        <v/>
      </c>
      <c r="I6" s="61">
        <f>COUNTIFS('Kế hoạch'!$B:$B,A6,'Kế hoạch'!$K:$K,"Hoàn thành")</f>
        <v/>
      </c>
      <c r="J6" s="65">
        <f>IF(H6=0,"-",I6/H6)</f>
        <v/>
      </c>
    </row>
    <row r="7" ht="45" customHeight="1">
      <c r="A7" s="66" t="n">
        <v>4</v>
      </c>
      <c r="B7" s="67" t="n">
        <v>12</v>
      </c>
      <c r="C7" s="68">
        <f>'Tổng quan'!$C$4+7*(B7-1)</f>
        <v/>
      </c>
      <c r="D7" s="66">
        <f>B7-B6</f>
        <v/>
      </c>
      <c r="E7" s="69" t="inlineStr">
        <is>
          <t>Demo mobile app; xuất file xlsx</t>
        </is>
      </c>
      <c r="F7" s="69" t="inlineStr">
        <is>
          <t>Hạnh (mobile) · Thiện (API, xuất xlsx)</t>
        </is>
      </c>
      <c r="G7" s="69" t="inlineStr">
        <is>
          <t>App khách hàng + app soát vé trên điện thoại; tải báo cáo .xlsx từ trang quản trị</t>
        </is>
      </c>
      <c r="H7" s="66">
        <f>COUNTIF('Kế hoạch'!$B:$B,A7)</f>
        <v/>
      </c>
      <c r="I7" s="66">
        <f>COUNTIFS('Kế hoạch'!$B:$B,A7,'Kế hoạch'!$K:$K,"Hoàn thành")</f>
        <v/>
      </c>
      <c r="J7" s="70">
        <f>IF(H7=0,"-",I7/H7)</f>
        <v/>
      </c>
    </row>
    <row r="8" ht="45" customHeight="1">
      <c r="A8" s="71" t="n">
        <v>5</v>
      </c>
      <c r="B8" s="72" t="n">
        <v>15</v>
      </c>
      <c r="C8" s="73">
        <f>'Tổng quan'!$C$4+7*(B8-1)</f>
        <v/>
      </c>
      <c r="D8" s="71">
        <f>B8-B7</f>
        <v/>
      </c>
      <c r="E8" s="74" t="inlineStr">
        <is>
          <t>Tổng kết, nghiệm thu, chuẩn bị bảo vệ (đề xuất)</t>
        </is>
      </c>
      <c r="F8" s="74" t="inlineStr">
        <is>
          <t>Cả hai</t>
        </is>
      </c>
      <c r="G8" s="74" t="inlineStr">
        <is>
          <t>Demo toàn luồng trên production; quyển báo cáo; kết quả kiểm thử</t>
        </is>
      </c>
      <c r="H8" s="71">
        <f>COUNTIF('Kế hoạch'!$B:$B,A8)</f>
        <v/>
      </c>
      <c r="I8" s="71">
        <f>COUNTIFS('Kế hoạch'!$B:$B,A8,'Kế hoạch'!$K:$K,"Hoàn thành")</f>
        <v/>
      </c>
      <c r="J8" s="75">
        <f>IF(H8=0,"-",I8/H8)</f>
        <v/>
      </c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</row>
    <row r="10">
      <c r="A10" s="24" t="inlineStr">
        <is>
          <t>Ghi chú</t>
        </is>
      </c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</row>
    <row r="11" ht="28" customHeight="1">
      <c r="A11" s="76" t="inlineStr">
        <is>
          <t>Lần 1: báo cáo timeline và kiến trúc; sau buổi này thầy hướng dẫn phạm vi phần AI, kết quả được đưa vào Đợt 3 (AI chatbox).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</row>
    <row r="12" ht="28" customHeight="1">
      <c r="A12" s="76" t="inlineStr">
        <is>
          <t>Lần 4 'xuất ra file xlsx' được hiểu là chức năng xuất báo cáo .xlsx trên web quản trị (hiện hệ thống mới xuất CSV).</t>
        </is>
      </c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</row>
  </sheetData>
  <mergeCells count="2">
    <mergeCell ref="A12:J12"/>
    <mergeCell ref="A11:J11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" t="inlineStr">
        <is>
          <t>PHÂN CÔNG THEO THÀNH VIÊN</t>
        </is>
      </c>
      <c r="B1" s="1" t="n"/>
      <c r="C1" s="1" t="n"/>
      <c r="D1" s="1" t="n"/>
      <c r="E1" s="1" t="n"/>
      <c r="F1" s="1" t="n"/>
      <c r="G1" s="1" t="n"/>
    </row>
    <row r="2">
      <c r="A2" s="1" t="n"/>
      <c r="B2" s="1" t="n"/>
      <c r="C2" s="1" t="n"/>
      <c r="D2" s="1" t="n"/>
      <c r="E2" s="1" t="n"/>
      <c r="F2" s="1" t="n"/>
      <c r="G2" s="1" t="n"/>
    </row>
    <row r="3">
      <c r="A3" s="28" t="inlineStr">
        <is>
          <t>Phụ trách</t>
        </is>
      </c>
      <c r="B3" s="28" t="inlineStr">
        <is>
          <t>Tổng việc</t>
        </is>
      </c>
      <c r="C3" s="28" t="inlineStr">
        <is>
          <t>Hoàn thành</t>
        </is>
      </c>
      <c r="D3" s="28" t="inlineStr">
        <is>
          <t>Đang làm</t>
        </is>
      </c>
      <c r="E3" s="28" t="inlineStr">
        <is>
          <t>Chưa làm</t>
        </is>
      </c>
      <c r="F3" s="28" t="inlineStr">
        <is>
          <t>Tổng tuần-công</t>
        </is>
      </c>
      <c r="G3" s="28" t="inlineStr">
        <is>
          <t>Tỉ lệ xong</t>
        </is>
      </c>
    </row>
    <row r="4">
      <c r="A4" s="77" t="inlineStr">
        <is>
          <t>Thiện</t>
        </is>
      </c>
      <c r="B4" s="33">
        <f>COUNTIF('Kế hoạch'!$E:$E,A4)</f>
        <v/>
      </c>
      <c r="C4" s="33">
        <f>COUNTIFS('Kế hoạch'!$E:$E,A4,'Kế hoạch'!$K:$K,"Hoàn thành")</f>
        <v/>
      </c>
      <c r="D4" s="33">
        <f>COUNTIFS('Kế hoạch'!$E:$E,A4,'Kế hoạch'!$K:$K,"Đang làm")</f>
        <v/>
      </c>
      <c r="E4" s="33">
        <f>COUNTIFS('Kế hoạch'!$E:$E,A4,'Kế hoạch'!$K:$K,"Chưa làm")</f>
        <v/>
      </c>
      <c r="F4" s="33">
        <f>SUMIF('Kế hoạch'!$E:$E,A4,'Kế hoạch'!$G:$G)</f>
        <v/>
      </c>
      <c r="G4" s="78">
        <f>IF(B4=0,"-",C4/B4)</f>
        <v/>
      </c>
    </row>
    <row r="5">
      <c r="A5" s="77" t="inlineStr">
        <is>
          <t>Hạnh</t>
        </is>
      </c>
      <c r="B5" s="33">
        <f>COUNTIF('Kế hoạch'!$E:$E,A5)</f>
        <v/>
      </c>
      <c r="C5" s="33">
        <f>COUNTIFS('Kế hoạch'!$E:$E,A5,'Kế hoạch'!$K:$K,"Hoàn thành")</f>
        <v/>
      </c>
      <c r="D5" s="33">
        <f>COUNTIFS('Kế hoạch'!$E:$E,A5,'Kế hoạch'!$K:$K,"Đang làm")</f>
        <v/>
      </c>
      <c r="E5" s="33">
        <f>COUNTIFS('Kế hoạch'!$E:$E,A5,'Kế hoạch'!$K:$K,"Chưa làm")</f>
        <v/>
      </c>
      <c r="F5" s="33">
        <f>SUMIF('Kế hoạch'!$E:$E,A5,'Kế hoạch'!$G:$G)</f>
        <v/>
      </c>
      <c r="G5" s="78">
        <f>IF(B5=0,"-",C5/B5)</f>
        <v/>
      </c>
    </row>
    <row r="6">
      <c r="A6" s="77" t="inlineStr">
        <is>
          <t>Cả hai</t>
        </is>
      </c>
      <c r="B6" s="33">
        <f>COUNTIF('Kế hoạch'!$E:$E,A6)</f>
        <v/>
      </c>
      <c r="C6" s="33">
        <f>COUNTIFS('Kế hoạch'!$E:$E,A6,'Kế hoạch'!$K:$K,"Hoàn thành")</f>
        <v/>
      </c>
      <c r="D6" s="33">
        <f>COUNTIFS('Kế hoạch'!$E:$E,A6,'Kế hoạch'!$K:$K,"Đang làm")</f>
        <v/>
      </c>
      <c r="E6" s="33">
        <f>COUNTIFS('Kế hoạch'!$E:$E,A6,'Kế hoạch'!$K:$K,"Chưa làm")</f>
        <v/>
      </c>
      <c r="F6" s="33">
        <f>SUMIF('Kế hoạch'!$E:$E,A6,'Kế hoạch'!$G:$G)</f>
        <v/>
      </c>
      <c r="G6" s="78">
        <f>IF(B6=0,"-",C6/B6)</f>
        <v/>
      </c>
    </row>
    <row r="7">
      <c r="A7" s="24" t="inlineStr">
        <is>
          <t>Tổng</t>
        </is>
      </c>
      <c r="B7" s="77">
        <f>SUM(B4:B6)</f>
        <v/>
      </c>
      <c r="C7" s="77">
        <f>SUM(C4:C6)</f>
        <v/>
      </c>
      <c r="D7" s="77">
        <f>SUM(D4:D6)</f>
        <v/>
      </c>
      <c r="E7" s="77">
        <f>SUM(E4:E6)</f>
        <v/>
      </c>
      <c r="F7" s="77">
        <f>SUM(F4:F6)</f>
        <v/>
      </c>
      <c r="G7" s="79">
        <f>IF(B7=0,"-",C7/B7)</f>
        <v/>
      </c>
    </row>
    <row r="8">
      <c r="A8" s="1" t="n"/>
      <c r="B8" s="1" t="n"/>
      <c r="C8" s="1" t="n"/>
      <c r="D8" s="1" t="n"/>
      <c r="E8" s="1" t="n"/>
      <c r="F8" s="1" t="n"/>
      <c r="G8" s="1" t="n"/>
    </row>
    <row r="9">
      <c r="A9" s="1" t="n"/>
      <c r="B9" s="1" t="n"/>
      <c r="C9" s="1" t="n"/>
      <c r="D9" s="1" t="n"/>
      <c r="E9" s="1" t="n"/>
      <c r="F9" s="1" t="n"/>
      <c r="G9" s="1" t="n"/>
    </row>
    <row r="10">
      <c r="A10" s="9" t="inlineStr">
        <is>
          <t>Việc theo hạng mục</t>
        </is>
      </c>
      <c r="B10" s="1" t="n"/>
      <c r="C10" s="1" t="n"/>
      <c r="D10" s="1" t="n"/>
      <c r="E10" s="1" t="n"/>
      <c r="F10" s="1" t="n"/>
      <c r="G10" s="1" t="n"/>
    </row>
    <row r="11">
      <c r="A11" s="80" t="inlineStr">
        <is>
          <t>Hạng mục</t>
        </is>
      </c>
      <c r="B11" s="80" t="inlineStr">
        <is>
          <t>Thiện</t>
        </is>
      </c>
      <c r="C11" s="80" t="inlineStr">
        <is>
          <t>Hạnh</t>
        </is>
      </c>
      <c r="D11" s="80" t="inlineStr">
        <is>
          <t>Cả hai</t>
        </is>
      </c>
      <c r="E11" s="1" t="n"/>
      <c r="F11" s="1" t="n"/>
      <c r="G11" s="1" t="n"/>
    </row>
    <row r="12">
      <c r="A12" s="8" t="inlineStr">
        <is>
          <t>AI</t>
        </is>
      </c>
      <c r="B12" s="81">
        <f>COUNTIFS('Kế hoạch'!$C:$C,$A12,'Kế hoạch'!$E:$E,"Thiện")</f>
        <v/>
      </c>
      <c r="C12" s="81">
        <f>COUNTIFS('Kế hoạch'!$C:$C,$A12,'Kế hoạch'!$E:$E,"Hạnh")</f>
        <v/>
      </c>
      <c r="D12" s="81">
        <f>COUNTIFS('Kế hoạch'!$C:$C,$A12,'Kế hoạch'!$E:$E,"Cả hai")</f>
        <v/>
      </c>
      <c r="E12" s="1" t="n"/>
      <c r="F12" s="1" t="n"/>
      <c r="G12" s="1" t="n"/>
    </row>
    <row r="13">
      <c r="A13" s="8" t="inlineStr">
        <is>
          <t>Backend</t>
        </is>
      </c>
      <c r="B13" s="81">
        <f>COUNTIFS('Kế hoạch'!$C:$C,$A13,'Kế hoạch'!$E:$E,"Thiện")</f>
        <v/>
      </c>
      <c r="C13" s="81">
        <f>COUNTIFS('Kế hoạch'!$C:$C,$A13,'Kế hoạch'!$E:$E,"Hạnh")</f>
        <v/>
      </c>
      <c r="D13" s="81">
        <f>COUNTIFS('Kế hoạch'!$C:$C,$A13,'Kế hoạch'!$E:$E,"Cả hai")</f>
        <v/>
      </c>
      <c r="E13" s="1" t="n"/>
      <c r="F13" s="1" t="n"/>
      <c r="G13" s="1" t="n"/>
    </row>
    <row r="14">
      <c r="A14" s="8" t="inlineStr">
        <is>
          <t>Báo cáo</t>
        </is>
      </c>
      <c r="B14" s="81">
        <f>COUNTIFS('Kế hoạch'!$C:$C,$A14,'Kế hoạch'!$E:$E,"Thiện")</f>
        <v/>
      </c>
      <c r="C14" s="81">
        <f>COUNTIFS('Kế hoạch'!$C:$C,$A14,'Kế hoạch'!$E:$E,"Hạnh")</f>
        <v/>
      </c>
      <c r="D14" s="81">
        <f>COUNTIFS('Kế hoạch'!$C:$C,$A14,'Kế hoạch'!$E:$E,"Cả hai")</f>
        <v/>
      </c>
      <c r="E14" s="1" t="n"/>
      <c r="F14" s="1" t="n"/>
      <c r="G14" s="1" t="n"/>
    </row>
    <row r="15">
      <c r="A15" s="8" t="inlineStr">
        <is>
          <t>CSDL</t>
        </is>
      </c>
      <c r="B15" s="81">
        <f>COUNTIFS('Kế hoạch'!$C:$C,$A15,'Kế hoạch'!$E:$E,"Thiện")</f>
        <v/>
      </c>
      <c r="C15" s="81">
        <f>COUNTIFS('Kế hoạch'!$C:$C,$A15,'Kế hoạch'!$E:$E,"Hạnh")</f>
        <v/>
      </c>
      <c r="D15" s="81">
        <f>COUNTIFS('Kế hoạch'!$C:$C,$A15,'Kế hoạch'!$E:$E,"Cả hai")</f>
        <v/>
      </c>
      <c r="E15" s="1" t="n"/>
      <c r="F15" s="1" t="n"/>
      <c r="G15" s="1" t="n"/>
    </row>
    <row r="16">
      <c r="A16" s="8" t="inlineStr">
        <is>
          <t>Frontend</t>
        </is>
      </c>
      <c r="B16" s="81">
        <f>COUNTIFS('Kế hoạch'!$C:$C,$A16,'Kế hoạch'!$E:$E,"Thiện")</f>
        <v/>
      </c>
      <c r="C16" s="81">
        <f>COUNTIFS('Kế hoạch'!$C:$C,$A16,'Kế hoạch'!$E:$E,"Hạnh")</f>
        <v/>
      </c>
      <c r="D16" s="81">
        <f>COUNTIFS('Kế hoạch'!$C:$C,$A16,'Kế hoạch'!$E:$E,"Cả hai")</f>
        <v/>
      </c>
      <c r="E16" s="1" t="n"/>
      <c r="F16" s="1" t="n"/>
      <c r="G16" s="1" t="n"/>
    </row>
    <row r="17">
      <c r="A17" s="8" t="inlineStr">
        <is>
          <t>Giao diện</t>
        </is>
      </c>
      <c r="B17" s="81">
        <f>COUNTIFS('Kế hoạch'!$C:$C,$A17,'Kế hoạch'!$E:$E,"Thiện")</f>
        <v/>
      </c>
      <c r="C17" s="81">
        <f>COUNTIFS('Kế hoạch'!$C:$C,$A17,'Kế hoạch'!$E:$E,"Hạnh")</f>
        <v/>
      </c>
      <c r="D17" s="81">
        <f>COUNTIFS('Kế hoạch'!$C:$C,$A17,'Kế hoạch'!$E:$E,"Cả hai")</f>
        <v/>
      </c>
      <c r="E17" s="1" t="n"/>
      <c r="F17" s="1" t="n"/>
      <c r="G17" s="1" t="n"/>
    </row>
    <row r="18">
      <c r="A18" s="8" t="inlineStr">
        <is>
          <t>Hạ tầng</t>
        </is>
      </c>
      <c r="B18" s="81">
        <f>COUNTIFS('Kế hoạch'!$C:$C,$A18,'Kế hoạch'!$E:$E,"Thiện")</f>
        <v/>
      </c>
      <c r="C18" s="81">
        <f>COUNTIFS('Kế hoạch'!$C:$C,$A18,'Kế hoạch'!$E:$E,"Hạnh")</f>
        <v/>
      </c>
      <c r="D18" s="81">
        <f>COUNTIFS('Kế hoạch'!$C:$C,$A18,'Kế hoạch'!$E:$E,"Cả hai")</f>
        <v/>
      </c>
      <c r="E18" s="1" t="n"/>
      <c r="F18" s="1" t="n"/>
      <c r="G18" s="1" t="n"/>
    </row>
    <row r="19">
      <c r="A19" s="8" t="inlineStr">
        <is>
          <t>Kiến trúc</t>
        </is>
      </c>
      <c r="B19" s="81">
        <f>COUNTIFS('Kế hoạch'!$C:$C,$A19,'Kế hoạch'!$E:$E,"Thiện")</f>
        <v/>
      </c>
      <c r="C19" s="81">
        <f>COUNTIFS('Kế hoạch'!$C:$C,$A19,'Kế hoạch'!$E:$E,"Hạnh")</f>
        <v/>
      </c>
      <c r="D19" s="81">
        <f>COUNTIFS('Kế hoạch'!$C:$C,$A19,'Kế hoạch'!$E:$E,"Cả hai")</f>
        <v/>
      </c>
      <c r="E19" s="1" t="n"/>
      <c r="F19" s="1" t="n"/>
      <c r="G19" s="1" t="n"/>
    </row>
    <row r="20">
      <c r="A20" s="8" t="inlineStr">
        <is>
          <t>Kiểm thử</t>
        </is>
      </c>
      <c r="B20" s="81">
        <f>COUNTIFS('Kế hoạch'!$C:$C,$A20,'Kế hoạch'!$E:$E,"Thiện")</f>
        <v/>
      </c>
      <c r="C20" s="81">
        <f>COUNTIFS('Kế hoạch'!$C:$C,$A20,'Kế hoạch'!$E:$E,"Hạnh")</f>
        <v/>
      </c>
      <c r="D20" s="81">
        <f>COUNTIFS('Kế hoạch'!$C:$C,$A20,'Kế hoạch'!$E:$E,"Cả hai")</f>
        <v/>
      </c>
      <c r="E20" s="1" t="n"/>
      <c r="F20" s="1" t="n"/>
      <c r="G20" s="1" t="n"/>
    </row>
    <row r="21">
      <c r="A21" s="8" t="inlineStr">
        <is>
          <t>Mobile</t>
        </is>
      </c>
      <c r="B21" s="81">
        <f>COUNTIFS('Kế hoạch'!$C:$C,$A21,'Kế hoạch'!$E:$E,"Thiện")</f>
        <v/>
      </c>
      <c r="C21" s="81">
        <f>COUNTIFS('Kế hoạch'!$C:$C,$A21,'Kế hoạch'!$E:$E,"Hạnh")</f>
        <v/>
      </c>
      <c r="D21" s="81">
        <f>COUNTIFS('Kế hoạch'!$C:$C,$A21,'Kế hoạch'!$E:$E,"Cả hai")</f>
        <v/>
      </c>
      <c r="E21" s="1" t="n"/>
      <c r="F21" s="1" t="n"/>
      <c r="G21" s="1" t="n"/>
    </row>
    <row r="22">
      <c r="A22" s="8" t="inlineStr">
        <is>
          <t>Phân tích</t>
        </is>
      </c>
      <c r="B22" s="81">
        <f>COUNTIFS('Kế hoạch'!$C:$C,$A22,'Kế hoạch'!$E:$E,"Thiện")</f>
        <v/>
      </c>
      <c r="C22" s="81">
        <f>COUNTIFS('Kế hoạch'!$C:$C,$A22,'Kế hoạch'!$E:$E,"Hạnh")</f>
        <v/>
      </c>
      <c r="D22" s="81">
        <f>COUNTIFS('Kế hoạch'!$C:$C,$A22,'Kế hoạch'!$E:$E,"Cả hai")</f>
        <v/>
      </c>
      <c r="E22" s="1" t="n"/>
      <c r="F22" s="1" t="n"/>
      <c r="G22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2026-10-22T16:34:08Z</dcterms:created>
  <dcterms:modified xsi:type="dcterms:W3CDTF">2026-10-22T16:34:08Z</dcterms:modified>
</cp:coreProperties>
</file>